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pic_App\"/>
    </mc:Choice>
  </mc:AlternateContent>
  <xr:revisionPtr revIDLastSave="0" documentId="10_ncr:8100000_{2D1725CC-C7C5-49D4-96D4-15B555E23C4B}" xr6:coauthVersionLast="34" xr6:coauthVersionMax="34" xr10:uidLastSave="{00000000-0000-0000-0000-000000000000}"/>
  <workbookProtection workbookAlgorithmName="SHA-512" workbookHashValue="RmokK+JgZquS0vvnJ16WGNSWUcFSu6+K0iShSZ1G6mI5sYYaUlLg9fy5Irnj6f621zd9oA3zeiquNnBhJ9WdbA==" workbookSaltValue="X1mrOV+iiYyQspoY24KMlQ==" workbookSpinCount="100000" lockStructure="1"/>
  <bookViews>
    <workbookView xWindow="240" yWindow="15" windowWidth="16095" windowHeight="9660" xr2:uid="{00000000-000D-0000-FFFF-FFFF00000000}"/>
  </bookViews>
  <sheets>
    <sheet name="EpicCardExplorer" sheetId="1" r:id="rId1"/>
    <sheet name="AlignmentFilterHelpers" sheetId="2" state="hidden" r:id="rId2"/>
  </sheets>
  <definedNames>
    <definedName name="_xlnm._FilterDatabase" localSheetId="0" hidden="1">EpicCardExplorer!$AX$8:$AY$305</definedName>
    <definedName name="aftershock">"Picture 2"</definedName>
    <definedName name="_xlnm.Criteria" localSheetId="0">EpicCardExplorer!#REF!</definedName>
    <definedName name="ListCount">EpicCardExplorer!$BU$3</definedName>
    <definedName name="Match_List">EpicCardExplorer!$AS$9:$AS$304</definedName>
    <definedName name="VisibleRows">Table1[Name]</definedName>
  </definedNames>
  <calcPr calcId="162913"/>
</workbook>
</file>

<file path=xl/calcChain.xml><?xml version="1.0" encoding="utf-8"?>
<calcChain xmlns="http://schemas.openxmlformats.org/spreadsheetml/2006/main">
  <c r="AQ304" i="1" l="1"/>
  <c r="AP304" i="1"/>
  <c r="AO304" i="1"/>
  <c r="AN304" i="1"/>
  <c r="AM304" i="1"/>
  <c r="AL304" i="1"/>
  <c r="AK304" i="1"/>
  <c r="AJ304" i="1"/>
  <c r="AI304" i="1"/>
  <c r="AH304" i="1"/>
  <c r="AG304" i="1"/>
  <c r="AF304" i="1"/>
  <c r="AE304" i="1"/>
  <c r="AD304" i="1"/>
  <c r="AC304" i="1"/>
  <c r="AB304" i="1"/>
  <c r="AA304" i="1"/>
  <c r="Z304" i="1"/>
  <c r="AQ303" i="1"/>
  <c r="AP303" i="1"/>
  <c r="AO303" i="1"/>
  <c r="AN303" i="1"/>
  <c r="AM303" i="1"/>
  <c r="AL303" i="1"/>
  <c r="AK303" i="1"/>
  <c r="AJ303" i="1"/>
  <c r="AI303" i="1"/>
  <c r="AH303" i="1"/>
  <c r="AG303" i="1"/>
  <c r="AF303" i="1"/>
  <c r="AE303" i="1"/>
  <c r="AD303" i="1"/>
  <c r="AC303" i="1"/>
  <c r="AB303" i="1"/>
  <c r="AA303" i="1"/>
  <c r="Z303" i="1"/>
  <c r="AQ302" i="1"/>
  <c r="AP302" i="1"/>
  <c r="AO302" i="1"/>
  <c r="AN302" i="1"/>
  <c r="AM302" i="1"/>
  <c r="AL302" i="1"/>
  <c r="AK302" i="1"/>
  <c r="AJ302" i="1"/>
  <c r="AI302" i="1"/>
  <c r="AH302" i="1"/>
  <c r="AG302" i="1"/>
  <c r="AF302" i="1"/>
  <c r="AE302" i="1"/>
  <c r="AD302" i="1"/>
  <c r="AC302" i="1"/>
  <c r="AB302" i="1"/>
  <c r="AA302" i="1"/>
  <c r="Z302" i="1"/>
  <c r="AQ301" i="1"/>
  <c r="AP301" i="1"/>
  <c r="AO301" i="1"/>
  <c r="AN301" i="1"/>
  <c r="AM301" i="1"/>
  <c r="AL301" i="1"/>
  <c r="AK301" i="1"/>
  <c r="AJ301" i="1"/>
  <c r="AI301" i="1"/>
  <c r="AH301" i="1"/>
  <c r="AG301" i="1"/>
  <c r="AF301" i="1"/>
  <c r="AE301" i="1"/>
  <c r="AD301" i="1"/>
  <c r="AC301" i="1"/>
  <c r="AB301" i="1"/>
  <c r="AA301" i="1"/>
  <c r="Z301" i="1"/>
  <c r="AQ300" i="1"/>
  <c r="AP300" i="1"/>
  <c r="AO300" i="1"/>
  <c r="AN300" i="1"/>
  <c r="AM300" i="1"/>
  <c r="AL300" i="1"/>
  <c r="AK300" i="1"/>
  <c r="AJ300" i="1"/>
  <c r="AI300" i="1"/>
  <c r="AH300" i="1"/>
  <c r="AG300" i="1"/>
  <c r="AF300" i="1"/>
  <c r="AE300" i="1"/>
  <c r="AD300" i="1"/>
  <c r="AC300" i="1"/>
  <c r="AB300" i="1"/>
  <c r="AA300" i="1"/>
  <c r="Z300" i="1"/>
  <c r="AQ299" i="1"/>
  <c r="AP299" i="1"/>
  <c r="AO299" i="1"/>
  <c r="AN299" i="1"/>
  <c r="AM299" i="1"/>
  <c r="AL299" i="1"/>
  <c r="AK299" i="1"/>
  <c r="AJ299" i="1"/>
  <c r="AI299" i="1"/>
  <c r="AH299" i="1"/>
  <c r="AG299" i="1"/>
  <c r="AF299" i="1"/>
  <c r="AE299" i="1"/>
  <c r="AD299" i="1"/>
  <c r="AC299" i="1"/>
  <c r="AB299" i="1"/>
  <c r="AA299" i="1"/>
  <c r="Z299" i="1"/>
  <c r="AQ298" i="1"/>
  <c r="AP298" i="1"/>
  <c r="AO298" i="1"/>
  <c r="AN298" i="1"/>
  <c r="AM298" i="1"/>
  <c r="AL298" i="1"/>
  <c r="AK298" i="1"/>
  <c r="AJ298" i="1"/>
  <c r="AI298" i="1"/>
  <c r="AH298" i="1"/>
  <c r="AG298" i="1"/>
  <c r="AF298" i="1"/>
  <c r="AE298" i="1"/>
  <c r="AD298" i="1"/>
  <c r="AC298" i="1"/>
  <c r="AB298" i="1"/>
  <c r="AA298" i="1"/>
  <c r="Z298" i="1"/>
  <c r="AQ297" i="1"/>
  <c r="AP297" i="1"/>
  <c r="AO297" i="1"/>
  <c r="AN297" i="1"/>
  <c r="AM297" i="1"/>
  <c r="AL297" i="1"/>
  <c r="AK297" i="1"/>
  <c r="AJ297" i="1"/>
  <c r="AI297" i="1"/>
  <c r="AH297" i="1"/>
  <c r="AG297" i="1"/>
  <c r="AF297" i="1"/>
  <c r="AE297" i="1"/>
  <c r="AD297" i="1"/>
  <c r="AC297" i="1"/>
  <c r="AB297" i="1"/>
  <c r="AA297" i="1"/>
  <c r="Z297" i="1"/>
  <c r="AQ296" i="1"/>
  <c r="AP296" i="1"/>
  <c r="AO296" i="1"/>
  <c r="AN296" i="1"/>
  <c r="AM296" i="1"/>
  <c r="AL296" i="1"/>
  <c r="AK296" i="1"/>
  <c r="AJ296" i="1"/>
  <c r="AI296" i="1"/>
  <c r="AH296" i="1"/>
  <c r="AG296" i="1"/>
  <c r="AF296" i="1"/>
  <c r="AE296" i="1"/>
  <c r="AD296" i="1"/>
  <c r="AC296" i="1"/>
  <c r="AB296" i="1"/>
  <c r="AA296" i="1"/>
  <c r="Z296" i="1"/>
  <c r="AQ295" i="1"/>
  <c r="AP295" i="1"/>
  <c r="AO295" i="1"/>
  <c r="AN295" i="1"/>
  <c r="AM295" i="1"/>
  <c r="AL295" i="1"/>
  <c r="AK295" i="1"/>
  <c r="AJ295" i="1"/>
  <c r="AI295" i="1"/>
  <c r="AH295" i="1"/>
  <c r="AG295" i="1"/>
  <c r="AF295" i="1"/>
  <c r="AE295" i="1"/>
  <c r="AD295" i="1"/>
  <c r="AC295" i="1"/>
  <c r="AB295" i="1"/>
  <c r="AA295" i="1"/>
  <c r="Z295" i="1"/>
  <c r="AQ294" i="1"/>
  <c r="AP294" i="1"/>
  <c r="AO294" i="1"/>
  <c r="AN294" i="1"/>
  <c r="AM294" i="1"/>
  <c r="AL294" i="1"/>
  <c r="AK294" i="1"/>
  <c r="AJ294" i="1"/>
  <c r="AI294" i="1"/>
  <c r="AH294" i="1"/>
  <c r="AG294" i="1"/>
  <c r="AF294" i="1"/>
  <c r="AE294" i="1"/>
  <c r="AD294" i="1"/>
  <c r="AC294" i="1"/>
  <c r="AB294" i="1"/>
  <c r="AA294" i="1"/>
  <c r="Z294" i="1"/>
  <c r="AQ293" i="1"/>
  <c r="AP293" i="1"/>
  <c r="AO293" i="1"/>
  <c r="AN293" i="1"/>
  <c r="AM293" i="1"/>
  <c r="AL293" i="1"/>
  <c r="AK293" i="1"/>
  <c r="AJ293" i="1"/>
  <c r="AI293" i="1"/>
  <c r="AH293" i="1"/>
  <c r="AG293" i="1"/>
  <c r="AF293" i="1"/>
  <c r="AE293" i="1"/>
  <c r="AD293" i="1"/>
  <c r="AC293" i="1"/>
  <c r="AB293" i="1"/>
  <c r="AA293" i="1"/>
  <c r="Z293" i="1"/>
  <c r="AQ292" i="1"/>
  <c r="AP292" i="1"/>
  <c r="AO292" i="1"/>
  <c r="AN292" i="1"/>
  <c r="AM292" i="1"/>
  <c r="AL292" i="1"/>
  <c r="AK292" i="1"/>
  <c r="AJ292" i="1"/>
  <c r="AI292" i="1"/>
  <c r="AH292" i="1"/>
  <c r="AG292" i="1"/>
  <c r="AF292" i="1"/>
  <c r="AE292" i="1"/>
  <c r="AD292" i="1"/>
  <c r="AC292" i="1"/>
  <c r="AB292" i="1"/>
  <c r="AA292" i="1"/>
  <c r="Z292" i="1"/>
  <c r="AQ291" i="1"/>
  <c r="AP291" i="1"/>
  <c r="AO291" i="1"/>
  <c r="AN291" i="1"/>
  <c r="AM291" i="1"/>
  <c r="AL291" i="1"/>
  <c r="AK291" i="1"/>
  <c r="AJ291" i="1"/>
  <c r="AI291" i="1"/>
  <c r="AH291" i="1"/>
  <c r="AG291" i="1"/>
  <c r="AF291" i="1"/>
  <c r="AE291" i="1"/>
  <c r="AD291" i="1"/>
  <c r="AC291" i="1"/>
  <c r="AB291" i="1"/>
  <c r="AA291" i="1"/>
  <c r="Z291" i="1"/>
  <c r="AQ290" i="1"/>
  <c r="AP290" i="1"/>
  <c r="AO290" i="1"/>
  <c r="AN290" i="1"/>
  <c r="AM290" i="1"/>
  <c r="AL290" i="1"/>
  <c r="AK290" i="1"/>
  <c r="AJ290" i="1"/>
  <c r="AI290" i="1"/>
  <c r="AH290" i="1"/>
  <c r="AG290" i="1"/>
  <c r="AF290" i="1"/>
  <c r="AE290" i="1"/>
  <c r="AD290" i="1"/>
  <c r="AC290" i="1"/>
  <c r="AB290" i="1"/>
  <c r="AA290" i="1"/>
  <c r="Z290" i="1"/>
  <c r="AQ289" i="1"/>
  <c r="AP289" i="1"/>
  <c r="AO289" i="1"/>
  <c r="AN289" i="1"/>
  <c r="AM289" i="1"/>
  <c r="AL289" i="1"/>
  <c r="AK289" i="1"/>
  <c r="AJ289" i="1"/>
  <c r="AI289" i="1"/>
  <c r="AH289" i="1"/>
  <c r="AG289" i="1"/>
  <c r="AF289" i="1"/>
  <c r="AE289" i="1"/>
  <c r="AD289" i="1"/>
  <c r="AC289" i="1"/>
  <c r="AB289" i="1"/>
  <c r="AA289" i="1"/>
  <c r="Z289" i="1"/>
  <c r="AQ288" i="1"/>
  <c r="AP288" i="1"/>
  <c r="AO288" i="1"/>
  <c r="AN288" i="1"/>
  <c r="AM288" i="1"/>
  <c r="AL288" i="1"/>
  <c r="AK288" i="1"/>
  <c r="AJ288" i="1"/>
  <c r="AI288" i="1"/>
  <c r="AH288" i="1"/>
  <c r="AG288" i="1"/>
  <c r="AF288" i="1"/>
  <c r="AE288" i="1"/>
  <c r="AD288" i="1"/>
  <c r="AC288" i="1"/>
  <c r="AB288" i="1"/>
  <c r="AA288" i="1"/>
  <c r="Z288" i="1"/>
  <c r="AQ287" i="1"/>
  <c r="AP287" i="1"/>
  <c r="AO287" i="1"/>
  <c r="AN287" i="1"/>
  <c r="AM287" i="1"/>
  <c r="AL287" i="1"/>
  <c r="AK287" i="1"/>
  <c r="AJ287" i="1"/>
  <c r="AI287" i="1"/>
  <c r="AH287" i="1"/>
  <c r="AG287" i="1"/>
  <c r="AF287" i="1"/>
  <c r="AE287" i="1"/>
  <c r="AD287" i="1"/>
  <c r="AC287" i="1"/>
  <c r="AB287" i="1"/>
  <c r="AA287" i="1"/>
  <c r="Z287" i="1"/>
  <c r="AQ286" i="1"/>
  <c r="AP286" i="1"/>
  <c r="AO286" i="1"/>
  <c r="AN286" i="1"/>
  <c r="AM286" i="1"/>
  <c r="AL286" i="1"/>
  <c r="AK286" i="1"/>
  <c r="AJ286" i="1"/>
  <c r="AI286" i="1"/>
  <c r="AH286" i="1"/>
  <c r="AG286" i="1"/>
  <c r="AF286" i="1"/>
  <c r="AE286" i="1"/>
  <c r="AD286" i="1"/>
  <c r="AC286" i="1"/>
  <c r="AB286" i="1"/>
  <c r="AA286" i="1"/>
  <c r="Z286" i="1"/>
  <c r="AQ285" i="1"/>
  <c r="AP285" i="1"/>
  <c r="AO285" i="1"/>
  <c r="AN285" i="1"/>
  <c r="AM285" i="1"/>
  <c r="AL285" i="1"/>
  <c r="AK285" i="1"/>
  <c r="AJ285" i="1"/>
  <c r="AI285" i="1"/>
  <c r="AH285" i="1"/>
  <c r="AG285" i="1"/>
  <c r="AF285" i="1"/>
  <c r="AE285" i="1"/>
  <c r="AD285" i="1"/>
  <c r="AC285" i="1"/>
  <c r="AB285" i="1"/>
  <c r="AA285" i="1"/>
  <c r="Z285" i="1"/>
  <c r="AQ284" i="1"/>
  <c r="AP284" i="1"/>
  <c r="AO284" i="1"/>
  <c r="AN284" i="1"/>
  <c r="AM284" i="1"/>
  <c r="AL284" i="1"/>
  <c r="AK284" i="1"/>
  <c r="AJ284" i="1"/>
  <c r="AI284" i="1"/>
  <c r="AH284" i="1"/>
  <c r="AG284" i="1"/>
  <c r="AF284" i="1"/>
  <c r="AE284" i="1"/>
  <c r="AD284" i="1"/>
  <c r="AC284" i="1"/>
  <c r="AB284" i="1"/>
  <c r="AA284" i="1"/>
  <c r="Z284" i="1"/>
  <c r="AQ283" i="1"/>
  <c r="AP283" i="1"/>
  <c r="AO283" i="1"/>
  <c r="AN283" i="1"/>
  <c r="AM283" i="1"/>
  <c r="AL283" i="1"/>
  <c r="AK283" i="1"/>
  <c r="AJ283" i="1"/>
  <c r="AI283" i="1"/>
  <c r="AH283" i="1"/>
  <c r="AG283" i="1"/>
  <c r="AF283" i="1"/>
  <c r="AE283" i="1"/>
  <c r="AD283" i="1"/>
  <c r="AC283" i="1"/>
  <c r="AB283" i="1"/>
  <c r="AA283" i="1"/>
  <c r="Z283" i="1"/>
  <c r="AQ282" i="1"/>
  <c r="AP282" i="1"/>
  <c r="AO282" i="1"/>
  <c r="AN282" i="1"/>
  <c r="AM282" i="1"/>
  <c r="AL282" i="1"/>
  <c r="AK282" i="1"/>
  <c r="AJ282" i="1"/>
  <c r="AI282" i="1"/>
  <c r="AH282" i="1"/>
  <c r="AG282" i="1"/>
  <c r="AF282" i="1"/>
  <c r="AE282" i="1"/>
  <c r="AD282" i="1"/>
  <c r="AC282" i="1"/>
  <c r="AB282" i="1"/>
  <c r="AA282" i="1"/>
  <c r="Z282" i="1"/>
  <c r="AQ281" i="1"/>
  <c r="AP281" i="1"/>
  <c r="AO281" i="1"/>
  <c r="AN281" i="1"/>
  <c r="AM281" i="1"/>
  <c r="AL281" i="1"/>
  <c r="AK281" i="1"/>
  <c r="AJ281" i="1"/>
  <c r="AI281" i="1"/>
  <c r="AH281" i="1"/>
  <c r="AG281" i="1"/>
  <c r="AF281" i="1"/>
  <c r="AE281" i="1"/>
  <c r="AD281" i="1"/>
  <c r="AC281" i="1"/>
  <c r="AB281" i="1"/>
  <c r="AA281" i="1"/>
  <c r="Z281" i="1"/>
  <c r="AQ280" i="1"/>
  <c r="AP280" i="1"/>
  <c r="AO280" i="1"/>
  <c r="AN280" i="1"/>
  <c r="AM280" i="1"/>
  <c r="AL280" i="1"/>
  <c r="AK280" i="1"/>
  <c r="AJ280" i="1"/>
  <c r="AI280" i="1"/>
  <c r="AH280" i="1"/>
  <c r="AG280" i="1"/>
  <c r="AF280" i="1"/>
  <c r="AE280" i="1"/>
  <c r="AD280" i="1"/>
  <c r="AC280" i="1"/>
  <c r="AB280" i="1"/>
  <c r="AA280" i="1"/>
  <c r="Z280" i="1"/>
  <c r="AQ279" i="1"/>
  <c r="AP279" i="1"/>
  <c r="AO279" i="1"/>
  <c r="AN279" i="1"/>
  <c r="AM279" i="1"/>
  <c r="AL279" i="1"/>
  <c r="AK279" i="1"/>
  <c r="AJ279" i="1"/>
  <c r="AI279" i="1"/>
  <c r="AH279" i="1"/>
  <c r="AG279" i="1"/>
  <c r="AF279" i="1"/>
  <c r="AE279" i="1"/>
  <c r="AD279" i="1"/>
  <c r="AC279" i="1"/>
  <c r="AB279" i="1"/>
  <c r="AA279" i="1"/>
  <c r="Z279" i="1"/>
  <c r="AQ278" i="1"/>
  <c r="AP278" i="1"/>
  <c r="AO278" i="1"/>
  <c r="AN278" i="1"/>
  <c r="AM278" i="1"/>
  <c r="AL278" i="1"/>
  <c r="AK278" i="1"/>
  <c r="AJ278" i="1"/>
  <c r="AI278" i="1"/>
  <c r="AH278" i="1"/>
  <c r="AG278" i="1"/>
  <c r="AF278" i="1"/>
  <c r="AE278" i="1"/>
  <c r="AD278" i="1"/>
  <c r="AC278" i="1"/>
  <c r="AB278" i="1"/>
  <c r="AA278" i="1"/>
  <c r="Z278" i="1"/>
  <c r="AQ277" i="1"/>
  <c r="AP277" i="1"/>
  <c r="AO277" i="1"/>
  <c r="AN277" i="1"/>
  <c r="AM277" i="1"/>
  <c r="AL277" i="1"/>
  <c r="AK277" i="1"/>
  <c r="AJ277" i="1"/>
  <c r="AI277" i="1"/>
  <c r="AH277" i="1"/>
  <c r="AG277" i="1"/>
  <c r="AF277" i="1"/>
  <c r="AE277" i="1"/>
  <c r="AD277" i="1"/>
  <c r="AC277" i="1"/>
  <c r="AB277" i="1"/>
  <c r="AA277" i="1"/>
  <c r="Z277" i="1"/>
  <c r="AQ276" i="1"/>
  <c r="AP276" i="1"/>
  <c r="AO276" i="1"/>
  <c r="AN276" i="1"/>
  <c r="AM276" i="1"/>
  <c r="AL276" i="1"/>
  <c r="AK276" i="1"/>
  <c r="AJ276" i="1"/>
  <c r="AI276" i="1"/>
  <c r="AH276" i="1"/>
  <c r="AG276" i="1"/>
  <c r="AF276" i="1"/>
  <c r="AE276" i="1"/>
  <c r="AD276" i="1"/>
  <c r="AC276" i="1"/>
  <c r="AB276" i="1"/>
  <c r="AA276" i="1"/>
  <c r="Z276" i="1"/>
  <c r="AQ275" i="1"/>
  <c r="AP275" i="1"/>
  <c r="AO275" i="1"/>
  <c r="AN275" i="1"/>
  <c r="AM275" i="1"/>
  <c r="AL275" i="1"/>
  <c r="AK275" i="1"/>
  <c r="AJ275" i="1"/>
  <c r="AI275" i="1"/>
  <c r="AH275" i="1"/>
  <c r="AG275" i="1"/>
  <c r="AF275" i="1"/>
  <c r="AE275" i="1"/>
  <c r="AD275" i="1"/>
  <c r="AC275" i="1"/>
  <c r="AB275" i="1"/>
  <c r="AA275" i="1"/>
  <c r="Z275" i="1"/>
  <c r="AQ274" i="1"/>
  <c r="AP274" i="1"/>
  <c r="AO274" i="1"/>
  <c r="AN274" i="1"/>
  <c r="AM274" i="1"/>
  <c r="AL274" i="1"/>
  <c r="AK274" i="1"/>
  <c r="AJ274" i="1"/>
  <c r="AI274" i="1"/>
  <c r="AH274" i="1"/>
  <c r="AG274" i="1"/>
  <c r="AF274" i="1"/>
  <c r="AE274" i="1"/>
  <c r="AD274" i="1"/>
  <c r="AC274" i="1"/>
  <c r="AB274" i="1"/>
  <c r="AA274" i="1"/>
  <c r="Z274" i="1"/>
  <c r="AQ273" i="1"/>
  <c r="AP273" i="1"/>
  <c r="AO273" i="1"/>
  <c r="AN273" i="1"/>
  <c r="AM273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Z273" i="1"/>
  <c r="AQ272" i="1"/>
  <c r="AP272" i="1"/>
  <c r="AO272" i="1"/>
  <c r="AN272" i="1"/>
  <c r="AM272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Z272" i="1"/>
  <c r="AQ271" i="1"/>
  <c r="AP271" i="1"/>
  <c r="AO271" i="1"/>
  <c r="AN271" i="1"/>
  <c r="AM271" i="1"/>
  <c r="AL271" i="1"/>
  <c r="AK271" i="1"/>
  <c r="AJ271" i="1"/>
  <c r="AI271" i="1"/>
  <c r="AH271" i="1"/>
  <c r="AG271" i="1"/>
  <c r="AF271" i="1"/>
  <c r="AE271" i="1"/>
  <c r="AD271" i="1"/>
  <c r="AC271" i="1"/>
  <c r="AB271" i="1"/>
  <c r="AA271" i="1"/>
  <c r="Z271" i="1"/>
  <c r="AQ270" i="1"/>
  <c r="AP270" i="1"/>
  <c r="AO270" i="1"/>
  <c r="AN270" i="1"/>
  <c r="AM270" i="1"/>
  <c r="AL270" i="1"/>
  <c r="AK270" i="1"/>
  <c r="AJ270" i="1"/>
  <c r="AI270" i="1"/>
  <c r="AH270" i="1"/>
  <c r="AG270" i="1"/>
  <c r="AF270" i="1"/>
  <c r="AE270" i="1"/>
  <c r="AD270" i="1"/>
  <c r="AC270" i="1"/>
  <c r="AB270" i="1"/>
  <c r="AA270" i="1"/>
  <c r="Z270" i="1"/>
  <c r="AQ269" i="1"/>
  <c r="AP269" i="1"/>
  <c r="AO269" i="1"/>
  <c r="AN269" i="1"/>
  <c r="AM269" i="1"/>
  <c r="AL269" i="1"/>
  <c r="AK269" i="1"/>
  <c r="AJ269" i="1"/>
  <c r="AI269" i="1"/>
  <c r="AH269" i="1"/>
  <c r="AG269" i="1"/>
  <c r="AF269" i="1"/>
  <c r="AE269" i="1"/>
  <c r="AD269" i="1"/>
  <c r="AC269" i="1"/>
  <c r="AB269" i="1"/>
  <c r="AA269" i="1"/>
  <c r="Z269" i="1"/>
  <c r="AQ268" i="1"/>
  <c r="AP268" i="1"/>
  <c r="AO268" i="1"/>
  <c r="AN268" i="1"/>
  <c r="AM268" i="1"/>
  <c r="AL268" i="1"/>
  <c r="AK268" i="1"/>
  <c r="AJ268" i="1"/>
  <c r="AI268" i="1"/>
  <c r="AH268" i="1"/>
  <c r="AG268" i="1"/>
  <c r="AF268" i="1"/>
  <c r="AE268" i="1"/>
  <c r="AD268" i="1"/>
  <c r="AC268" i="1"/>
  <c r="AB268" i="1"/>
  <c r="AA268" i="1"/>
  <c r="Z268" i="1"/>
  <c r="AQ267" i="1"/>
  <c r="AP267" i="1"/>
  <c r="AO267" i="1"/>
  <c r="AN267" i="1"/>
  <c r="AM267" i="1"/>
  <c r="AL267" i="1"/>
  <c r="AK267" i="1"/>
  <c r="AJ267" i="1"/>
  <c r="AI267" i="1"/>
  <c r="AH267" i="1"/>
  <c r="AG267" i="1"/>
  <c r="AF267" i="1"/>
  <c r="AE267" i="1"/>
  <c r="AD267" i="1"/>
  <c r="AC267" i="1"/>
  <c r="AB267" i="1"/>
  <c r="AA267" i="1"/>
  <c r="Z267" i="1"/>
  <c r="AQ266" i="1"/>
  <c r="AP266" i="1"/>
  <c r="AO266" i="1"/>
  <c r="AN266" i="1"/>
  <c r="AM266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Z266" i="1"/>
  <c r="AQ265" i="1"/>
  <c r="AP265" i="1"/>
  <c r="AO265" i="1"/>
  <c r="AN265" i="1"/>
  <c r="AM265" i="1"/>
  <c r="AL265" i="1"/>
  <c r="AK265" i="1"/>
  <c r="AJ265" i="1"/>
  <c r="AI265" i="1"/>
  <c r="AH265" i="1"/>
  <c r="AG265" i="1"/>
  <c r="AF265" i="1"/>
  <c r="AE265" i="1"/>
  <c r="AD265" i="1"/>
  <c r="AC265" i="1"/>
  <c r="AB265" i="1"/>
  <c r="AA265" i="1"/>
  <c r="Z265" i="1"/>
  <c r="AQ264" i="1"/>
  <c r="AP264" i="1"/>
  <c r="AO264" i="1"/>
  <c r="AN264" i="1"/>
  <c r="AM264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Z264" i="1"/>
  <c r="AQ263" i="1"/>
  <c r="AP263" i="1"/>
  <c r="AO263" i="1"/>
  <c r="AN263" i="1"/>
  <c r="AM263" i="1"/>
  <c r="AL263" i="1"/>
  <c r="AK263" i="1"/>
  <c r="AJ263" i="1"/>
  <c r="AI263" i="1"/>
  <c r="AH263" i="1"/>
  <c r="AG263" i="1"/>
  <c r="AF263" i="1"/>
  <c r="AE263" i="1"/>
  <c r="AD263" i="1"/>
  <c r="AC263" i="1"/>
  <c r="AB263" i="1"/>
  <c r="AA263" i="1"/>
  <c r="Z263" i="1"/>
  <c r="AQ262" i="1"/>
  <c r="AP262" i="1"/>
  <c r="AO262" i="1"/>
  <c r="AN262" i="1"/>
  <c r="AM262" i="1"/>
  <c r="AL262" i="1"/>
  <c r="AK262" i="1"/>
  <c r="AJ262" i="1"/>
  <c r="AI262" i="1"/>
  <c r="AH262" i="1"/>
  <c r="AG262" i="1"/>
  <c r="AF262" i="1"/>
  <c r="AE262" i="1"/>
  <c r="AD262" i="1"/>
  <c r="AC262" i="1"/>
  <c r="AB262" i="1"/>
  <c r="AA262" i="1"/>
  <c r="Z262" i="1"/>
  <c r="AQ261" i="1"/>
  <c r="AP261" i="1"/>
  <c r="AO261" i="1"/>
  <c r="AN261" i="1"/>
  <c r="AM261" i="1"/>
  <c r="AL261" i="1"/>
  <c r="AK261" i="1"/>
  <c r="AJ261" i="1"/>
  <c r="AI261" i="1"/>
  <c r="AH261" i="1"/>
  <c r="AG261" i="1"/>
  <c r="AF261" i="1"/>
  <c r="AE261" i="1"/>
  <c r="AD261" i="1"/>
  <c r="AC261" i="1"/>
  <c r="AB261" i="1"/>
  <c r="AA261" i="1"/>
  <c r="Z261" i="1"/>
  <c r="AQ260" i="1"/>
  <c r="AP260" i="1"/>
  <c r="AO260" i="1"/>
  <c r="AN260" i="1"/>
  <c r="AM260" i="1"/>
  <c r="AL260" i="1"/>
  <c r="AK260" i="1"/>
  <c r="AJ260" i="1"/>
  <c r="AI260" i="1"/>
  <c r="AH260" i="1"/>
  <c r="AG260" i="1"/>
  <c r="AF260" i="1"/>
  <c r="AE260" i="1"/>
  <c r="AD260" i="1"/>
  <c r="AC260" i="1"/>
  <c r="AB260" i="1"/>
  <c r="AA260" i="1"/>
  <c r="Z260" i="1"/>
  <c r="AQ259" i="1"/>
  <c r="AP259" i="1"/>
  <c r="AO259" i="1"/>
  <c r="AN259" i="1"/>
  <c r="AM259" i="1"/>
  <c r="AL259" i="1"/>
  <c r="AK259" i="1"/>
  <c r="AJ259" i="1"/>
  <c r="AI259" i="1"/>
  <c r="AH259" i="1"/>
  <c r="AG259" i="1"/>
  <c r="AF259" i="1"/>
  <c r="AE259" i="1"/>
  <c r="AD259" i="1"/>
  <c r="AC259" i="1"/>
  <c r="AB259" i="1"/>
  <c r="AA259" i="1"/>
  <c r="Z259" i="1"/>
  <c r="AQ258" i="1"/>
  <c r="AP258" i="1"/>
  <c r="AO258" i="1"/>
  <c r="AN258" i="1"/>
  <c r="AM258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Z258" i="1"/>
  <c r="AQ257" i="1"/>
  <c r="AP257" i="1"/>
  <c r="AO257" i="1"/>
  <c r="AN257" i="1"/>
  <c r="AM257" i="1"/>
  <c r="AL257" i="1"/>
  <c r="AK257" i="1"/>
  <c r="AJ257" i="1"/>
  <c r="AI257" i="1"/>
  <c r="AH257" i="1"/>
  <c r="AG257" i="1"/>
  <c r="AF257" i="1"/>
  <c r="AE257" i="1"/>
  <c r="AD257" i="1"/>
  <c r="AC257" i="1"/>
  <c r="AB257" i="1"/>
  <c r="AA257" i="1"/>
  <c r="Z257" i="1"/>
  <c r="AQ256" i="1"/>
  <c r="AP256" i="1"/>
  <c r="AO256" i="1"/>
  <c r="AN256" i="1"/>
  <c r="AM256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Z256" i="1"/>
  <c r="AQ255" i="1"/>
  <c r="AP255" i="1"/>
  <c r="AO255" i="1"/>
  <c r="AN255" i="1"/>
  <c r="AM255" i="1"/>
  <c r="AL255" i="1"/>
  <c r="AK255" i="1"/>
  <c r="AJ255" i="1"/>
  <c r="AI255" i="1"/>
  <c r="AH255" i="1"/>
  <c r="AG255" i="1"/>
  <c r="AF255" i="1"/>
  <c r="AE255" i="1"/>
  <c r="AD255" i="1"/>
  <c r="AC255" i="1"/>
  <c r="AB255" i="1"/>
  <c r="AA255" i="1"/>
  <c r="Z255" i="1"/>
  <c r="AQ254" i="1"/>
  <c r="AP254" i="1"/>
  <c r="AO254" i="1"/>
  <c r="AN254" i="1"/>
  <c r="AM254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Z254" i="1"/>
  <c r="AQ253" i="1"/>
  <c r="AP253" i="1"/>
  <c r="AO253" i="1"/>
  <c r="AN253" i="1"/>
  <c r="AM253" i="1"/>
  <c r="AL253" i="1"/>
  <c r="AK253" i="1"/>
  <c r="AJ253" i="1"/>
  <c r="AI253" i="1"/>
  <c r="AH253" i="1"/>
  <c r="AG253" i="1"/>
  <c r="AF253" i="1"/>
  <c r="AE253" i="1"/>
  <c r="AD253" i="1"/>
  <c r="AC253" i="1"/>
  <c r="AB253" i="1"/>
  <c r="AA253" i="1"/>
  <c r="Z253" i="1"/>
  <c r="AQ252" i="1"/>
  <c r="AP252" i="1"/>
  <c r="AO252" i="1"/>
  <c r="AN252" i="1"/>
  <c r="AM252" i="1"/>
  <c r="AL252" i="1"/>
  <c r="AK252" i="1"/>
  <c r="AJ252" i="1"/>
  <c r="AI252" i="1"/>
  <c r="AH252" i="1"/>
  <c r="AG252" i="1"/>
  <c r="AF252" i="1"/>
  <c r="AE252" i="1"/>
  <c r="AD252" i="1"/>
  <c r="AC252" i="1"/>
  <c r="AB252" i="1"/>
  <c r="AA252" i="1"/>
  <c r="Z252" i="1"/>
  <c r="AQ251" i="1"/>
  <c r="AP251" i="1"/>
  <c r="AO251" i="1"/>
  <c r="AN251" i="1"/>
  <c r="AM251" i="1"/>
  <c r="AL251" i="1"/>
  <c r="AK251" i="1"/>
  <c r="AJ251" i="1"/>
  <c r="AI251" i="1"/>
  <c r="AH251" i="1"/>
  <c r="AG251" i="1"/>
  <c r="AF251" i="1"/>
  <c r="AE251" i="1"/>
  <c r="AD251" i="1"/>
  <c r="AC251" i="1"/>
  <c r="AB251" i="1"/>
  <c r="AA251" i="1"/>
  <c r="Z251" i="1"/>
  <c r="AQ250" i="1"/>
  <c r="AP250" i="1"/>
  <c r="AO250" i="1"/>
  <c r="AN250" i="1"/>
  <c r="AM250" i="1"/>
  <c r="AL250" i="1"/>
  <c r="AK250" i="1"/>
  <c r="AJ250" i="1"/>
  <c r="AI250" i="1"/>
  <c r="AH250" i="1"/>
  <c r="AG250" i="1"/>
  <c r="AF250" i="1"/>
  <c r="AE250" i="1"/>
  <c r="AD250" i="1"/>
  <c r="AC250" i="1"/>
  <c r="AB250" i="1"/>
  <c r="AA250" i="1"/>
  <c r="Z250" i="1"/>
  <c r="AQ249" i="1"/>
  <c r="AP249" i="1"/>
  <c r="AO249" i="1"/>
  <c r="AN249" i="1"/>
  <c r="AM249" i="1"/>
  <c r="AL249" i="1"/>
  <c r="AK249" i="1"/>
  <c r="AJ249" i="1"/>
  <c r="AI249" i="1"/>
  <c r="AH249" i="1"/>
  <c r="AG249" i="1"/>
  <c r="AF249" i="1"/>
  <c r="AE249" i="1"/>
  <c r="AD249" i="1"/>
  <c r="AC249" i="1"/>
  <c r="AB249" i="1"/>
  <c r="AA249" i="1"/>
  <c r="Z249" i="1"/>
  <c r="AQ248" i="1"/>
  <c r="AP248" i="1"/>
  <c r="AO248" i="1"/>
  <c r="AN248" i="1"/>
  <c r="AM248" i="1"/>
  <c r="AL248" i="1"/>
  <c r="AK248" i="1"/>
  <c r="AJ248" i="1"/>
  <c r="AI248" i="1"/>
  <c r="AH248" i="1"/>
  <c r="AG248" i="1"/>
  <c r="AF248" i="1"/>
  <c r="AE248" i="1"/>
  <c r="AD248" i="1"/>
  <c r="AC248" i="1"/>
  <c r="AB248" i="1"/>
  <c r="AA248" i="1"/>
  <c r="Z248" i="1"/>
  <c r="AQ247" i="1"/>
  <c r="AP247" i="1"/>
  <c r="AO247" i="1"/>
  <c r="AN247" i="1"/>
  <c r="AM247" i="1"/>
  <c r="AL247" i="1"/>
  <c r="AK247" i="1"/>
  <c r="AJ247" i="1"/>
  <c r="AI247" i="1"/>
  <c r="AH247" i="1"/>
  <c r="AG247" i="1"/>
  <c r="AF247" i="1"/>
  <c r="AE247" i="1"/>
  <c r="AD247" i="1"/>
  <c r="AC247" i="1"/>
  <c r="AB247" i="1"/>
  <c r="AA247" i="1"/>
  <c r="Z247" i="1"/>
  <c r="AQ246" i="1"/>
  <c r="AP246" i="1"/>
  <c r="AO246" i="1"/>
  <c r="AN246" i="1"/>
  <c r="AM246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Z246" i="1"/>
  <c r="AQ245" i="1"/>
  <c r="AP245" i="1"/>
  <c r="AO245" i="1"/>
  <c r="AN245" i="1"/>
  <c r="AM245" i="1"/>
  <c r="AL245" i="1"/>
  <c r="AK245" i="1"/>
  <c r="AJ245" i="1"/>
  <c r="AI245" i="1"/>
  <c r="AH245" i="1"/>
  <c r="AG245" i="1"/>
  <c r="AF245" i="1"/>
  <c r="AE245" i="1"/>
  <c r="AD245" i="1"/>
  <c r="AC245" i="1"/>
  <c r="AB245" i="1"/>
  <c r="AA245" i="1"/>
  <c r="Z245" i="1"/>
  <c r="AQ244" i="1"/>
  <c r="AP244" i="1"/>
  <c r="AO244" i="1"/>
  <c r="AN244" i="1"/>
  <c r="AM244" i="1"/>
  <c r="AL244" i="1"/>
  <c r="AK244" i="1"/>
  <c r="AJ244" i="1"/>
  <c r="AI244" i="1"/>
  <c r="AH244" i="1"/>
  <c r="AG244" i="1"/>
  <c r="AF244" i="1"/>
  <c r="AE244" i="1"/>
  <c r="AD244" i="1"/>
  <c r="AC244" i="1"/>
  <c r="AB244" i="1"/>
  <c r="AA244" i="1"/>
  <c r="Z244" i="1"/>
  <c r="AQ243" i="1"/>
  <c r="AP243" i="1"/>
  <c r="AO243" i="1"/>
  <c r="AN243" i="1"/>
  <c r="AM243" i="1"/>
  <c r="AL243" i="1"/>
  <c r="AK243" i="1"/>
  <c r="AJ243" i="1"/>
  <c r="AI243" i="1"/>
  <c r="AH243" i="1"/>
  <c r="AG243" i="1"/>
  <c r="AF243" i="1"/>
  <c r="AE243" i="1"/>
  <c r="AD243" i="1"/>
  <c r="AC243" i="1"/>
  <c r="AB243" i="1"/>
  <c r="AA243" i="1"/>
  <c r="Z243" i="1"/>
  <c r="AQ242" i="1"/>
  <c r="AP242" i="1"/>
  <c r="AO242" i="1"/>
  <c r="AN242" i="1"/>
  <c r="AM242" i="1"/>
  <c r="AL242" i="1"/>
  <c r="AK242" i="1"/>
  <c r="AJ242" i="1"/>
  <c r="AI242" i="1"/>
  <c r="AH242" i="1"/>
  <c r="AG242" i="1"/>
  <c r="AF242" i="1"/>
  <c r="AE242" i="1"/>
  <c r="AD242" i="1"/>
  <c r="AC242" i="1"/>
  <c r="AB242" i="1"/>
  <c r="AA242" i="1"/>
  <c r="Z242" i="1"/>
  <c r="AQ241" i="1"/>
  <c r="AP241" i="1"/>
  <c r="AO241" i="1"/>
  <c r="AN241" i="1"/>
  <c r="AM241" i="1"/>
  <c r="AL241" i="1"/>
  <c r="AK241" i="1"/>
  <c r="AJ241" i="1"/>
  <c r="AI241" i="1"/>
  <c r="AH241" i="1"/>
  <c r="AG241" i="1"/>
  <c r="AF241" i="1"/>
  <c r="AE241" i="1"/>
  <c r="AD241" i="1"/>
  <c r="AC241" i="1"/>
  <c r="AB241" i="1"/>
  <c r="AA241" i="1"/>
  <c r="Z241" i="1"/>
  <c r="AQ240" i="1"/>
  <c r="AP240" i="1"/>
  <c r="AO240" i="1"/>
  <c r="AN240" i="1"/>
  <c r="AM240" i="1"/>
  <c r="AL240" i="1"/>
  <c r="AK240" i="1"/>
  <c r="AJ240" i="1"/>
  <c r="AI240" i="1"/>
  <c r="AH240" i="1"/>
  <c r="AG240" i="1"/>
  <c r="AF240" i="1"/>
  <c r="AE240" i="1"/>
  <c r="AD240" i="1"/>
  <c r="AC240" i="1"/>
  <c r="AB240" i="1"/>
  <c r="AA240" i="1"/>
  <c r="Z240" i="1"/>
  <c r="AQ239" i="1"/>
  <c r="AP239" i="1"/>
  <c r="AO239" i="1"/>
  <c r="AN239" i="1"/>
  <c r="AM239" i="1"/>
  <c r="AL239" i="1"/>
  <c r="AK239" i="1"/>
  <c r="AJ239" i="1"/>
  <c r="AI239" i="1"/>
  <c r="AH239" i="1"/>
  <c r="AG239" i="1"/>
  <c r="AF239" i="1"/>
  <c r="AE239" i="1"/>
  <c r="AD239" i="1"/>
  <c r="AC239" i="1"/>
  <c r="AB239" i="1"/>
  <c r="AA239" i="1"/>
  <c r="Z239" i="1"/>
  <c r="AQ238" i="1"/>
  <c r="AP238" i="1"/>
  <c r="AO238" i="1"/>
  <c r="AN238" i="1"/>
  <c r="AM238" i="1"/>
  <c r="AL238" i="1"/>
  <c r="AK238" i="1"/>
  <c r="AJ238" i="1"/>
  <c r="AI238" i="1"/>
  <c r="AH238" i="1"/>
  <c r="AG238" i="1"/>
  <c r="AF238" i="1"/>
  <c r="AE238" i="1"/>
  <c r="AD238" i="1"/>
  <c r="AC238" i="1"/>
  <c r="AB238" i="1"/>
  <c r="AA238" i="1"/>
  <c r="Z238" i="1"/>
  <c r="AQ237" i="1"/>
  <c r="AP237" i="1"/>
  <c r="AO237" i="1"/>
  <c r="AN237" i="1"/>
  <c r="AM237" i="1"/>
  <c r="AL237" i="1"/>
  <c r="AK237" i="1"/>
  <c r="AJ237" i="1"/>
  <c r="AI237" i="1"/>
  <c r="AH237" i="1"/>
  <c r="AG237" i="1"/>
  <c r="AF237" i="1"/>
  <c r="AE237" i="1"/>
  <c r="AD237" i="1"/>
  <c r="AC237" i="1"/>
  <c r="AB237" i="1"/>
  <c r="AA237" i="1"/>
  <c r="Z237" i="1"/>
  <c r="AQ236" i="1"/>
  <c r="AP236" i="1"/>
  <c r="AO236" i="1"/>
  <c r="AN236" i="1"/>
  <c r="AM236" i="1"/>
  <c r="AL236" i="1"/>
  <c r="AK236" i="1"/>
  <c r="AJ236" i="1"/>
  <c r="AI236" i="1"/>
  <c r="AH236" i="1"/>
  <c r="AG236" i="1"/>
  <c r="AF236" i="1"/>
  <c r="AE236" i="1"/>
  <c r="AD236" i="1"/>
  <c r="AC236" i="1"/>
  <c r="AB236" i="1"/>
  <c r="AA236" i="1"/>
  <c r="Z236" i="1"/>
  <c r="AQ235" i="1"/>
  <c r="AP235" i="1"/>
  <c r="AO235" i="1"/>
  <c r="AN235" i="1"/>
  <c r="AM235" i="1"/>
  <c r="AL235" i="1"/>
  <c r="AK235" i="1"/>
  <c r="AJ235" i="1"/>
  <c r="AI235" i="1"/>
  <c r="AH235" i="1"/>
  <c r="AG235" i="1"/>
  <c r="AF235" i="1"/>
  <c r="AE235" i="1"/>
  <c r="AD235" i="1"/>
  <c r="AC235" i="1"/>
  <c r="AB235" i="1"/>
  <c r="AA235" i="1"/>
  <c r="Z235" i="1"/>
  <c r="AQ234" i="1"/>
  <c r="AP234" i="1"/>
  <c r="AO234" i="1"/>
  <c r="AN234" i="1"/>
  <c r="AM234" i="1"/>
  <c r="AL234" i="1"/>
  <c r="AK234" i="1"/>
  <c r="AJ234" i="1"/>
  <c r="AI234" i="1"/>
  <c r="AH234" i="1"/>
  <c r="AG234" i="1"/>
  <c r="AF234" i="1"/>
  <c r="AE234" i="1"/>
  <c r="AD234" i="1"/>
  <c r="AC234" i="1"/>
  <c r="AB234" i="1"/>
  <c r="AA234" i="1"/>
  <c r="Z234" i="1"/>
  <c r="AQ233" i="1"/>
  <c r="AP233" i="1"/>
  <c r="AO233" i="1"/>
  <c r="AN233" i="1"/>
  <c r="AM233" i="1"/>
  <c r="AL233" i="1"/>
  <c r="AK233" i="1"/>
  <c r="AJ233" i="1"/>
  <c r="AI233" i="1"/>
  <c r="AH233" i="1"/>
  <c r="AG233" i="1"/>
  <c r="AF233" i="1"/>
  <c r="AE233" i="1"/>
  <c r="AD233" i="1"/>
  <c r="AC233" i="1"/>
  <c r="AB233" i="1"/>
  <c r="AA233" i="1"/>
  <c r="Z233" i="1"/>
  <c r="AQ232" i="1"/>
  <c r="AP232" i="1"/>
  <c r="AO232" i="1"/>
  <c r="AN232" i="1"/>
  <c r="AM232" i="1"/>
  <c r="AL232" i="1"/>
  <c r="AK232" i="1"/>
  <c r="AJ232" i="1"/>
  <c r="AI232" i="1"/>
  <c r="AH232" i="1"/>
  <c r="AG232" i="1"/>
  <c r="AF232" i="1"/>
  <c r="AE232" i="1"/>
  <c r="AD232" i="1"/>
  <c r="AC232" i="1"/>
  <c r="AB232" i="1"/>
  <c r="AA232" i="1"/>
  <c r="Z232" i="1"/>
  <c r="AQ231" i="1"/>
  <c r="AP231" i="1"/>
  <c r="AO231" i="1"/>
  <c r="AN231" i="1"/>
  <c r="AM231" i="1"/>
  <c r="AL231" i="1"/>
  <c r="AK231" i="1"/>
  <c r="AJ231" i="1"/>
  <c r="AI231" i="1"/>
  <c r="AH231" i="1"/>
  <c r="AG231" i="1"/>
  <c r="AF231" i="1"/>
  <c r="AE231" i="1"/>
  <c r="AD231" i="1"/>
  <c r="AC231" i="1"/>
  <c r="AB231" i="1"/>
  <c r="AA231" i="1"/>
  <c r="Z231" i="1"/>
  <c r="AQ230" i="1"/>
  <c r="AP230" i="1"/>
  <c r="AO230" i="1"/>
  <c r="AN230" i="1"/>
  <c r="AM230" i="1"/>
  <c r="AL230" i="1"/>
  <c r="AK230" i="1"/>
  <c r="AJ230" i="1"/>
  <c r="AI230" i="1"/>
  <c r="AH230" i="1"/>
  <c r="AG230" i="1"/>
  <c r="AF230" i="1"/>
  <c r="AE230" i="1"/>
  <c r="AD230" i="1"/>
  <c r="AC230" i="1"/>
  <c r="AB230" i="1"/>
  <c r="AA230" i="1"/>
  <c r="Z230" i="1"/>
  <c r="AQ229" i="1"/>
  <c r="AP229" i="1"/>
  <c r="AO229" i="1"/>
  <c r="AN229" i="1"/>
  <c r="AM229" i="1"/>
  <c r="AL229" i="1"/>
  <c r="AK229" i="1"/>
  <c r="AJ229" i="1"/>
  <c r="AI229" i="1"/>
  <c r="AH229" i="1"/>
  <c r="AG229" i="1"/>
  <c r="AF229" i="1"/>
  <c r="AE229" i="1"/>
  <c r="AD229" i="1"/>
  <c r="AC229" i="1"/>
  <c r="AB229" i="1"/>
  <c r="AA229" i="1"/>
  <c r="Z229" i="1"/>
  <c r="AQ228" i="1"/>
  <c r="AP228" i="1"/>
  <c r="AO228" i="1"/>
  <c r="AN228" i="1"/>
  <c r="AM228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AQ227" i="1"/>
  <c r="AP227" i="1"/>
  <c r="AO227" i="1"/>
  <c r="AN227" i="1"/>
  <c r="AM227" i="1"/>
  <c r="AL227" i="1"/>
  <c r="AK227" i="1"/>
  <c r="AJ227" i="1"/>
  <c r="AI227" i="1"/>
  <c r="AH227" i="1"/>
  <c r="AG227" i="1"/>
  <c r="AF227" i="1"/>
  <c r="AE227" i="1"/>
  <c r="AD227" i="1"/>
  <c r="AC227" i="1"/>
  <c r="AB227" i="1"/>
  <c r="AA227" i="1"/>
  <c r="Z227" i="1"/>
  <c r="AQ226" i="1"/>
  <c r="AP226" i="1"/>
  <c r="AO226" i="1"/>
  <c r="AN226" i="1"/>
  <c r="AM226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Z226" i="1"/>
  <c r="AQ225" i="1"/>
  <c r="AP225" i="1"/>
  <c r="AO225" i="1"/>
  <c r="AN225" i="1"/>
  <c r="AM225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Z225" i="1"/>
  <c r="AQ224" i="1"/>
  <c r="AP224" i="1"/>
  <c r="AO224" i="1"/>
  <c r="AN224" i="1"/>
  <c r="AM224" i="1"/>
  <c r="AL224" i="1"/>
  <c r="AK224" i="1"/>
  <c r="AJ224" i="1"/>
  <c r="AI224" i="1"/>
  <c r="AH224" i="1"/>
  <c r="AG224" i="1"/>
  <c r="AF224" i="1"/>
  <c r="AE224" i="1"/>
  <c r="AD224" i="1"/>
  <c r="AC224" i="1"/>
  <c r="AB224" i="1"/>
  <c r="AA224" i="1"/>
  <c r="Z224" i="1"/>
  <c r="AQ223" i="1"/>
  <c r="AP223" i="1"/>
  <c r="AO223" i="1"/>
  <c r="AN223" i="1"/>
  <c r="AM223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Z223" i="1"/>
  <c r="AQ222" i="1"/>
  <c r="AP222" i="1"/>
  <c r="AO222" i="1"/>
  <c r="AN222" i="1"/>
  <c r="AM222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Z222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Z221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AQ219" i="1"/>
  <c r="AP219" i="1"/>
  <c r="AO219" i="1"/>
  <c r="AN219" i="1"/>
  <c r="AM219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AQ218" i="1"/>
  <c r="AP218" i="1"/>
  <c r="AO218" i="1"/>
  <c r="AN218" i="1"/>
  <c r="AM218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Z218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Z216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Z215" i="1"/>
  <c r="AQ214" i="1"/>
  <c r="AP214" i="1"/>
  <c r="AO214" i="1"/>
  <c r="AN214" i="1"/>
  <c r="AM214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Z214" i="1"/>
  <c r="AQ213" i="1"/>
  <c r="AP213" i="1"/>
  <c r="AO213" i="1"/>
  <c r="AN213" i="1"/>
  <c r="AM213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Z212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Z211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Z209" i="1"/>
  <c r="AQ208" i="1"/>
  <c r="AP208" i="1"/>
  <c r="AO208" i="1"/>
  <c r="AN208" i="1"/>
  <c r="AM208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AQ207" i="1"/>
  <c r="AP207" i="1"/>
  <c r="AO207" i="1"/>
  <c r="AN207" i="1"/>
  <c r="AM207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AQ206" i="1"/>
  <c r="AP206" i="1"/>
  <c r="AO206" i="1"/>
  <c r="AN206" i="1"/>
  <c r="AM206" i="1"/>
  <c r="AL206" i="1"/>
  <c r="AK206" i="1"/>
  <c r="AJ206" i="1"/>
  <c r="AI206" i="1"/>
  <c r="AH206" i="1"/>
  <c r="AG206" i="1"/>
  <c r="AF206" i="1"/>
  <c r="AE206" i="1"/>
  <c r="AD206" i="1"/>
  <c r="AC206" i="1"/>
  <c r="AB206" i="1"/>
  <c r="AA206" i="1"/>
  <c r="Z206" i="1"/>
  <c r="AQ205" i="1"/>
  <c r="AP205" i="1"/>
  <c r="AO205" i="1"/>
  <c r="AN205" i="1"/>
  <c r="AM205" i="1"/>
  <c r="AL205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AQ204" i="1"/>
  <c r="AP204" i="1"/>
  <c r="AO204" i="1"/>
  <c r="AN204" i="1"/>
  <c r="AM204" i="1"/>
  <c r="AL204" i="1"/>
  <c r="AK204" i="1"/>
  <c r="AJ204" i="1"/>
  <c r="AI204" i="1"/>
  <c r="AH204" i="1"/>
  <c r="AG204" i="1"/>
  <c r="AF204" i="1"/>
  <c r="AE204" i="1"/>
  <c r="AD204" i="1"/>
  <c r="AC204" i="1"/>
  <c r="AB204" i="1"/>
  <c r="AA204" i="1"/>
  <c r="Z204" i="1"/>
  <c r="AQ203" i="1"/>
  <c r="AP203" i="1"/>
  <c r="AO203" i="1"/>
  <c r="AN203" i="1"/>
  <c r="AM203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AQ202" i="1"/>
  <c r="AP202" i="1"/>
  <c r="AO202" i="1"/>
  <c r="AN202" i="1"/>
  <c r="AM202" i="1"/>
  <c r="AL202" i="1"/>
  <c r="AK202" i="1"/>
  <c r="AJ202" i="1"/>
  <c r="AI202" i="1"/>
  <c r="AH202" i="1"/>
  <c r="AG202" i="1"/>
  <c r="AF202" i="1"/>
  <c r="AE202" i="1"/>
  <c r="AD202" i="1"/>
  <c r="AC202" i="1"/>
  <c r="AB202" i="1"/>
  <c r="AA202" i="1"/>
  <c r="Z202" i="1"/>
  <c r="AQ201" i="1"/>
  <c r="AP201" i="1"/>
  <c r="AO201" i="1"/>
  <c r="AN201" i="1"/>
  <c r="AM201" i="1"/>
  <c r="AL201" i="1"/>
  <c r="AK201" i="1"/>
  <c r="AJ201" i="1"/>
  <c r="AI201" i="1"/>
  <c r="AH201" i="1"/>
  <c r="AG201" i="1"/>
  <c r="AF201" i="1"/>
  <c r="AE201" i="1"/>
  <c r="AD201" i="1"/>
  <c r="AC201" i="1"/>
  <c r="AB201" i="1"/>
  <c r="AA201" i="1"/>
  <c r="Z201" i="1"/>
  <c r="AQ200" i="1"/>
  <c r="AP200" i="1"/>
  <c r="AO200" i="1"/>
  <c r="AN200" i="1"/>
  <c r="AM200" i="1"/>
  <c r="AL200" i="1"/>
  <c r="AK200" i="1"/>
  <c r="AJ200" i="1"/>
  <c r="AI200" i="1"/>
  <c r="AH200" i="1"/>
  <c r="AG200" i="1"/>
  <c r="AF200" i="1"/>
  <c r="AE200" i="1"/>
  <c r="AD200" i="1"/>
  <c r="AC200" i="1"/>
  <c r="AB200" i="1"/>
  <c r="AA200" i="1"/>
  <c r="Z200" i="1"/>
  <c r="AQ199" i="1"/>
  <c r="AP199" i="1"/>
  <c r="AO199" i="1"/>
  <c r="AN199" i="1"/>
  <c r="AM199" i="1"/>
  <c r="AL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AQ198" i="1"/>
  <c r="AP198" i="1"/>
  <c r="AO198" i="1"/>
  <c r="AN198" i="1"/>
  <c r="AM198" i="1"/>
  <c r="AL198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AQ197" i="1"/>
  <c r="AP197" i="1"/>
  <c r="AO197" i="1"/>
  <c r="AN197" i="1"/>
  <c r="AM197" i="1"/>
  <c r="AL197" i="1"/>
  <c r="AK197" i="1"/>
  <c r="AJ197" i="1"/>
  <c r="AI197" i="1"/>
  <c r="AH197" i="1"/>
  <c r="AG197" i="1"/>
  <c r="AF197" i="1"/>
  <c r="AE197" i="1"/>
  <c r="AD197" i="1"/>
  <c r="AC197" i="1"/>
  <c r="AB197" i="1"/>
  <c r="AA197" i="1"/>
  <c r="Z197" i="1"/>
  <c r="AQ196" i="1"/>
  <c r="AP196" i="1"/>
  <c r="AO196" i="1"/>
  <c r="AN196" i="1"/>
  <c r="AM196" i="1"/>
  <c r="AL196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AQ195" i="1"/>
  <c r="AP195" i="1"/>
  <c r="AO195" i="1"/>
  <c r="AN195" i="1"/>
  <c r="AM195" i="1"/>
  <c r="AL195" i="1"/>
  <c r="AK195" i="1"/>
  <c r="AJ195" i="1"/>
  <c r="AI195" i="1"/>
  <c r="AH195" i="1"/>
  <c r="AG195" i="1"/>
  <c r="AF195" i="1"/>
  <c r="AE195" i="1"/>
  <c r="AD195" i="1"/>
  <c r="AC195" i="1"/>
  <c r="AB195" i="1"/>
  <c r="AA195" i="1"/>
  <c r="Z195" i="1"/>
  <c r="AQ194" i="1"/>
  <c r="AP194" i="1"/>
  <c r="AO194" i="1"/>
  <c r="AN194" i="1"/>
  <c r="AM194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AQ193" i="1"/>
  <c r="AP193" i="1"/>
  <c r="AO193" i="1"/>
  <c r="AN193" i="1"/>
  <c r="AM193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AQ192" i="1"/>
  <c r="AP192" i="1"/>
  <c r="AO192" i="1"/>
  <c r="AN192" i="1"/>
  <c r="AM192" i="1"/>
  <c r="AL192" i="1"/>
  <c r="AK192" i="1"/>
  <c r="AJ192" i="1"/>
  <c r="AI192" i="1"/>
  <c r="AH192" i="1"/>
  <c r="AG192" i="1"/>
  <c r="AF192" i="1"/>
  <c r="AE192" i="1"/>
  <c r="AD192" i="1"/>
  <c r="AC192" i="1"/>
  <c r="AB192" i="1"/>
  <c r="AA192" i="1"/>
  <c r="Z192" i="1"/>
  <c r="AQ191" i="1"/>
  <c r="AP191" i="1"/>
  <c r="AO191" i="1"/>
  <c r="AN191" i="1"/>
  <c r="AM191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AQ190" i="1"/>
  <c r="AP190" i="1"/>
  <c r="AO190" i="1"/>
  <c r="AN190" i="1"/>
  <c r="AM190" i="1"/>
  <c r="AL190" i="1"/>
  <c r="AK190" i="1"/>
  <c r="AJ190" i="1"/>
  <c r="AI190" i="1"/>
  <c r="AH190" i="1"/>
  <c r="AG190" i="1"/>
  <c r="AF190" i="1"/>
  <c r="AE190" i="1"/>
  <c r="AD190" i="1"/>
  <c r="AC190" i="1"/>
  <c r="AB190" i="1"/>
  <c r="AA190" i="1"/>
  <c r="Z190" i="1"/>
  <c r="AQ189" i="1"/>
  <c r="AP189" i="1"/>
  <c r="AO189" i="1"/>
  <c r="AN189" i="1"/>
  <c r="AM189" i="1"/>
  <c r="AL189" i="1"/>
  <c r="AK189" i="1"/>
  <c r="AJ189" i="1"/>
  <c r="AI189" i="1"/>
  <c r="AH189" i="1"/>
  <c r="AG189" i="1"/>
  <c r="AF189" i="1"/>
  <c r="AE189" i="1"/>
  <c r="AD189" i="1"/>
  <c r="AC189" i="1"/>
  <c r="AB189" i="1"/>
  <c r="AA189" i="1"/>
  <c r="Z189" i="1"/>
  <c r="AQ188" i="1"/>
  <c r="AP188" i="1"/>
  <c r="AO188" i="1"/>
  <c r="AN188" i="1"/>
  <c r="AM188" i="1"/>
  <c r="AL188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AQ187" i="1"/>
  <c r="AP187" i="1"/>
  <c r="AO187" i="1"/>
  <c r="AN187" i="1"/>
  <c r="AM187" i="1"/>
  <c r="AL187" i="1"/>
  <c r="AK187" i="1"/>
  <c r="AJ187" i="1"/>
  <c r="AI187" i="1"/>
  <c r="AH187" i="1"/>
  <c r="AG187" i="1"/>
  <c r="AF187" i="1"/>
  <c r="AE187" i="1"/>
  <c r="AD187" i="1"/>
  <c r="AC187" i="1"/>
  <c r="AB187" i="1"/>
  <c r="AA187" i="1"/>
  <c r="Z187" i="1"/>
  <c r="AQ186" i="1"/>
  <c r="AP186" i="1"/>
  <c r="AO186" i="1"/>
  <c r="AN186" i="1"/>
  <c r="AM186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AQ185" i="1"/>
  <c r="AP185" i="1"/>
  <c r="AO185" i="1"/>
  <c r="AN185" i="1"/>
  <c r="AM185" i="1"/>
  <c r="AL185" i="1"/>
  <c r="AK185" i="1"/>
  <c r="AJ185" i="1"/>
  <c r="AI185" i="1"/>
  <c r="AH185" i="1"/>
  <c r="AG185" i="1"/>
  <c r="AF185" i="1"/>
  <c r="AE185" i="1"/>
  <c r="AD185" i="1"/>
  <c r="AC185" i="1"/>
  <c r="AB185" i="1"/>
  <c r="AA185" i="1"/>
  <c r="Z185" i="1"/>
  <c r="AQ184" i="1"/>
  <c r="AP184" i="1"/>
  <c r="AO184" i="1"/>
  <c r="AN184" i="1"/>
  <c r="AM184" i="1"/>
  <c r="AL184" i="1"/>
  <c r="AK184" i="1"/>
  <c r="AJ184" i="1"/>
  <c r="AI184" i="1"/>
  <c r="AH184" i="1"/>
  <c r="AG184" i="1"/>
  <c r="AF184" i="1"/>
  <c r="AE184" i="1"/>
  <c r="AD184" i="1"/>
  <c r="AC184" i="1"/>
  <c r="AB184" i="1"/>
  <c r="AA184" i="1"/>
  <c r="Z184" i="1"/>
  <c r="AQ183" i="1"/>
  <c r="AP183" i="1"/>
  <c r="AO183" i="1"/>
  <c r="AN183" i="1"/>
  <c r="AM183" i="1"/>
  <c r="AL183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AQ182" i="1"/>
  <c r="AP182" i="1"/>
  <c r="AO182" i="1"/>
  <c r="AN182" i="1"/>
  <c r="AM182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Z182" i="1"/>
  <c r="AQ181" i="1"/>
  <c r="AP181" i="1"/>
  <c r="AO181" i="1"/>
  <c r="AN181" i="1"/>
  <c r="AM181" i="1"/>
  <c r="AL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AQ180" i="1"/>
  <c r="AP180" i="1"/>
  <c r="AO180" i="1"/>
  <c r="AN180" i="1"/>
  <c r="AM180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Z180" i="1"/>
  <c r="AQ179" i="1"/>
  <c r="AP179" i="1"/>
  <c r="AO179" i="1"/>
  <c r="AN179" i="1"/>
  <c r="AM179" i="1"/>
  <c r="AL179" i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AQ178" i="1"/>
  <c r="AP178" i="1"/>
  <c r="AO178" i="1"/>
  <c r="AN178" i="1"/>
  <c r="AM178" i="1"/>
  <c r="AL178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AQ177" i="1"/>
  <c r="AP177" i="1"/>
  <c r="AO177" i="1"/>
  <c r="AN177" i="1"/>
  <c r="AM177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AQ176" i="1"/>
  <c r="AP176" i="1"/>
  <c r="AO176" i="1"/>
  <c r="AN176" i="1"/>
  <c r="AM176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AQ175" i="1"/>
  <c r="AP175" i="1"/>
  <c r="AO175" i="1"/>
  <c r="AN175" i="1"/>
  <c r="AM175" i="1"/>
  <c r="AL175" i="1"/>
  <c r="AK175" i="1"/>
  <c r="AJ175" i="1"/>
  <c r="AI175" i="1"/>
  <c r="AH175" i="1"/>
  <c r="AG175" i="1"/>
  <c r="AF175" i="1"/>
  <c r="AE175" i="1"/>
  <c r="AD175" i="1"/>
  <c r="AC175" i="1"/>
  <c r="AB175" i="1"/>
  <c r="AA175" i="1"/>
  <c r="Z175" i="1"/>
  <c r="AQ174" i="1"/>
  <c r="AP174" i="1"/>
  <c r="AO174" i="1"/>
  <c r="AN174" i="1"/>
  <c r="AM174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Z174" i="1"/>
  <c r="AQ173" i="1"/>
  <c r="AP173" i="1"/>
  <c r="AO173" i="1"/>
  <c r="AN173" i="1"/>
  <c r="AM173" i="1"/>
  <c r="AL173" i="1"/>
  <c r="AK173" i="1"/>
  <c r="AJ173" i="1"/>
  <c r="AI173" i="1"/>
  <c r="AH173" i="1"/>
  <c r="AG173" i="1"/>
  <c r="AF173" i="1"/>
  <c r="AE173" i="1"/>
  <c r="AD173" i="1"/>
  <c r="AC173" i="1"/>
  <c r="AB173" i="1"/>
  <c r="AA173" i="1"/>
  <c r="Z173" i="1"/>
  <c r="AQ172" i="1"/>
  <c r="AP172" i="1"/>
  <c r="AO172" i="1"/>
  <c r="AN172" i="1"/>
  <c r="AM172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Z172" i="1"/>
  <c r="AQ171" i="1"/>
  <c r="AP171" i="1"/>
  <c r="AO171" i="1"/>
  <c r="AN171" i="1"/>
  <c r="AM171" i="1"/>
  <c r="AL171" i="1"/>
  <c r="AK171" i="1"/>
  <c r="AJ171" i="1"/>
  <c r="AI171" i="1"/>
  <c r="AH171" i="1"/>
  <c r="AG171" i="1"/>
  <c r="AF171" i="1"/>
  <c r="AE171" i="1"/>
  <c r="AD171" i="1"/>
  <c r="AC171" i="1"/>
  <c r="AB171" i="1"/>
  <c r="AA171" i="1"/>
  <c r="Z171" i="1"/>
  <c r="AQ170" i="1"/>
  <c r="AP170" i="1"/>
  <c r="AO170" i="1"/>
  <c r="AN170" i="1"/>
  <c r="AM170" i="1"/>
  <c r="AL170" i="1"/>
  <c r="AK170" i="1"/>
  <c r="AJ170" i="1"/>
  <c r="AI170" i="1"/>
  <c r="AH170" i="1"/>
  <c r="AG170" i="1"/>
  <c r="AF170" i="1"/>
  <c r="AE170" i="1"/>
  <c r="AD170" i="1"/>
  <c r="AC170" i="1"/>
  <c r="AB170" i="1"/>
  <c r="AA170" i="1"/>
  <c r="Z170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AR268" i="1" l="1"/>
  <c r="AR285" i="1"/>
  <c r="AR249" i="1"/>
  <c r="AR253" i="1"/>
  <c r="AR257" i="1"/>
  <c r="AR261" i="1"/>
  <c r="AR229" i="1"/>
  <c r="AR41" i="1"/>
  <c r="AR60" i="1"/>
  <c r="AR84" i="1"/>
  <c r="AR105" i="1"/>
  <c r="AR205" i="1"/>
  <c r="AR44" i="1"/>
  <c r="AR88" i="1"/>
  <c r="AR92" i="1"/>
  <c r="AR225" i="1"/>
  <c r="AR68" i="1"/>
  <c r="AR197" i="1"/>
  <c r="AR13" i="1"/>
  <c r="AR64" i="1"/>
  <c r="AR61" i="1"/>
  <c r="AR104" i="1"/>
  <c r="AR65" i="1"/>
  <c r="AR100" i="1"/>
  <c r="AR129" i="1"/>
  <c r="AR149" i="1"/>
  <c r="AR9" i="1"/>
  <c r="AR97" i="1"/>
  <c r="AR161" i="1"/>
  <c r="AR173" i="1"/>
  <c r="AR201" i="1"/>
  <c r="AR209" i="1"/>
  <c r="AR77" i="1"/>
  <c r="AR213" i="1"/>
  <c r="AR73" i="1"/>
  <c r="AR137" i="1"/>
  <c r="AR22" i="1"/>
  <c r="AR38" i="1"/>
  <c r="AR42" i="1"/>
  <c r="AR46" i="1"/>
  <c r="AR58" i="1"/>
  <c r="AR78" i="1"/>
  <c r="AR82" i="1"/>
  <c r="AR114" i="1"/>
  <c r="AR122" i="1"/>
  <c r="AR126" i="1"/>
  <c r="AR130" i="1"/>
  <c r="AR134" i="1"/>
  <c r="AR138" i="1"/>
  <c r="AR142" i="1"/>
  <c r="AR146" i="1"/>
  <c r="AR150" i="1"/>
  <c r="AR154" i="1"/>
  <c r="AR158" i="1"/>
  <c r="AR162" i="1"/>
  <c r="AR165" i="1"/>
  <c r="AR166" i="1"/>
  <c r="AR178" i="1"/>
  <c r="AR182" i="1"/>
  <c r="AR190" i="1"/>
  <c r="AR198" i="1"/>
  <c r="AR202" i="1"/>
  <c r="AR206" i="1"/>
  <c r="AR210" i="1"/>
  <c r="AR214" i="1"/>
  <c r="AR217" i="1"/>
  <c r="AR221" i="1"/>
  <c r="AR226" i="1"/>
  <c r="AR233" i="1"/>
  <c r="AR246" i="1"/>
  <c r="AR250" i="1"/>
  <c r="AR254" i="1"/>
  <c r="AR265" i="1"/>
  <c r="AR269" i="1"/>
  <c r="AR270" i="1"/>
  <c r="AR274" i="1"/>
  <c r="AR21" i="1"/>
  <c r="AR96" i="1"/>
  <c r="AR169" i="1"/>
  <c r="AR14" i="1"/>
  <c r="AR30" i="1"/>
  <c r="AR34" i="1"/>
  <c r="AR25" i="1"/>
  <c r="AR29" i="1"/>
  <c r="AR69" i="1"/>
  <c r="AR93" i="1"/>
  <c r="AR133" i="1"/>
  <c r="AR153" i="1"/>
  <c r="AR11" i="1"/>
  <c r="AR15" i="1"/>
  <c r="AR23" i="1"/>
  <c r="AR27" i="1"/>
  <c r="AR43" i="1"/>
  <c r="AR51" i="1"/>
  <c r="AR55" i="1"/>
  <c r="AR59" i="1"/>
  <c r="AR62" i="1"/>
  <c r="AR63" i="1"/>
  <c r="AR66" i="1"/>
  <c r="AR67" i="1"/>
  <c r="AR70" i="1"/>
  <c r="AR74" i="1"/>
  <c r="AR86" i="1"/>
  <c r="AR87" i="1"/>
  <c r="AR90" i="1"/>
  <c r="AR91" i="1"/>
  <c r="AR94" i="1"/>
  <c r="AR95" i="1"/>
  <c r="AR98" i="1"/>
  <c r="AR99" i="1"/>
  <c r="AR102" i="1"/>
  <c r="AR103" i="1"/>
  <c r="AR106" i="1"/>
  <c r="AR119" i="1"/>
  <c r="AR123" i="1"/>
  <c r="AR127" i="1"/>
  <c r="AR131" i="1"/>
  <c r="AR135" i="1"/>
  <c r="AR139" i="1"/>
  <c r="AR143" i="1"/>
  <c r="AR151" i="1"/>
  <c r="AR155" i="1"/>
  <c r="AR179" i="1"/>
  <c r="AR195" i="1"/>
  <c r="AR199" i="1"/>
  <c r="AR203" i="1"/>
  <c r="AR207" i="1"/>
  <c r="AR211" i="1"/>
  <c r="AR215" i="1"/>
  <c r="AR219" i="1"/>
  <c r="AR223" i="1"/>
  <c r="AR227" i="1"/>
  <c r="AR234" i="1"/>
  <c r="AR251" i="1"/>
  <c r="AR259" i="1"/>
  <c r="AR263" i="1"/>
  <c r="AR279" i="1"/>
  <c r="AR287" i="1"/>
  <c r="AR295" i="1"/>
  <c r="AR10" i="1"/>
  <c r="AR26" i="1"/>
  <c r="AR19" i="1"/>
  <c r="AR31" i="1"/>
  <c r="AR147" i="1"/>
  <c r="AR171" i="1"/>
  <c r="AR255" i="1"/>
  <c r="AR17" i="1"/>
  <c r="AR57" i="1"/>
  <c r="AR89" i="1"/>
  <c r="AR125" i="1"/>
  <c r="AR16" i="1"/>
  <c r="AR28" i="1"/>
  <c r="AR40" i="1"/>
  <c r="AR56" i="1"/>
  <c r="AR80" i="1"/>
  <c r="AR124" i="1"/>
  <c r="AR132" i="1"/>
  <c r="AR136" i="1"/>
  <c r="AR140" i="1"/>
  <c r="AR144" i="1"/>
  <c r="AR156" i="1"/>
  <c r="AR160" i="1"/>
  <c r="AR163" i="1"/>
  <c r="AR164" i="1"/>
  <c r="AR167" i="1"/>
  <c r="AR180" i="1"/>
  <c r="AR184" i="1"/>
  <c r="AR196" i="1"/>
  <c r="AR204" i="1"/>
  <c r="AR208" i="1"/>
  <c r="AR212" i="1"/>
  <c r="AR220" i="1"/>
  <c r="AR224" i="1"/>
  <c r="AR228" i="1"/>
  <c r="AR231" i="1"/>
  <c r="AR235" i="1"/>
  <c r="AR248" i="1"/>
  <c r="AR252" i="1"/>
  <c r="AR256" i="1"/>
  <c r="AR264" i="1"/>
  <c r="AR267" i="1"/>
  <c r="AR272" i="1"/>
  <c r="AR292" i="1"/>
  <c r="AR300" i="1"/>
  <c r="AR304" i="1"/>
  <c r="AR53" i="1"/>
  <c r="AR101" i="1"/>
  <c r="AR141" i="1"/>
  <c r="AR145" i="1"/>
  <c r="AR18" i="1"/>
  <c r="AR12" i="1"/>
  <c r="AR20" i="1"/>
  <c r="AR24" i="1"/>
  <c r="AR32" i="1"/>
  <c r="AR36" i="1"/>
  <c r="AR72" i="1"/>
  <c r="AR76" i="1"/>
  <c r="AR168" i="1"/>
  <c r="AR216" i="1"/>
  <c r="AR33" i="1"/>
  <c r="AR35" i="1"/>
  <c r="AR45" i="1"/>
  <c r="AR50" i="1"/>
  <c r="AR37" i="1"/>
  <c r="AR48" i="1"/>
  <c r="AR39" i="1"/>
  <c r="AR52" i="1"/>
  <c r="AR49" i="1"/>
  <c r="AR47" i="1"/>
  <c r="AR54" i="1"/>
  <c r="AR79" i="1"/>
  <c r="AR71" i="1"/>
  <c r="AR83" i="1"/>
  <c r="AR85" i="1"/>
  <c r="AR75" i="1"/>
  <c r="AR81" i="1"/>
  <c r="AR107" i="1"/>
  <c r="AR115" i="1"/>
  <c r="AR112" i="1"/>
  <c r="AR118" i="1"/>
  <c r="AR109" i="1"/>
  <c r="AR111" i="1"/>
  <c r="AR121" i="1"/>
  <c r="AR108" i="1"/>
  <c r="AR116" i="1"/>
  <c r="AR120" i="1"/>
  <c r="AR128" i="1"/>
  <c r="AR113" i="1"/>
  <c r="AR110" i="1"/>
  <c r="AR117" i="1"/>
  <c r="AR148" i="1"/>
  <c r="AR152" i="1"/>
  <c r="AR159" i="1"/>
  <c r="AR157" i="1"/>
  <c r="AR172" i="1"/>
  <c r="AR174" i="1"/>
  <c r="AR176" i="1"/>
  <c r="AR177" i="1"/>
  <c r="AR175" i="1"/>
  <c r="AR170" i="1"/>
  <c r="AR200" i="1"/>
  <c r="AR187" i="1"/>
  <c r="AR192" i="1"/>
  <c r="AR181" i="1"/>
  <c r="AR189" i="1"/>
  <c r="AR193" i="1"/>
  <c r="AR186" i="1"/>
  <c r="AR194" i="1"/>
  <c r="AR183" i="1"/>
  <c r="AR191" i="1"/>
  <c r="AR188" i="1"/>
  <c r="AR185" i="1"/>
  <c r="AR222" i="1"/>
  <c r="AR218" i="1"/>
  <c r="AR232" i="1"/>
  <c r="AR230" i="1"/>
  <c r="AR237" i="1"/>
  <c r="AR247" i="1"/>
  <c r="AR238" i="1"/>
  <c r="AR241" i="1"/>
  <c r="AR243" i="1"/>
  <c r="AR240" i="1"/>
  <c r="AR239" i="1"/>
  <c r="AR236" i="1"/>
  <c r="AR242" i="1"/>
  <c r="AR244" i="1"/>
  <c r="AR245" i="1"/>
  <c r="AR260" i="1"/>
  <c r="AR262" i="1"/>
  <c r="AR266" i="1"/>
  <c r="AR258" i="1"/>
  <c r="AR271" i="1"/>
  <c r="AR276" i="1"/>
  <c r="AR283" i="1"/>
  <c r="AR273" i="1"/>
  <c r="AR278" i="1"/>
  <c r="AR275" i="1"/>
  <c r="AR280" i="1"/>
  <c r="AR277" i="1"/>
  <c r="AR284" i="1"/>
  <c r="AR298" i="1"/>
  <c r="AR281" i="1"/>
  <c r="AR289" i="1"/>
  <c r="AR296" i="1"/>
  <c r="AR303" i="1"/>
  <c r="AR286" i="1"/>
  <c r="AR294" i="1"/>
  <c r="AR301" i="1"/>
  <c r="AR291" i="1"/>
  <c r="AR299" i="1"/>
  <c r="AR288" i="1"/>
  <c r="AR297" i="1"/>
  <c r="AR282" i="1"/>
  <c r="AR290" i="1"/>
  <c r="AR293" i="1"/>
  <c r="AR302" i="1"/>
  <c r="AS304" i="1" l="1"/>
  <c r="BS304" i="1" s="1"/>
  <c r="AS169" i="1"/>
  <c r="BJ169" i="1" s="1"/>
  <c r="AS15" i="1"/>
  <c r="AS101" i="1"/>
  <c r="AS177" i="1"/>
  <c r="AS14" i="1"/>
  <c r="AS30" i="1"/>
  <c r="AS35" i="1"/>
  <c r="AS13" i="1"/>
  <c r="AS29" i="1"/>
  <c r="AS81" i="1"/>
  <c r="AS53" i="1"/>
  <c r="AS69" i="1"/>
  <c r="AS62" i="1"/>
  <c r="AS83" i="1"/>
  <c r="AS99" i="1"/>
  <c r="AS115" i="1"/>
  <c r="AS90" i="1"/>
  <c r="AS106" i="1"/>
  <c r="AS150" i="1"/>
  <c r="AS131" i="1"/>
  <c r="AS147" i="1"/>
  <c r="AS128" i="1"/>
  <c r="AS144" i="1"/>
  <c r="AS168" i="1"/>
  <c r="AS155" i="1"/>
  <c r="AS178" i="1"/>
  <c r="AS179" i="1"/>
  <c r="AS183" i="1"/>
  <c r="AS206" i="1"/>
  <c r="AS203" i="1"/>
  <c r="AS219" i="1"/>
  <c r="AS235" i="1"/>
  <c r="AS224" i="1"/>
  <c r="AS243" i="1"/>
  <c r="AS246" i="1"/>
  <c r="AS249" i="1"/>
  <c r="AS274" i="1"/>
  <c r="AS252" i="1"/>
  <c r="AS268" i="1"/>
  <c r="AS287" i="1"/>
  <c r="AS288" i="1"/>
  <c r="AS31" i="1"/>
  <c r="AS112" i="1"/>
  <c r="AS148" i="1"/>
  <c r="AS191" i="1"/>
  <c r="AS226" i="1"/>
  <c r="AS297" i="1"/>
  <c r="AS18" i="1"/>
  <c r="AS10" i="1"/>
  <c r="AS36" i="1"/>
  <c r="AS17" i="1"/>
  <c r="AS38" i="1"/>
  <c r="AS41" i="1"/>
  <c r="AS57" i="1"/>
  <c r="AS79" i="1"/>
  <c r="AS66" i="1"/>
  <c r="AS87" i="1"/>
  <c r="AS103" i="1"/>
  <c r="AS118" i="1"/>
  <c r="AS94" i="1"/>
  <c r="AS114" i="1"/>
  <c r="AS156" i="1"/>
  <c r="AS135" i="1"/>
  <c r="AS158" i="1"/>
  <c r="AS132" i="1"/>
  <c r="AS151" i="1"/>
  <c r="AS170" i="1"/>
  <c r="AS159" i="1"/>
  <c r="AS175" i="1"/>
  <c r="AS195" i="1"/>
  <c r="AS194" i="1"/>
  <c r="AS210" i="1"/>
  <c r="AS207" i="1"/>
  <c r="AS223" i="1"/>
  <c r="AS242" i="1"/>
  <c r="AS228" i="1"/>
  <c r="AS239" i="1"/>
  <c r="AS250" i="1"/>
  <c r="AS259" i="1"/>
  <c r="AS285" i="1"/>
  <c r="AS256" i="1"/>
  <c r="AS278" i="1"/>
  <c r="AS289" i="1"/>
  <c r="AS294" i="1"/>
  <c r="AS50" i="1"/>
  <c r="AS85" i="1"/>
  <c r="AS133" i="1"/>
  <c r="AS184" i="1"/>
  <c r="AS221" i="1"/>
  <c r="AS251" i="1"/>
  <c r="AS281" i="1"/>
  <c r="AS20" i="1"/>
  <c r="AS12" i="1"/>
  <c r="AS37" i="1"/>
  <c r="AS19" i="1"/>
  <c r="AS44" i="1"/>
  <c r="AS43" i="1"/>
  <c r="AS59" i="1"/>
  <c r="AS52" i="1"/>
  <c r="AS68" i="1"/>
  <c r="AS89" i="1"/>
  <c r="AS105" i="1"/>
  <c r="AS80" i="1"/>
  <c r="AS96" i="1"/>
  <c r="AS119" i="1"/>
  <c r="AS121" i="1"/>
  <c r="AS137" i="1"/>
  <c r="AS149" i="1"/>
  <c r="AS134" i="1"/>
  <c r="AS153" i="1"/>
  <c r="AS171" i="1"/>
  <c r="AS161" i="1"/>
  <c r="AS188" i="1"/>
  <c r="AS180" i="1"/>
  <c r="AS196" i="1"/>
  <c r="AS212" i="1"/>
  <c r="AS209" i="1"/>
  <c r="AS225" i="1"/>
  <c r="AS237" i="1"/>
  <c r="AS230" i="1"/>
  <c r="AS255" i="1"/>
  <c r="AS279" i="1"/>
  <c r="AS263" i="1"/>
  <c r="AS295" i="1"/>
  <c r="AS258" i="1"/>
  <c r="AS275" i="1"/>
  <c r="AS303" i="1"/>
  <c r="AS296" i="1"/>
  <c r="AS16" i="1"/>
  <c r="AS55" i="1"/>
  <c r="AS109" i="1"/>
  <c r="AS146" i="1"/>
  <c r="AS205" i="1"/>
  <c r="AS248" i="1"/>
  <c r="AS273" i="1"/>
  <c r="AS22" i="1"/>
  <c r="AS33" i="1"/>
  <c r="AS42" i="1"/>
  <c r="AS21" i="1"/>
  <c r="AS74" i="1"/>
  <c r="AS45" i="1"/>
  <c r="AS61" i="1"/>
  <c r="AS54" i="1"/>
  <c r="AS70" i="1"/>
  <c r="AS91" i="1"/>
  <c r="AS113" i="1"/>
  <c r="AS82" i="1"/>
  <c r="AS98" i="1"/>
  <c r="AS111" i="1"/>
  <c r="AS123" i="1"/>
  <c r="AS139" i="1"/>
  <c r="AS152" i="1"/>
  <c r="AS136" i="1"/>
  <c r="AS160" i="1"/>
  <c r="AS172" i="1"/>
  <c r="AS163" i="1"/>
  <c r="AS185" i="1"/>
  <c r="AS181" i="1"/>
  <c r="AS198" i="1"/>
  <c r="AS214" i="1"/>
  <c r="AS211" i="1"/>
  <c r="AS227" i="1"/>
  <c r="AS216" i="1"/>
  <c r="AS232" i="1"/>
  <c r="AS257" i="1"/>
  <c r="AS272" i="1"/>
  <c r="AS265" i="1"/>
  <c r="AS270" i="1"/>
  <c r="AS260" i="1"/>
  <c r="AS282" i="1"/>
  <c r="AS286" i="1"/>
  <c r="AS298" i="1"/>
  <c r="AS78" i="1"/>
  <c r="AS154" i="1"/>
  <c r="AS157" i="1"/>
  <c r="AS236" i="1"/>
  <c r="AS254" i="1"/>
  <c r="AS24" i="1"/>
  <c r="AS40" i="1"/>
  <c r="AS48" i="1"/>
  <c r="AS23" i="1"/>
  <c r="AS75" i="1"/>
  <c r="AS47" i="1"/>
  <c r="AS63" i="1"/>
  <c r="AS56" i="1"/>
  <c r="AS71" i="1"/>
  <c r="AS93" i="1"/>
  <c r="AS110" i="1"/>
  <c r="AS84" i="1"/>
  <c r="AS100" i="1"/>
  <c r="AS108" i="1"/>
  <c r="AS125" i="1"/>
  <c r="AS141" i="1"/>
  <c r="AS122" i="1"/>
  <c r="AS138" i="1"/>
  <c r="AS162" i="1"/>
  <c r="AS174" i="1"/>
  <c r="AS165" i="1"/>
  <c r="AS190" i="1"/>
  <c r="AS189" i="1"/>
  <c r="AS200" i="1"/>
  <c r="AS197" i="1"/>
  <c r="AS213" i="1"/>
  <c r="AS229" i="1"/>
  <c r="AS218" i="1"/>
  <c r="AS234" i="1"/>
  <c r="AS253" i="1"/>
  <c r="AS292" i="1"/>
  <c r="AS267" i="1"/>
  <c r="AS271" i="1"/>
  <c r="AS262" i="1"/>
  <c r="AS290" i="1"/>
  <c r="AS301" i="1"/>
  <c r="AS300" i="1"/>
  <c r="AS39" i="1"/>
  <c r="AS92" i="1"/>
  <c r="AS130" i="1"/>
  <c r="AS208" i="1"/>
  <c r="AS240" i="1"/>
  <c r="AS284" i="1"/>
  <c r="AS26" i="1"/>
  <c r="AS46" i="1"/>
  <c r="AS9" i="1"/>
  <c r="AS25" i="1"/>
  <c r="AS76" i="1"/>
  <c r="AS49" i="1"/>
  <c r="AS65" i="1"/>
  <c r="AS58" i="1"/>
  <c r="AS72" i="1"/>
  <c r="AS95" i="1"/>
  <c r="AS117" i="1"/>
  <c r="AS86" i="1"/>
  <c r="AS102" i="1"/>
  <c r="AS116" i="1"/>
  <c r="AS127" i="1"/>
  <c r="AS143" i="1"/>
  <c r="AS124" i="1"/>
  <c r="AS140" i="1"/>
  <c r="AS164" i="1"/>
  <c r="AS173" i="1"/>
  <c r="AS167" i="1"/>
  <c r="AS187" i="1"/>
  <c r="AS193" i="1"/>
  <c r="AS202" i="1"/>
  <c r="AS199" i="1"/>
  <c r="AS215" i="1"/>
  <c r="AS231" i="1"/>
  <c r="AS220" i="1"/>
  <c r="AS238" i="1"/>
  <c r="AS261" i="1"/>
  <c r="AS245" i="1"/>
  <c r="AS269" i="1"/>
  <c r="AS276" i="1"/>
  <c r="AS264" i="1"/>
  <c r="AS293" i="1"/>
  <c r="AS291" i="1"/>
  <c r="AS302" i="1"/>
  <c r="AS32" i="1"/>
  <c r="AS64" i="1"/>
  <c r="AS28" i="1"/>
  <c r="AS34" i="1"/>
  <c r="AS11" i="1"/>
  <c r="AS27" i="1"/>
  <c r="AS77" i="1"/>
  <c r="AS51" i="1"/>
  <c r="AS67" i="1"/>
  <c r="AS60" i="1"/>
  <c r="AS73" i="1"/>
  <c r="AS97" i="1"/>
  <c r="AS107" i="1"/>
  <c r="AS88" i="1"/>
  <c r="AS104" i="1"/>
  <c r="AS120" i="1"/>
  <c r="AS129" i="1"/>
  <c r="AS145" i="1"/>
  <c r="AS126" i="1"/>
  <c r="AS142" i="1"/>
  <c r="AS166" i="1"/>
  <c r="AS182" i="1"/>
  <c r="AS176" i="1"/>
  <c r="AS192" i="1"/>
  <c r="AS186" i="1"/>
  <c r="AS204" i="1"/>
  <c r="AS201" i="1"/>
  <c r="AS217" i="1"/>
  <c r="AS233" i="1"/>
  <c r="AS222" i="1"/>
  <c r="AS241" i="1"/>
  <c r="AS244" i="1"/>
  <c r="AS247" i="1"/>
  <c r="AS277" i="1"/>
  <c r="AS283" i="1"/>
  <c r="AS266" i="1"/>
  <c r="AS280" i="1"/>
  <c r="AS299" i="1"/>
  <c r="BE304" i="1" l="1"/>
  <c r="BF304" i="1"/>
  <c r="BI304" i="1"/>
  <c r="BQ304" i="1"/>
  <c r="AV304" i="1"/>
  <c r="BR304" i="1"/>
  <c r="AY304" i="1"/>
  <c r="BC169" i="1"/>
  <c r="BG304" i="1"/>
  <c r="BG169" i="1"/>
  <c r="AW304" i="1"/>
  <c r="BA169" i="1"/>
  <c r="AZ304" i="1"/>
  <c r="BM304" i="1"/>
  <c r="BB304" i="1"/>
  <c r="BD169" i="1"/>
  <c r="AY169" i="1"/>
  <c r="BS169" i="1"/>
  <c r="BD304" i="1"/>
  <c r="AX304" i="1"/>
  <c r="BJ304" i="1"/>
  <c r="BM169" i="1"/>
  <c r="BH169" i="1"/>
  <c r="BB169" i="1"/>
  <c r="AV169" i="1"/>
  <c r="BQ169" i="1"/>
  <c r="BK169" i="1"/>
  <c r="BH304" i="1"/>
  <c r="BN304" i="1"/>
  <c r="BC304" i="1"/>
  <c r="BE169" i="1"/>
  <c r="AZ169" i="1"/>
  <c r="AX169" i="1"/>
  <c r="BL304" i="1"/>
  <c r="BP304" i="1"/>
  <c r="BK304" i="1"/>
  <c r="BO169" i="1"/>
  <c r="BI169" i="1"/>
  <c r="BF169" i="1"/>
  <c r="BO304" i="1"/>
  <c r="BA304" i="1"/>
  <c r="AW169" i="1"/>
  <c r="BR169" i="1"/>
  <c r="BN169" i="1"/>
  <c r="BL169" i="1"/>
  <c r="BP169" i="1"/>
  <c r="BR73" i="1"/>
  <c r="BJ73" i="1"/>
  <c r="BB73" i="1"/>
  <c r="BM73" i="1"/>
  <c r="BD73" i="1"/>
  <c r="BL73" i="1"/>
  <c r="BC73" i="1"/>
  <c r="BK73" i="1"/>
  <c r="BA73" i="1"/>
  <c r="BS73" i="1"/>
  <c r="BI73" i="1"/>
  <c r="AZ73" i="1"/>
  <c r="BQ73" i="1"/>
  <c r="BH73" i="1"/>
  <c r="AY73" i="1"/>
  <c r="BP73" i="1"/>
  <c r="BG73" i="1"/>
  <c r="AX73" i="1"/>
  <c r="BO73" i="1"/>
  <c r="BF73" i="1"/>
  <c r="AW73" i="1"/>
  <c r="BN73" i="1"/>
  <c r="BE73" i="1"/>
  <c r="AV73" i="1"/>
  <c r="BR290" i="1"/>
  <c r="BJ290" i="1"/>
  <c r="BB290" i="1"/>
  <c r="BN290" i="1"/>
  <c r="BF290" i="1"/>
  <c r="AX290" i="1"/>
  <c r="BM290" i="1"/>
  <c r="BC290" i="1"/>
  <c r="BL290" i="1"/>
  <c r="BA290" i="1"/>
  <c r="BK290" i="1"/>
  <c r="AZ290" i="1"/>
  <c r="BI290" i="1"/>
  <c r="AY290" i="1"/>
  <c r="BS290" i="1"/>
  <c r="BH290" i="1"/>
  <c r="AW290" i="1"/>
  <c r="BQ290" i="1"/>
  <c r="BG290" i="1"/>
  <c r="AV290" i="1"/>
  <c r="BP290" i="1"/>
  <c r="BE290" i="1"/>
  <c r="BO290" i="1"/>
  <c r="BD290" i="1"/>
  <c r="BN163" i="1"/>
  <c r="BF163" i="1"/>
  <c r="AX163" i="1"/>
  <c r="BM163" i="1"/>
  <c r="BE163" i="1"/>
  <c r="AW163" i="1"/>
  <c r="BL163" i="1"/>
  <c r="BD163" i="1"/>
  <c r="AV163" i="1"/>
  <c r="BS163" i="1"/>
  <c r="BK163" i="1"/>
  <c r="BC163" i="1"/>
  <c r="BR163" i="1"/>
  <c r="BJ163" i="1"/>
  <c r="BB163" i="1"/>
  <c r="BQ163" i="1"/>
  <c r="BI163" i="1"/>
  <c r="BA163" i="1"/>
  <c r="BP163" i="1"/>
  <c r="BH163" i="1"/>
  <c r="AZ163" i="1"/>
  <c r="BO163" i="1"/>
  <c r="BG163" i="1"/>
  <c r="AY163" i="1"/>
  <c r="BP145" i="1"/>
  <c r="BH145" i="1"/>
  <c r="AZ145" i="1"/>
  <c r="BO145" i="1"/>
  <c r="BG145" i="1"/>
  <c r="AY145" i="1"/>
  <c r="BN145" i="1"/>
  <c r="BF145" i="1"/>
  <c r="AX145" i="1"/>
  <c r="BM145" i="1"/>
  <c r="BE145" i="1"/>
  <c r="AW145" i="1"/>
  <c r="BL145" i="1"/>
  <c r="BD145" i="1"/>
  <c r="AV145" i="1"/>
  <c r="BS145" i="1"/>
  <c r="BK145" i="1"/>
  <c r="BC145" i="1"/>
  <c r="BR145" i="1"/>
  <c r="BJ145" i="1"/>
  <c r="BB145" i="1"/>
  <c r="BQ145" i="1"/>
  <c r="BI145" i="1"/>
  <c r="BA145" i="1"/>
  <c r="BR193" i="1"/>
  <c r="BJ193" i="1"/>
  <c r="BB193" i="1"/>
  <c r="BQ193" i="1"/>
  <c r="BI193" i="1"/>
  <c r="BA193" i="1"/>
  <c r="BO193" i="1"/>
  <c r="BN193" i="1"/>
  <c r="BF193" i="1"/>
  <c r="AX193" i="1"/>
  <c r="BK193" i="1"/>
  <c r="AW193" i="1"/>
  <c r="BH193" i="1"/>
  <c r="AV193" i="1"/>
  <c r="BG193" i="1"/>
  <c r="BE193" i="1"/>
  <c r="BS193" i="1"/>
  <c r="BD193" i="1"/>
  <c r="BP193" i="1"/>
  <c r="BC193" i="1"/>
  <c r="BM193" i="1"/>
  <c r="AZ193" i="1"/>
  <c r="BL193" i="1"/>
  <c r="AY193" i="1"/>
  <c r="BM262" i="1"/>
  <c r="BE262" i="1"/>
  <c r="AW262" i="1"/>
  <c r="BS262" i="1"/>
  <c r="BK262" i="1"/>
  <c r="BC262" i="1"/>
  <c r="BR262" i="1"/>
  <c r="BJ262" i="1"/>
  <c r="BB262" i="1"/>
  <c r="BQ262" i="1"/>
  <c r="BI262" i="1"/>
  <c r="BA262" i="1"/>
  <c r="BP262" i="1"/>
  <c r="BH262" i="1"/>
  <c r="AZ262" i="1"/>
  <c r="BO262" i="1"/>
  <c r="BG262" i="1"/>
  <c r="AY262" i="1"/>
  <c r="AX262" i="1"/>
  <c r="AV262" i="1"/>
  <c r="BN262" i="1"/>
  <c r="BL262" i="1"/>
  <c r="BF262" i="1"/>
  <c r="BD262" i="1"/>
  <c r="BO40" i="1"/>
  <c r="BG40" i="1"/>
  <c r="AY40" i="1"/>
  <c r="BN40" i="1"/>
  <c r="BF40" i="1"/>
  <c r="AX40" i="1"/>
  <c r="BL40" i="1"/>
  <c r="BB40" i="1"/>
  <c r="BK40" i="1"/>
  <c r="BA40" i="1"/>
  <c r="BJ40" i="1"/>
  <c r="AZ40" i="1"/>
  <c r="BS40" i="1"/>
  <c r="BI40" i="1"/>
  <c r="AW40" i="1"/>
  <c r="BR40" i="1"/>
  <c r="BH40" i="1"/>
  <c r="AV40" i="1"/>
  <c r="BQ40" i="1"/>
  <c r="BE40" i="1"/>
  <c r="BP40" i="1"/>
  <c r="BD40" i="1"/>
  <c r="BM40" i="1"/>
  <c r="BC40" i="1"/>
  <c r="BN82" i="1"/>
  <c r="BF82" i="1"/>
  <c r="AX82" i="1"/>
  <c r="BM82" i="1"/>
  <c r="BE82" i="1"/>
  <c r="AW82" i="1"/>
  <c r="BS82" i="1"/>
  <c r="BK82" i="1"/>
  <c r="BC82" i="1"/>
  <c r="BQ82" i="1"/>
  <c r="BI82" i="1"/>
  <c r="BA82" i="1"/>
  <c r="BP82" i="1"/>
  <c r="BH82" i="1"/>
  <c r="AZ82" i="1"/>
  <c r="BD82" i="1"/>
  <c r="BB82" i="1"/>
  <c r="AY82" i="1"/>
  <c r="BR82" i="1"/>
  <c r="AV82" i="1"/>
  <c r="BO82" i="1"/>
  <c r="BL82" i="1"/>
  <c r="BJ82" i="1"/>
  <c r="BG82" i="1"/>
  <c r="BO196" i="1"/>
  <c r="BG196" i="1"/>
  <c r="AY196" i="1"/>
  <c r="BN196" i="1"/>
  <c r="BF196" i="1"/>
  <c r="AX196" i="1"/>
  <c r="BM196" i="1"/>
  <c r="BE196" i="1"/>
  <c r="AW196" i="1"/>
  <c r="BS196" i="1"/>
  <c r="BK196" i="1"/>
  <c r="BC196" i="1"/>
  <c r="BR196" i="1"/>
  <c r="BJ196" i="1"/>
  <c r="BB196" i="1"/>
  <c r="BQ196" i="1"/>
  <c r="BI196" i="1"/>
  <c r="BA196" i="1"/>
  <c r="BP196" i="1"/>
  <c r="BL196" i="1"/>
  <c r="BH196" i="1"/>
  <c r="BD196" i="1"/>
  <c r="AZ196" i="1"/>
  <c r="AV196" i="1"/>
  <c r="BN289" i="1"/>
  <c r="BF289" i="1"/>
  <c r="AX289" i="1"/>
  <c r="BR289" i="1"/>
  <c r="BJ289" i="1"/>
  <c r="BB289" i="1"/>
  <c r="BI289" i="1"/>
  <c r="AY289" i="1"/>
  <c r="BS289" i="1"/>
  <c r="BH289" i="1"/>
  <c r="AW289" i="1"/>
  <c r="BQ289" i="1"/>
  <c r="BG289" i="1"/>
  <c r="AV289" i="1"/>
  <c r="BP289" i="1"/>
  <c r="BE289" i="1"/>
  <c r="BO289" i="1"/>
  <c r="BD289" i="1"/>
  <c r="BM289" i="1"/>
  <c r="BC289" i="1"/>
  <c r="BL289" i="1"/>
  <c r="BA289" i="1"/>
  <c r="BK289" i="1"/>
  <c r="AZ289" i="1"/>
  <c r="BN186" i="1"/>
  <c r="BF186" i="1"/>
  <c r="AX186" i="1"/>
  <c r="BR186" i="1"/>
  <c r="BJ186" i="1"/>
  <c r="BB186" i="1"/>
  <c r="BQ186" i="1"/>
  <c r="BG186" i="1"/>
  <c r="AV186" i="1"/>
  <c r="BP186" i="1"/>
  <c r="BE186" i="1"/>
  <c r="BO186" i="1"/>
  <c r="BD186" i="1"/>
  <c r="BM186" i="1"/>
  <c r="BC186" i="1"/>
  <c r="BL186" i="1"/>
  <c r="BA186" i="1"/>
  <c r="BK186" i="1"/>
  <c r="AZ186" i="1"/>
  <c r="BI186" i="1"/>
  <c r="AY186" i="1"/>
  <c r="BS186" i="1"/>
  <c r="BH186" i="1"/>
  <c r="AW186" i="1"/>
  <c r="BN32" i="1"/>
  <c r="BF32" i="1"/>
  <c r="BS32" i="1"/>
  <c r="BJ32" i="1"/>
  <c r="BA32" i="1"/>
  <c r="BR32" i="1"/>
  <c r="BI32" i="1"/>
  <c r="AZ32" i="1"/>
  <c r="BQ32" i="1"/>
  <c r="BH32" i="1"/>
  <c r="AY32" i="1"/>
  <c r="BP32" i="1"/>
  <c r="BG32" i="1"/>
  <c r="AX32" i="1"/>
  <c r="BO32" i="1"/>
  <c r="BE32" i="1"/>
  <c r="AW32" i="1"/>
  <c r="BM32" i="1"/>
  <c r="BD32" i="1"/>
  <c r="AV32" i="1"/>
  <c r="BL32" i="1"/>
  <c r="BC32" i="1"/>
  <c r="BK32" i="1"/>
  <c r="BB32" i="1"/>
  <c r="BR116" i="1"/>
  <c r="BJ116" i="1"/>
  <c r="BB116" i="1"/>
  <c r="BQ116" i="1"/>
  <c r="BI116" i="1"/>
  <c r="BA116" i="1"/>
  <c r="BN116" i="1"/>
  <c r="BF116" i="1"/>
  <c r="AX116" i="1"/>
  <c r="BG116" i="1"/>
  <c r="BS116" i="1"/>
  <c r="BE116" i="1"/>
  <c r="BP116" i="1"/>
  <c r="BD116" i="1"/>
  <c r="BO116" i="1"/>
  <c r="BC116" i="1"/>
  <c r="BM116" i="1"/>
  <c r="AZ116" i="1"/>
  <c r="BL116" i="1"/>
  <c r="AY116" i="1"/>
  <c r="BK116" i="1"/>
  <c r="AW116" i="1"/>
  <c r="BH116" i="1"/>
  <c r="AV116" i="1"/>
  <c r="BP208" i="1"/>
  <c r="BH208" i="1"/>
  <c r="AZ208" i="1"/>
  <c r="BO208" i="1"/>
  <c r="BG208" i="1"/>
  <c r="AY208" i="1"/>
  <c r="BN208" i="1"/>
  <c r="BF208" i="1"/>
  <c r="AX208" i="1"/>
  <c r="BM208" i="1"/>
  <c r="BE208" i="1"/>
  <c r="AW208" i="1"/>
  <c r="BL208" i="1"/>
  <c r="BD208" i="1"/>
  <c r="AV208" i="1"/>
  <c r="BS208" i="1"/>
  <c r="BK208" i="1"/>
  <c r="BC208" i="1"/>
  <c r="BR208" i="1"/>
  <c r="BJ208" i="1"/>
  <c r="BB208" i="1"/>
  <c r="BQ208" i="1"/>
  <c r="BI208" i="1"/>
  <c r="BA208" i="1"/>
  <c r="BS122" i="1"/>
  <c r="BK122" i="1"/>
  <c r="BC122" i="1"/>
  <c r="BR122" i="1"/>
  <c r="BJ122" i="1"/>
  <c r="BB122" i="1"/>
  <c r="BQ122" i="1"/>
  <c r="BI122" i="1"/>
  <c r="BA122" i="1"/>
  <c r="BO122" i="1"/>
  <c r="BG122" i="1"/>
  <c r="AY122" i="1"/>
  <c r="BN122" i="1"/>
  <c r="BF122" i="1"/>
  <c r="AX122" i="1"/>
  <c r="BH122" i="1"/>
  <c r="BE122" i="1"/>
  <c r="BD122" i="1"/>
  <c r="AZ122" i="1"/>
  <c r="AW122" i="1"/>
  <c r="BP122" i="1"/>
  <c r="AV122" i="1"/>
  <c r="BM122" i="1"/>
  <c r="BL122" i="1"/>
  <c r="BR282" i="1"/>
  <c r="BJ282" i="1"/>
  <c r="BB282" i="1"/>
  <c r="BN282" i="1"/>
  <c r="BF282" i="1"/>
  <c r="AX282" i="1"/>
  <c r="BM282" i="1"/>
  <c r="BC282" i="1"/>
  <c r="BK282" i="1"/>
  <c r="AZ282" i="1"/>
  <c r="BS282" i="1"/>
  <c r="BH282" i="1"/>
  <c r="AW282" i="1"/>
  <c r="BQ282" i="1"/>
  <c r="BG282" i="1"/>
  <c r="AV282" i="1"/>
  <c r="BP282" i="1"/>
  <c r="BE282" i="1"/>
  <c r="BI282" i="1"/>
  <c r="BD282" i="1"/>
  <c r="BA282" i="1"/>
  <c r="AY282" i="1"/>
  <c r="BO282" i="1"/>
  <c r="BL282" i="1"/>
  <c r="BN113" i="1"/>
  <c r="BF113" i="1"/>
  <c r="AX113" i="1"/>
  <c r="BR113" i="1"/>
  <c r="BJ113" i="1"/>
  <c r="BB113" i="1"/>
  <c r="BO113" i="1"/>
  <c r="BD113" i="1"/>
  <c r="BM113" i="1"/>
  <c r="BC113" i="1"/>
  <c r="BL113" i="1"/>
  <c r="BA113" i="1"/>
  <c r="BK113" i="1"/>
  <c r="AZ113" i="1"/>
  <c r="BI113" i="1"/>
  <c r="AY113" i="1"/>
  <c r="BS113" i="1"/>
  <c r="BH113" i="1"/>
  <c r="AW113" i="1"/>
  <c r="BQ113" i="1"/>
  <c r="BG113" i="1"/>
  <c r="AV113" i="1"/>
  <c r="BP113" i="1"/>
  <c r="BE113" i="1"/>
  <c r="BR279" i="1"/>
  <c r="BJ279" i="1"/>
  <c r="BB279" i="1"/>
  <c r="BP279" i="1"/>
  <c r="BH279" i="1"/>
  <c r="AZ279" i="1"/>
  <c r="BO279" i="1"/>
  <c r="BG279" i="1"/>
  <c r="AY279" i="1"/>
  <c r="BN279" i="1"/>
  <c r="BF279" i="1"/>
  <c r="AX279" i="1"/>
  <c r="BI279" i="1"/>
  <c r="BE279" i="1"/>
  <c r="BD279" i="1"/>
  <c r="BS279" i="1"/>
  <c r="BC279" i="1"/>
  <c r="BQ279" i="1"/>
  <c r="BA279" i="1"/>
  <c r="BM279" i="1"/>
  <c r="AW279" i="1"/>
  <c r="BL279" i="1"/>
  <c r="AV279" i="1"/>
  <c r="BK279" i="1"/>
  <c r="BN278" i="1"/>
  <c r="BF278" i="1"/>
  <c r="AX278" i="1"/>
  <c r="BS278" i="1"/>
  <c r="BK278" i="1"/>
  <c r="BC278" i="1"/>
  <c r="BR278" i="1"/>
  <c r="BJ278" i="1"/>
  <c r="BB278" i="1"/>
  <c r="BH278" i="1"/>
  <c r="AV278" i="1"/>
  <c r="BG278" i="1"/>
  <c r="BQ278" i="1"/>
  <c r="BE278" i="1"/>
  <c r="BP278" i="1"/>
  <c r="BD278" i="1"/>
  <c r="BO278" i="1"/>
  <c r="BA278" i="1"/>
  <c r="BM278" i="1"/>
  <c r="AZ278" i="1"/>
  <c r="BL278" i="1"/>
  <c r="AY278" i="1"/>
  <c r="AW278" i="1"/>
  <c r="BI278" i="1"/>
  <c r="BL201" i="1"/>
  <c r="BD201" i="1"/>
  <c r="AV201" i="1"/>
  <c r="BS201" i="1"/>
  <c r="BK201" i="1"/>
  <c r="BC201" i="1"/>
  <c r="BR201" i="1"/>
  <c r="BJ201" i="1"/>
  <c r="BB201" i="1"/>
  <c r="BQ201" i="1"/>
  <c r="BI201" i="1"/>
  <c r="BA201" i="1"/>
  <c r="BO201" i="1"/>
  <c r="BG201" i="1"/>
  <c r="AY201" i="1"/>
  <c r="BN201" i="1"/>
  <c r="BF201" i="1"/>
  <c r="AX201" i="1"/>
  <c r="BM201" i="1"/>
  <c r="BE201" i="1"/>
  <c r="AW201" i="1"/>
  <c r="AZ201" i="1"/>
  <c r="BP201" i="1"/>
  <c r="BH201" i="1"/>
  <c r="BL58" i="1"/>
  <c r="BD58" i="1"/>
  <c r="AV58" i="1"/>
  <c r="BS58" i="1"/>
  <c r="BK58" i="1"/>
  <c r="BC58" i="1"/>
  <c r="BR58" i="1"/>
  <c r="BJ58" i="1"/>
  <c r="BB58" i="1"/>
  <c r="BQ58" i="1"/>
  <c r="BI58" i="1"/>
  <c r="BA58" i="1"/>
  <c r="BP58" i="1"/>
  <c r="BH58" i="1"/>
  <c r="AZ58" i="1"/>
  <c r="BO58" i="1"/>
  <c r="BG58" i="1"/>
  <c r="AY58" i="1"/>
  <c r="BN58" i="1"/>
  <c r="BF58" i="1"/>
  <c r="AX58" i="1"/>
  <c r="BM58" i="1"/>
  <c r="BE58" i="1"/>
  <c r="AW58" i="1"/>
  <c r="BR48" i="1"/>
  <c r="BJ48" i="1"/>
  <c r="BB48" i="1"/>
  <c r="BQ48" i="1"/>
  <c r="BI48" i="1"/>
  <c r="BA48" i="1"/>
  <c r="BO48" i="1"/>
  <c r="BG48" i="1"/>
  <c r="AY48" i="1"/>
  <c r="BN48" i="1"/>
  <c r="BF48" i="1"/>
  <c r="AX48" i="1"/>
  <c r="BM48" i="1"/>
  <c r="BE48" i="1"/>
  <c r="AW48" i="1"/>
  <c r="BC48" i="1"/>
  <c r="AZ48" i="1"/>
  <c r="BS48" i="1"/>
  <c r="AV48" i="1"/>
  <c r="BP48" i="1"/>
  <c r="BL48" i="1"/>
  <c r="BK48" i="1"/>
  <c r="BH48" i="1"/>
  <c r="BD48" i="1"/>
  <c r="BO295" i="1"/>
  <c r="BG295" i="1"/>
  <c r="AY295" i="1"/>
  <c r="BN295" i="1"/>
  <c r="BF295" i="1"/>
  <c r="AX295" i="1"/>
  <c r="BM295" i="1"/>
  <c r="BE295" i="1"/>
  <c r="AW295" i="1"/>
  <c r="BR295" i="1"/>
  <c r="BJ295" i="1"/>
  <c r="BB295" i="1"/>
  <c r="BQ295" i="1"/>
  <c r="BI295" i="1"/>
  <c r="BA295" i="1"/>
  <c r="BL295" i="1"/>
  <c r="BK295" i="1"/>
  <c r="BH295" i="1"/>
  <c r="BD295" i="1"/>
  <c r="BC295" i="1"/>
  <c r="AZ295" i="1"/>
  <c r="BS295" i="1"/>
  <c r="AV295" i="1"/>
  <c r="BP295" i="1"/>
  <c r="BS245" i="1"/>
  <c r="BK245" i="1"/>
  <c r="BC245" i="1"/>
  <c r="BR245" i="1"/>
  <c r="BJ245" i="1"/>
  <c r="BB245" i="1"/>
  <c r="BQ245" i="1"/>
  <c r="BI245" i="1"/>
  <c r="BA245" i="1"/>
  <c r="BP245" i="1"/>
  <c r="BH245" i="1"/>
  <c r="AZ245" i="1"/>
  <c r="BO245" i="1"/>
  <c r="BG245" i="1"/>
  <c r="AY245" i="1"/>
  <c r="BN245" i="1"/>
  <c r="BF245" i="1"/>
  <c r="AX245" i="1"/>
  <c r="BM245" i="1"/>
  <c r="BE245" i="1"/>
  <c r="AW245" i="1"/>
  <c r="BL245" i="1"/>
  <c r="BD245" i="1"/>
  <c r="AV245" i="1"/>
  <c r="BN240" i="1"/>
  <c r="BF240" i="1"/>
  <c r="AX240" i="1"/>
  <c r="BM240" i="1"/>
  <c r="BE240" i="1"/>
  <c r="AW240" i="1"/>
  <c r="BR240" i="1"/>
  <c r="BJ240" i="1"/>
  <c r="BB240" i="1"/>
  <c r="BQ240" i="1"/>
  <c r="BI240" i="1"/>
  <c r="BA240" i="1"/>
  <c r="BL240" i="1"/>
  <c r="AV240" i="1"/>
  <c r="BK240" i="1"/>
  <c r="BH240" i="1"/>
  <c r="BG240" i="1"/>
  <c r="BD240" i="1"/>
  <c r="BS240" i="1"/>
  <c r="BC240" i="1"/>
  <c r="BP240" i="1"/>
  <c r="AZ240" i="1"/>
  <c r="BO240" i="1"/>
  <c r="AY240" i="1"/>
  <c r="BR93" i="1"/>
  <c r="BJ93" i="1"/>
  <c r="BB93" i="1"/>
  <c r="BQ93" i="1"/>
  <c r="BI93" i="1"/>
  <c r="BA93" i="1"/>
  <c r="BP93" i="1"/>
  <c r="BH93" i="1"/>
  <c r="AZ93" i="1"/>
  <c r="BO93" i="1"/>
  <c r="BG93" i="1"/>
  <c r="AY93" i="1"/>
  <c r="BN93" i="1"/>
  <c r="BF93" i="1"/>
  <c r="AX93" i="1"/>
  <c r="BM93" i="1"/>
  <c r="BE93" i="1"/>
  <c r="AW93" i="1"/>
  <c r="BL93" i="1"/>
  <c r="BD93" i="1"/>
  <c r="AV93" i="1"/>
  <c r="BS93" i="1"/>
  <c r="BK93" i="1"/>
  <c r="BC93" i="1"/>
  <c r="BR172" i="1"/>
  <c r="BJ172" i="1"/>
  <c r="BB172" i="1"/>
  <c r="BS172" i="1"/>
  <c r="BI172" i="1"/>
  <c r="AZ172" i="1"/>
  <c r="BQ172" i="1"/>
  <c r="BH172" i="1"/>
  <c r="AY172" i="1"/>
  <c r="BP172" i="1"/>
  <c r="BG172" i="1"/>
  <c r="AX172" i="1"/>
  <c r="BO172" i="1"/>
  <c r="BF172" i="1"/>
  <c r="AW172" i="1"/>
  <c r="BN172" i="1"/>
  <c r="BE172" i="1"/>
  <c r="AV172" i="1"/>
  <c r="BM172" i="1"/>
  <c r="BD172" i="1"/>
  <c r="BL172" i="1"/>
  <c r="BC172" i="1"/>
  <c r="BK172" i="1"/>
  <c r="BA172" i="1"/>
  <c r="BQ263" i="1"/>
  <c r="BI263" i="1"/>
  <c r="BA263" i="1"/>
  <c r="BP263" i="1"/>
  <c r="BH263" i="1"/>
  <c r="AZ263" i="1"/>
  <c r="BO263" i="1"/>
  <c r="BG263" i="1"/>
  <c r="AY263" i="1"/>
  <c r="BN263" i="1"/>
  <c r="BF263" i="1"/>
  <c r="AX263" i="1"/>
  <c r="BM263" i="1"/>
  <c r="BE263" i="1"/>
  <c r="AW263" i="1"/>
  <c r="BL263" i="1"/>
  <c r="BD263" i="1"/>
  <c r="AV263" i="1"/>
  <c r="BS263" i="1"/>
  <c r="BK263" i="1"/>
  <c r="BC263" i="1"/>
  <c r="BB263" i="1"/>
  <c r="BR263" i="1"/>
  <c r="BJ263" i="1"/>
  <c r="BN281" i="1"/>
  <c r="BF281" i="1"/>
  <c r="AX281" i="1"/>
  <c r="BR281" i="1"/>
  <c r="BJ281" i="1"/>
  <c r="BB281" i="1"/>
  <c r="BI281" i="1"/>
  <c r="AY281" i="1"/>
  <c r="BQ281" i="1"/>
  <c r="BG281" i="1"/>
  <c r="AV281" i="1"/>
  <c r="BO281" i="1"/>
  <c r="BD281" i="1"/>
  <c r="BM281" i="1"/>
  <c r="BC281" i="1"/>
  <c r="BL281" i="1"/>
  <c r="BA281" i="1"/>
  <c r="BK281" i="1"/>
  <c r="BH281" i="1"/>
  <c r="BE281" i="1"/>
  <c r="AZ281" i="1"/>
  <c r="AW281" i="1"/>
  <c r="BS281" i="1"/>
  <c r="BP281" i="1"/>
  <c r="BS247" i="1"/>
  <c r="BK247" i="1"/>
  <c r="BC247" i="1"/>
  <c r="BR247" i="1"/>
  <c r="BJ247" i="1"/>
  <c r="BB247" i="1"/>
  <c r="BQ247" i="1"/>
  <c r="BI247" i="1"/>
  <c r="BA247" i="1"/>
  <c r="BP247" i="1"/>
  <c r="BH247" i="1"/>
  <c r="AZ247" i="1"/>
  <c r="BO247" i="1"/>
  <c r="BG247" i="1"/>
  <c r="AY247" i="1"/>
  <c r="BN247" i="1"/>
  <c r="BF247" i="1"/>
  <c r="AX247" i="1"/>
  <c r="BM247" i="1"/>
  <c r="BE247" i="1"/>
  <c r="AW247" i="1"/>
  <c r="BL247" i="1"/>
  <c r="BD247" i="1"/>
  <c r="AV247" i="1"/>
  <c r="BP67" i="1"/>
  <c r="BH67" i="1"/>
  <c r="AZ67" i="1"/>
  <c r="BO67" i="1"/>
  <c r="BG67" i="1"/>
  <c r="AY67" i="1"/>
  <c r="BN67" i="1"/>
  <c r="BF67" i="1"/>
  <c r="AX67" i="1"/>
  <c r="BM67" i="1"/>
  <c r="BE67" i="1"/>
  <c r="AW67" i="1"/>
  <c r="BL67" i="1"/>
  <c r="BD67" i="1"/>
  <c r="AV67" i="1"/>
  <c r="BS67" i="1"/>
  <c r="BK67" i="1"/>
  <c r="BC67" i="1"/>
  <c r="BR67" i="1"/>
  <c r="BJ67" i="1"/>
  <c r="BB67" i="1"/>
  <c r="BQ67" i="1"/>
  <c r="BI67" i="1"/>
  <c r="BA67" i="1"/>
  <c r="BR187" i="1"/>
  <c r="BJ187" i="1"/>
  <c r="BB187" i="1"/>
  <c r="BN187" i="1"/>
  <c r="BF187" i="1"/>
  <c r="AX187" i="1"/>
  <c r="BK187" i="1"/>
  <c r="AZ187" i="1"/>
  <c r="BI187" i="1"/>
  <c r="AY187" i="1"/>
  <c r="BS187" i="1"/>
  <c r="BH187" i="1"/>
  <c r="AW187" i="1"/>
  <c r="BQ187" i="1"/>
  <c r="BG187" i="1"/>
  <c r="AV187" i="1"/>
  <c r="BP187" i="1"/>
  <c r="BE187" i="1"/>
  <c r="BO187" i="1"/>
  <c r="BD187" i="1"/>
  <c r="BM187" i="1"/>
  <c r="BC187" i="1"/>
  <c r="BL187" i="1"/>
  <c r="BA187" i="1"/>
  <c r="BR271" i="1"/>
  <c r="BJ271" i="1"/>
  <c r="BB271" i="1"/>
  <c r="BN271" i="1"/>
  <c r="BF271" i="1"/>
  <c r="AX271" i="1"/>
  <c r="BK271" i="1"/>
  <c r="AZ271" i="1"/>
  <c r="BI271" i="1"/>
  <c r="AY271" i="1"/>
  <c r="BS271" i="1"/>
  <c r="BH271" i="1"/>
  <c r="AW271" i="1"/>
  <c r="BQ271" i="1"/>
  <c r="BG271" i="1"/>
  <c r="AV271" i="1"/>
  <c r="BP271" i="1"/>
  <c r="BE271" i="1"/>
  <c r="BO271" i="1"/>
  <c r="BD271" i="1"/>
  <c r="BM271" i="1"/>
  <c r="BC271" i="1"/>
  <c r="BL271" i="1"/>
  <c r="BA271" i="1"/>
  <c r="BR71" i="1"/>
  <c r="BJ71" i="1"/>
  <c r="BB71" i="1"/>
  <c r="BN71" i="1"/>
  <c r="BE71" i="1"/>
  <c r="AV71" i="1"/>
  <c r="BM71" i="1"/>
  <c r="BD71" i="1"/>
  <c r="BL71" i="1"/>
  <c r="BC71" i="1"/>
  <c r="BK71" i="1"/>
  <c r="BA71" i="1"/>
  <c r="BS71" i="1"/>
  <c r="BI71" i="1"/>
  <c r="AZ71" i="1"/>
  <c r="BQ71" i="1"/>
  <c r="BH71" i="1"/>
  <c r="AY71" i="1"/>
  <c r="BP71" i="1"/>
  <c r="BG71" i="1"/>
  <c r="AX71" i="1"/>
  <c r="BO71" i="1"/>
  <c r="BF71" i="1"/>
  <c r="AW71" i="1"/>
  <c r="BQ227" i="1"/>
  <c r="BI227" i="1"/>
  <c r="BA227" i="1"/>
  <c r="BO227" i="1"/>
  <c r="BG227" i="1"/>
  <c r="AY227" i="1"/>
  <c r="BN227" i="1"/>
  <c r="BF227" i="1"/>
  <c r="AX227" i="1"/>
  <c r="BM227" i="1"/>
  <c r="BE227" i="1"/>
  <c r="AW227" i="1"/>
  <c r="BL227" i="1"/>
  <c r="BD227" i="1"/>
  <c r="AV227" i="1"/>
  <c r="BS227" i="1"/>
  <c r="BK227" i="1"/>
  <c r="BC227" i="1"/>
  <c r="BB227" i="1"/>
  <c r="AZ227" i="1"/>
  <c r="BR227" i="1"/>
  <c r="BP227" i="1"/>
  <c r="BJ227" i="1"/>
  <c r="BH227" i="1"/>
  <c r="BO42" i="1"/>
  <c r="BG42" i="1"/>
  <c r="AY42" i="1"/>
  <c r="BN42" i="1"/>
  <c r="BF42" i="1"/>
  <c r="AX42" i="1"/>
  <c r="BJ42" i="1"/>
  <c r="AZ42" i="1"/>
  <c r="BS42" i="1"/>
  <c r="BI42" i="1"/>
  <c r="AW42" i="1"/>
  <c r="BR42" i="1"/>
  <c r="BH42" i="1"/>
  <c r="AV42" i="1"/>
  <c r="BQ42" i="1"/>
  <c r="BE42" i="1"/>
  <c r="BP42" i="1"/>
  <c r="BD42" i="1"/>
  <c r="BM42" i="1"/>
  <c r="BC42" i="1"/>
  <c r="BL42" i="1"/>
  <c r="BB42" i="1"/>
  <c r="BK42" i="1"/>
  <c r="BA42" i="1"/>
  <c r="BN180" i="1"/>
  <c r="BF180" i="1"/>
  <c r="AX180" i="1"/>
  <c r="BP180" i="1"/>
  <c r="BG180" i="1"/>
  <c r="AW180" i="1"/>
  <c r="BO180" i="1"/>
  <c r="BE180" i="1"/>
  <c r="AV180" i="1"/>
  <c r="BM180" i="1"/>
  <c r="BD180" i="1"/>
  <c r="BL180" i="1"/>
  <c r="BC180" i="1"/>
  <c r="BK180" i="1"/>
  <c r="BB180" i="1"/>
  <c r="BR180" i="1"/>
  <c r="BI180" i="1"/>
  <c r="AZ180" i="1"/>
  <c r="BH180" i="1"/>
  <c r="BA180" i="1"/>
  <c r="AY180" i="1"/>
  <c r="BS180" i="1"/>
  <c r="BQ180" i="1"/>
  <c r="BJ180" i="1"/>
  <c r="BP59" i="1"/>
  <c r="BH59" i="1"/>
  <c r="AZ59" i="1"/>
  <c r="BO59" i="1"/>
  <c r="BG59" i="1"/>
  <c r="AY59" i="1"/>
  <c r="BN59" i="1"/>
  <c r="BF59" i="1"/>
  <c r="AX59" i="1"/>
  <c r="BM59" i="1"/>
  <c r="BE59" i="1"/>
  <c r="AW59" i="1"/>
  <c r="BL59" i="1"/>
  <c r="BD59" i="1"/>
  <c r="AV59" i="1"/>
  <c r="BS59" i="1"/>
  <c r="BK59" i="1"/>
  <c r="BC59" i="1"/>
  <c r="BR59" i="1"/>
  <c r="BJ59" i="1"/>
  <c r="BB59" i="1"/>
  <c r="BQ59" i="1"/>
  <c r="BI59" i="1"/>
  <c r="BA59" i="1"/>
  <c r="BN151" i="1"/>
  <c r="BF151" i="1"/>
  <c r="AX151" i="1"/>
  <c r="BQ151" i="1"/>
  <c r="BI151" i="1"/>
  <c r="BA151" i="1"/>
  <c r="BR151" i="1"/>
  <c r="BG151" i="1"/>
  <c r="AV151" i="1"/>
  <c r="BP151" i="1"/>
  <c r="BE151" i="1"/>
  <c r="BO151" i="1"/>
  <c r="BD151" i="1"/>
  <c r="BM151" i="1"/>
  <c r="BC151" i="1"/>
  <c r="BL151" i="1"/>
  <c r="BB151" i="1"/>
  <c r="BK151" i="1"/>
  <c r="AZ151" i="1"/>
  <c r="BJ151" i="1"/>
  <c r="AY151" i="1"/>
  <c r="BS151" i="1"/>
  <c r="BH151" i="1"/>
  <c r="AW151" i="1"/>
  <c r="BR103" i="1"/>
  <c r="BJ103" i="1"/>
  <c r="BB103" i="1"/>
  <c r="BQ103" i="1"/>
  <c r="BI103" i="1"/>
  <c r="BA103" i="1"/>
  <c r="BP103" i="1"/>
  <c r="BH103" i="1"/>
  <c r="AZ103" i="1"/>
  <c r="BO103" i="1"/>
  <c r="BG103" i="1"/>
  <c r="AY103" i="1"/>
  <c r="BN103" i="1"/>
  <c r="BF103" i="1"/>
  <c r="AX103" i="1"/>
  <c r="BM103" i="1"/>
  <c r="BE103" i="1"/>
  <c r="AW103" i="1"/>
  <c r="BL103" i="1"/>
  <c r="BD103" i="1"/>
  <c r="AV103" i="1"/>
  <c r="BS103" i="1"/>
  <c r="BK103" i="1"/>
  <c r="BC103" i="1"/>
  <c r="BM31" i="1"/>
  <c r="BE31" i="1"/>
  <c r="AW31" i="1"/>
  <c r="BL31" i="1"/>
  <c r="BD31" i="1"/>
  <c r="AV31" i="1"/>
  <c r="BS31" i="1"/>
  <c r="BK31" i="1"/>
  <c r="BC31" i="1"/>
  <c r="BR31" i="1"/>
  <c r="BJ31" i="1"/>
  <c r="BB31" i="1"/>
  <c r="BQ31" i="1"/>
  <c r="BI31" i="1"/>
  <c r="BA31" i="1"/>
  <c r="BP31" i="1"/>
  <c r="BH31" i="1"/>
  <c r="AZ31" i="1"/>
  <c r="BO31" i="1"/>
  <c r="BG31" i="1"/>
  <c r="AY31" i="1"/>
  <c r="BN31" i="1"/>
  <c r="BF31" i="1"/>
  <c r="AX31" i="1"/>
  <c r="BR243" i="1"/>
  <c r="BJ243" i="1"/>
  <c r="BB243" i="1"/>
  <c r="BQ243" i="1"/>
  <c r="BI243" i="1"/>
  <c r="BA243" i="1"/>
  <c r="BP243" i="1"/>
  <c r="BH243" i="1"/>
  <c r="AZ243" i="1"/>
  <c r="BN243" i="1"/>
  <c r="BF243" i="1"/>
  <c r="AX243" i="1"/>
  <c r="BM243" i="1"/>
  <c r="BE243" i="1"/>
  <c r="AW243" i="1"/>
  <c r="AY243" i="1"/>
  <c r="BS243" i="1"/>
  <c r="AV243" i="1"/>
  <c r="BO243" i="1"/>
  <c r="BL243" i="1"/>
  <c r="BK243" i="1"/>
  <c r="BG243" i="1"/>
  <c r="BD243" i="1"/>
  <c r="BC243" i="1"/>
  <c r="BR178" i="1"/>
  <c r="BJ178" i="1"/>
  <c r="BB178" i="1"/>
  <c r="BQ178" i="1"/>
  <c r="BI178" i="1"/>
  <c r="BA178" i="1"/>
  <c r="BP178" i="1"/>
  <c r="BH178" i="1"/>
  <c r="AZ178" i="1"/>
  <c r="BO178" i="1"/>
  <c r="BG178" i="1"/>
  <c r="AY178" i="1"/>
  <c r="BN178" i="1"/>
  <c r="BF178" i="1"/>
  <c r="AX178" i="1"/>
  <c r="BL178" i="1"/>
  <c r="BD178" i="1"/>
  <c r="AV178" i="1"/>
  <c r="BC178" i="1"/>
  <c r="AW178" i="1"/>
  <c r="BS178" i="1"/>
  <c r="BM178" i="1"/>
  <c r="BK178" i="1"/>
  <c r="BE178" i="1"/>
  <c r="BR106" i="1"/>
  <c r="BJ106" i="1"/>
  <c r="BB106" i="1"/>
  <c r="BN106" i="1"/>
  <c r="BF106" i="1"/>
  <c r="BS106" i="1"/>
  <c r="BH106" i="1"/>
  <c r="AX106" i="1"/>
  <c r="BQ106" i="1"/>
  <c r="BG106" i="1"/>
  <c r="AW106" i="1"/>
  <c r="BP106" i="1"/>
  <c r="BE106" i="1"/>
  <c r="AV106" i="1"/>
  <c r="BO106" i="1"/>
  <c r="BD106" i="1"/>
  <c r="BM106" i="1"/>
  <c r="BC106" i="1"/>
  <c r="BL106" i="1"/>
  <c r="BA106" i="1"/>
  <c r="BK106" i="1"/>
  <c r="AZ106" i="1"/>
  <c r="BI106" i="1"/>
  <c r="AY106" i="1"/>
  <c r="BR81" i="1"/>
  <c r="BJ81" i="1"/>
  <c r="BB81" i="1"/>
  <c r="BO81" i="1"/>
  <c r="BG81" i="1"/>
  <c r="AY81" i="1"/>
  <c r="BM81" i="1"/>
  <c r="BE81" i="1"/>
  <c r="AW81" i="1"/>
  <c r="BQ81" i="1"/>
  <c r="BD81" i="1"/>
  <c r="BP81" i="1"/>
  <c r="BC81" i="1"/>
  <c r="BN81" i="1"/>
  <c r="BA81" i="1"/>
  <c r="BL81" i="1"/>
  <c r="AZ81" i="1"/>
  <c r="BK81" i="1"/>
  <c r="AX81" i="1"/>
  <c r="BI81" i="1"/>
  <c r="AV81" i="1"/>
  <c r="BH81" i="1"/>
  <c r="BS81" i="1"/>
  <c r="BF81" i="1"/>
  <c r="BM15" i="1"/>
  <c r="AW15" i="1"/>
  <c r="BL15" i="1"/>
  <c r="BD15" i="1"/>
  <c r="AV15" i="1"/>
  <c r="BS15" i="1"/>
  <c r="BK15" i="1"/>
  <c r="BC15" i="1"/>
  <c r="BR15" i="1"/>
  <c r="BJ15" i="1"/>
  <c r="BB15" i="1"/>
  <c r="BQ15" i="1"/>
  <c r="BI15" i="1"/>
  <c r="BA15" i="1"/>
  <c r="BP15" i="1"/>
  <c r="BH15" i="1"/>
  <c r="AZ15" i="1"/>
  <c r="BO15" i="1"/>
  <c r="BG15" i="1"/>
  <c r="AY15" i="1"/>
  <c r="BN15" i="1"/>
  <c r="BF15" i="1"/>
  <c r="AX15" i="1"/>
  <c r="BE15" i="1"/>
  <c r="BN244" i="1"/>
  <c r="BF244" i="1"/>
  <c r="AX244" i="1"/>
  <c r="BM244" i="1"/>
  <c r="BE244" i="1"/>
  <c r="AW244" i="1"/>
  <c r="BL244" i="1"/>
  <c r="BD244" i="1"/>
  <c r="AV244" i="1"/>
  <c r="BS244" i="1"/>
  <c r="BK244" i="1"/>
  <c r="BC244" i="1"/>
  <c r="BR244" i="1"/>
  <c r="BJ244" i="1"/>
  <c r="BB244" i="1"/>
  <c r="BQ244" i="1"/>
  <c r="BI244" i="1"/>
  <c r="BA244" i="1"/>
  <c r="BP244" i="1"/>
  <c r="BO244" i="1"/>
  <c r="BH244" i="1"/>
  <c r="BG244" i="1"/>
  <c r="AZ244" i="1"/>
  <c r="AY244" i="1"/>
  <c r="BN192" i="1"/>
  <c r="BF192" i="1"/>
  <c r="AX192" i="1"/>
  <c r="BM192" i="1"/>
  <c r="BE192" i="1"/>
  <c r="AW192" i="1"/>
  <c r="BR192" i="1"/>
  <c r="BJ192" i="1"/>
  <c r="BB192" i="1"/>
  <c r="BO192" i="1"/>
  <c r="BA192" i="1"/>
  <c r="BL192" i="1"/>
  <c r="AZ192" i="1"/>
  <c r="BK192" i="1"/>
  <c r="AY192" i="1"/>
  <c r="BI192" i="1"/>
  <c r="AV192" i="1"/>
  <c r="BH192" i="1"/>
  <c r="BS192" i="1"/>
  <c r="BG192" i="1"/>
  <c r="BQ192" i="1"/>
  <c r="BD192" i="1"/>
  <c r="BP192" i="1"/>
  <c r="BC192" i="1"/>
  <c r="BR120" i="1"/>
  <c r="BJ120" i="1"/>
  <c r="BB120" i="1"/>
  <c r="BQ120" i="1"/>
  <c r="BI120" i="1"/>
  <c r="BA120" i="1"/>
  <c r="BO120" i="1"/>
  <c r="BG120" i="1"/>
  <c r="AY120" i="1"/>
  <c r="BN120" i="1"/>
  <c r="BF120" i="1"/>
  <c r="AX120" i="1"/>
  <c r="BK120" i="1"/>
  <c r="BH120" i="1"/>
  <c r="BE120" i="1"/>
  <c r="BD120" i="1"/>
  <c r="BS120" i="1"/>
  <c r="BC120" i="1"/>
  <c r="BP120" i="1"/>
  <c r="AZ120" i="1"/>
  <c r="BM120" i="1"/>
  <c r="AW120" i="1"/>
  <c r="BL120" i="1"/>
  <c r="AV120" i="1"/>
  <c r="BO51" i="1"/>
  <c r="BG51" i="1"/>
  <c r="AY51" i="1"/>
  <c r="BN51" i="1"/>
  <c r="BF51" i="1"/>
  <c r="AX51" i="1"/>
  <c r="BM51" i="1"/>
  <c r="BE51" i="1"/>
  <c r="AW51" i="1"/>
  <c r="BS51" i="1"/>
  <c r="BK51" i="1"/>
  <c r="BC51" i="1"/>
  <c r="BR51" i="1"/>
  <c r="BJ51" i="1"/>
  <c r="BB51" i="1"/>
  <c r="BQ51" i="1"/>
  <c r="BI51" i="1"/>
  <c r="BA51" i="1"/>
  <c r="AV51" i="1"/>
  <c r="BP51" i="1"/>
  <c r="BL51" i="1"/>
  <c r="BH51" i="1"/>
  <c r="BD51" i="1"/>
  <c r="AZ51" i="1"/>
  <c r="BS302" i="1"/>
  <c r="BK302" i="1"/>
  <c r="BC302" i="1"/>
  <c r="BR302" i="1"/>
  <c r="BJ302" i="1"/>
  <c r="BB302" i="1"/>
  <c r="BQ302" i="1"/>
  <c r="BI302" i="1"/>
  <c r="BA302" i="1"/>
  <c r="BN302" i="1"/>
  <c r="BF302" i="1"/>
  <c r="AX302" i="1"/>
  <c r="BM302" i="1"/>
  <c r="BE302" i="1"/>
  <c r="AW302" i="1"/>
  <c r="BL302" i="1"/>
  <c r="BH302" i="1"/>
  <c r="BG302" i="1"/>
  <c r="BD302" i="1"/>
  <c r="AZ302" i="1"/>
  <c r="AY302" i="1"/>
  <c r="BP302" i="1"/>
  <c r="AV302" i="1"/>
  <c r="BO302" i="1"/>
  <c r="BN238" i="1"/>
  <c r="BF238" i="1"/>
  <c r="AX238" i="1"/>
  <c r="BR238" i="1"/>
  <c r="BJ238" i="1"/>
  <c r="BB238" i="1"/>
  <c r="BQ238" i="1"/>
  <c r="BI238" i="1"/>
  <c r="BA238" i="1"/>
  <c r="BK238" i="1"/>
  <c r="AW238" i="1"/>
  <c r="BH238" i="1"/>
  <c r="AV238" i="1"/>
  <c r="BG238" i="1"/>
  <c r="BS238" i="1"/>
  <c r="BE238" i="1"/>
  <c r="BP238" i="1"/>
  <c r="BD238" i="1"/>
  <c r="BO238" i="1"/>
  <c r="BC238" i="1"/>
  <c r="BM238" i="1"/>
  <c r="AZ238" i="1"/>
  <c r="BL238" i="1"/>
  <c r="AY238" i="1"/>
  <c r="BN167" i="1"/>
  <c r="BF167" i="1"/>
  <c r="AX167" i="1"/>
  <c r="BM167" i="1"/>
  <c r="BE167" i="1"/>
  <c r="AW167" i="1"/>
  <c r="BL167" i="1"/>
  <c r="BD167" i="1"/>
  <c r="AV167" i="1"/>
  <c r="BS167" i="1"/>
  <c r="BK167" i="1"/>
  <c r="BC167" i="1"/>
  <c r="BR167" i="1"/>
  <c r="BJ167" i="1"/>
  <c r="BB167" i="1"/>
  <c r="BQ167" i="1"/>
  <c r="BI167" i="1"/>
  <c r="BA167" i="1"/>
  <c r="BP167" i="1"/>
  <c r="BH167" i="1"/>
  <c r="AZ167" i="1"/>
  <c r="BO167" i="1"/>
  <c r="BG167" i="1"/>
  <c r="AY167" i="1"/>
  <c r="BN102" i="1"/>
  <c r="BF102" i="1"/>
  <c r="AX102" i="1"/>
  <c r="BM102" i="1"/>
  <c r="BE102" i="1"/>
  <c r="AW102" i="1"/>
  <c r="BL102" i="1"/>
  <c r="BD102" i="1"/>
  <c r="AV102" i="1"/>
  <c r="BS102" i="1"/>
  <c r="BK102" i="1"/>
  <c r="BC102" i="1"/>
  <c r="BR102" i="1"/>
  <c r="BJ102" i="1"/>
  <c r="BB102" i="1"/>
  <c r="BQ102" i="1"/>
  <c r="BI102" i="1"/>
  <c r="BA102" i="1"/>
  <c r="BP102" i="1"/>
  <c r="BH102" i="1"/>
  <c r="AZ102" i="1"/>
  <c r="BO102" i="1"/>
  <c r="BG102" i="1"/>
  <c r="AY102" i="1"/>
  <c r="BN76" i="1"/>
  <c r="BF76" i="1"/>
  <c r="AX76" i="1"/>
  <c r="BK76" i="1"/>
  <c r="BB76" i="1"/>
  <c r="BS76" i="1"/>
  <c r="BJ76" i="1"/>
  <c r="BA76" i="1"/>
  <c r="BR76" i="1"/>
  <c r="BI76" i="1"/>
  <c r="AZ76" i="1"/>
  <c r="BQ76" i="1"/>
  <c r="BH76" i="1"/>
  <c r="AY76" i="1"/>
  <c r="BP76" i="1"/>
  <c r="BG76" i="1"/>
  <c r="AW76" i="1"/>
  <c r="BO76" i="1"/>
  <c r="BE76" i="1"/>
  <c r="AV76" i="1"/>
  <c r="BM76" i="1"/>
  <c r="BD76" i="1"/>
  <c r="BL76" i="1"/>
  <c r="BC76" i="1"/>
  <c r="BL130" i="1"/>
  <c r="BD130" i="1"/>
  <c r="AV130" i="1"/>
  <c r="BS130" i="1"/>
  <c r="BK130" i="1"/>
  <c r="BC130" i="1"/>
  <c r="BR130" i="1"/>
  <c r="BJ130" i="1"/>
  <c r="BB130" i="1"/>
  <c r="BQ130" i="1"/>
  <c r="BI130" i="1"/>
  <c r="BA130" i="1"/>
  <c r="BP130" i="1"/>
  <c r="BH130" i="1"/>
  <c r="AZ130" i="1"/>
  <c r="BO130" i="1"/>
  <c r="BG130" i="1"/>
  <c r="AY130" i="1"/>
  <c r="BN130" i="1"/>
  <c r="BF130" i="1"/>
  <c r="AX130" i="1"/>
  <c r="BM130" i="1"/>
  <c r="BE130" i="1"/>
  <c r="AW130" i="1"/>
  <c r="BQ267" i="1"/>
  <c r="BI267" i="1"/>
  <c r="BA267" i="1"/>
  <c r="BP267" i="1"/>
  <c r="BH267" i="1"/>
  <c r="AZ267" i="1"/>
  <c r="BO267" i="1"/>
  <c r="BG267" i="1"/>
  <c r="AY267" i="1"/>
  <c r="BN267" i="1"/>
  <c r="BF267" i="1"/>
  <c r="AX267" i="1"/>
  <c r="BM267" i="1"/>
  <c r="BE267" i="1"/>
  <c r="AW267" i="1"/>
  <c r="BL267" i="1"/>
  <c r="BD267" i="1"/>
  <c r="AV267" i="1"/>
  <c r="BS267" i="1"/>
  <c r="BK267" i="1"/>
  <c r="BC267" i="1"/>
  <c r="BR267" i="1"/>
  <c r="BJ267" i="1"/>
  <c r="BB267" i="1"/>
  <c r="BP200" i="1"/>
  <c r="BH200" i="1"/>
  <c r="AZ200" i="1"/>
  <c r="BO200" i="1"/>
  <c r="BG200" i="1"/>
  <c r="AY200" i="1"/>
  <c r="BN200" i="1"/>
  <c r="BF200" i="1"/>
  <c r="AX200" i="1"/>
  <c r="BM200" i="1"/>
  <c r="BE200" i="1"/>
  <c r="AW200" i="1"/>
  <c r="BS200" i="1"/>
  <c r="BK200" i="1"/>
  <c r="BC200" i="1"/>
  <c r="BR200" i="1"/>
  <c r="BJ200" i="1"/>
  <c r="BB200" i="1"/>
  <c r="BQ200" i="1"/>
  <c r="BI200" i="1"/>
  <c r="BA200" i="1"/>
  <c r="BL200" i="1"/>
  <c r="BD200" i="1"/>
  <c r="AV200" i="1"/>
  <c r="BP141" i="1"/>
  <c r="BH141" i="1"/>
  <c r="AZ141" i="1"/>
  <c r="BO141" i="1"/>
  <c r="BG141" i="1"/>
  <c r="AY141" i="1"/>
  <c r="BN141" i="1"/>
  <c r="BF141" i="1"/>
  <c r="AX141" i="1"/>
  <c r="BM141" i="1"/>
  <c r="BE141" i="1"/>
  <c r="AW141" i="1"/>
  <c r="BL141" i="1"/>
  <c r="BD141" i="1"/>
  <c r="AV141" i="1"/>
  <c r="BS141" i="1"/>
  <c r="BK141" i="1"/>
  <c r="BC141" i="1"/>
  <c r="BR141" i="1"/>
  <c r="BJ141" i="1"/>
  <c r="BB141" i="1"/>
  <c r="BQ141" i="1"/>
  <c r="BI141" i="1"/>
  <c r="BA141" i="1"/>
  <c r="BL56" i="1"/>
  <c r="BD56" i="1"/>
  <c r="AV56" i="1"/>
  <c r="BS56" i="1"/>
  <c r="BK56" i="1"/>
  <c r="BC56" i="1"/>
  <c r="BR56" i="1"/>
  <c r="BJ56" i="1"/>
  <c r="BB56" i="1"/>
  <c r="BQ56" i="1"/>
  <c r="BI56" i="1"/>
  <c r="BA56" i="1"/>
  <c r="BP56" i="1"/>
  <c r="BH56" i="1"/>
  <c r="AZ56" i="1"/>
  <c r="BO56" i="1"/>
  <c r="BG56" i="1"/>
  <c r="AY56" i="1"/>
  <c r="BN56" i="1"/>
  <c r="BF56" i="1"/>
  <c r="AX56" i="1"/>
  <c r="BM56" i="1"/>
  <c r="BE56" i="1"/>
  <c r="AW56" i="1"/>
  <c r="BS254" i="1"/>
  <c r="BK254" i="1"/>
  <c r="BC254" i="1"/>
  <c r="BQ254" i="1"/>
  <c r="BI254" i="1"/>
  <c r="BA254" i="1"/>
  <c r="BL254" i="1"/>
  <c r="AZ254" i="1"/>
  <c r="BJ254" i="1"/>
  <c r="AY254" i="1"/>
  <c r="BH254" i="1"/>
  <c r="AX254" i="1"/>
  <c r="BR254" i="1"/>
  <c r="BG254" i="1"/>
  <c r="AW254" i="1"/>
  <c r="BP254" i="1"/>
  <c r="BF254" i="1"/>
  <c r="AV254" i="1"/>
  <c r="BO254" i="1"/>
  <c r="BE254" i="1"/>
  <c r="BN254" i="1"/>
  <c r="BD254" i="1"/>
  <c r="BM254" i="1"/>
  <c r="BB254" i="1"/>
  <c r="BM260" i="1"/>
  <c r="BE260" i="1"/>
  <c r="AW260" i="1"/>
  <c r="BS260" i="1"/>
  <c r="BK260" i="1"/>
  <c r="BC260" i="1"/>
  <c r="BR260" i="1"/>
  <c r="BJ260" i="1"/>
  <c r="BB260" i="1"/>
  <c r="BQ260" i="1"/>
  <c r="BI260" i="1"/>
  <c r="BA260" i="1"/>
  <c r="BP260" i="1"/>
  <c r="BH260" i="1"/>
  <c r="AZ260" i="1"/>
  <c r="AX260" i="1"/>
  <c r="BO260" i="1"/>
  <c r="AV260" i="1"/>
  <c r="BN260" i="1"/>
  <c r="BL260" i="1"/>
  <c r="BG260" i="1"/>
  <c r="BF260" i="1"/>
  <c r="BD260" i="1"/>
  <c r="AY260" i="1"/>
  <c r="BL211" i="1"/>
  <c r="BD211" i="1"/>
  <c r="AV211" i="1"/>
  <c r="BS211" i="1"/>
  <c r="BK211" i="1"/>
  <c r="BC211" i="1"/>
  <c r="BR211" i="1"/>
  <c r="BJ211" i="1"/>
  <c r="BB211" i="1"/>
  <c r="BQ211" i="1"/>
  <c r="BI211" i="1"/>
  <c r="BA211" i="1"/>
  <c r="BP211" i="1"/>
  <c r="BH211" i="1"/>
  <c r="AZ211" i="1"/>
  <c r="BO211" i="1"/>
  <c r="BG211" i="1"/>
  <c r="AY211" i="1"/>
  <c r="BN211" i="1"/>
  <c r="BF211" i="1"/>
  <c r="AX211" i="1"/>
  <c r="BM211" i="1"/>
  <c r="BE211" i="1"/>
  <c r="AW211" i="1"/>
  <c r="BL136" i="1"/>
  <c r="BD136" i="1"/>
  <c r="AV136" i="1"/>
  <c r="BS136" i="1"/>
  <c r="BK136" i="1"/>
  <c r="BC136" i="1"/>
  <c r="BR136" i="1"/>
  <c r="BJ136" i="1"/>
  <c r="BB136" i="1"/>
  <c r="BQ136" i="1"/>
  <c r="BI136" i="1"/>
  <c r="BA136" i="1"/>
  <c r="BP136" i="1"/>
  <c r="BH136" i="1"/>
  <c r="AZ136" i="1"/>
  <c r="BO136" i="1"/>
  <c r="BG136" i="1"/>
  <c r="AY136" i="1"/>
  <c r="BN136" i="1"/>
  <c r="BF136" i="1"/>
  <c r="AX136" i="1"/>
  <c r="BM136" i="1"/>
  <c r="BE136" i="1"/>
  <c r="AW136" i="1"/>
  <c r="BR91" i="1"/>
  <c r="BJ91" i="1"/>
  <c r="BB91" i="1"/>
  <c r="BQ91" i="1"/>
  <c r="BI91" i="1"/>
  <c r="BA91" i="1"/>
  <c r="BP91" i="1"/>
  <c r="BH91" i="1"/>
  <c r="AZ91" i="1"/>
  <c r="BO91" i="1"/>
  <c r="BG91" i="1"/>
  <c r="AY91" i="1"/>
  <c r="BN91" i="1"/>
  <c r="BF91" i="1"/>
  <c r="AX91" i="1"/>
  <c r="BM91" i="1"/>
  <c r="BE91" i="1"/>
  <c r="AW91" i="1"/>
  <c r="BL91" i="1"/>
  <c r="BD91" i="1"/>
  <c r="AV91" i="1"/>
  <c r="BS91" i="1"/>
  <c r="BK91" i="1"/>
  <c r="BC91" i="1"/>
  <c r="BR33" i="1"/>
  <c r="BJ33" i="1"/>
  <c r="BB33" i="1"/>
  <c r="BS33" i="1"/>
  <c r="BI33" i="1"/>
  <c r="AZ33" i="1"/>
  <c r="BQ33" i="1"/>
  <c r="BH33" i="1"/>
  <c r="AY33" i="1"/>
  <c r="BP33" i="1"/>
  <c r="BG33" i="1"/>
  <c r="AX33" i="1"/>
  <c r="BO33" i="1"/>
  <c r="BF33" i="1"/>
  <c r="AW33" i="1"/>
  <c r="BN33" i="1"/>
  <c r="BE33" i="1"/>
  <c r="AV33" i="1"/>
  <c r="BM33" i="1"/>
  <c r="BD33" i="1"/>
  <c r="BL33" i="1"/>
  <c r="BC33" i="1"/>
  <c r="BK33" i="1"/>
  <c r="BA33" i="1"/>
  <c r="BO16" i="1"/>
  <c r="BG16" i="1"/>
  <c r="AY16" i="1"/>
  <c r="BN16" i="1"/>
  <c r="BF16" i="1"/>
  <c r="AX16" i="1"/>
  <c r="BM16" i="1"/>
  <c r="BE16" i="1"/>
  <c r="AW16" i="1"/>
  <c r="BL16" i="1"/>
  <c r="BD16" i="1"/>
  <c r="AV16" i="1"/>
  <c r="BS16" i="1"/>
  <c r="BK16" i="1"/>
  <c r="BC16" i="1"/>
  <c r="BR16" i="1"/>
  <c r="BJ16" i="1"/>
  <c r="BB16" i="1"/>
  <c r="BQ16" i="1"/>
  <c r="BI16" i="1"/>
  <c r="BA16" i="1"/>
  <c r="BP16" i="1"/>
  <c r="BH16" i="1"/>
  <c r="AZ16" i="1"/>
  <c r="BQ255" i="1"/>
  <c r="BI255" i="1"/>
  <c r="BA255" i="1"/>
  <c r="BO255" i="1"/>
  <c r="BG255" i="1"/>
  <c r="AY255" i="1"/>
  <c r="BM255" i="1"/>
  <c r="BE255" i="1"/>
  <c r="AW255" i="1"/>
  <c r="BS255" i="1"/>
  <c r="BF255" i="1"/>
  <c r="BR255" i="1"/>
  <c r="BD255" i="1"/>
  <c r="BP255" i="1"/>
  <c r="BC255" i="1"/>
  <c r="BN255" i="1"/>
  <c r="BB255" i="1"/>
  <c r="BL255" i="1"/>
  <c r="AZ255" i="1"/>
  <c r="BK255" i="1"/>
  <c r="AX255" i="1"/>
  <c r="BJ255" i="1"/>
  <c r="AV255" i="1"/>
  <c r="BH255" i="1"/>
  <c r="BN188" i="1"/>
  <c r="BF188" i="1"/>
  <c r="AX188" i="1"/>
  <c r="BR188" i="1"/>
  <c r="BJ188" i="1"/>
  <c r="BB188" i="1"/>
  <c r="BO188" i="1"/>
  <c r="BD188" i="1"/>
  <c r="BM188" i="1"/>
  <c r="BC188" i="1"/>
  <c r="BL188" i="1"/>
  <c r="BA188" i="1"/>
  <c r="BK188" i="1"/>
  <c r="AZ188" i="1"/>
  <c r="BI188" i="1"/>
  <c r="AY188" i="1"/>
  <c r="BS188" i="1"/>
  <c r="BH188" i="1"/>
  <c r="AW188" i="1"/>
  <c r="BQ188" i="1"/>
  <c r="BG188" i="1"/>
  <c r="AV188" i="1"/>
  <c r="BP188" i="1"/>
  <c r="BE188" i="1"/>
  <c r="BN119" i="1"/>
  <c r="BF119" i="1"/>
  <c r="AX119" i="1"/>
  <c r="BM119" i="1"/>
  <c r="BE119" i="1"/>
  <c r="AW119" i="1"/>
  <c r="BR119" i="1"/>
  <c r="BJ119" i="1"/>
  <c r="BB119" i="1"/>
  <c r="BK119" i="1"/>
  <c r="AY119" i="1"/>
  <c r="BI119" i="1"/>
  <c r="AV119" i="1"/>
  <c r="BH119" i="1"/>
  <c r="BS119" i="1"/>
  <c r="BG119" i="1"/>
  <c r="BQ119" i="1"/>
  <c r="BD119" i="1"/>
  <c r="BP119" i="1"/>
  <c r="BC119" i="1"/>
  <c r="BO119" i="1"/>
  <c r="BA119" i="1"/>
  <c r="BL119" i="1"/>
  <c r="AZ119" i="1"/>
  <c r="BS43" i="1"/>
  <c r="BK43" i="1"/>
  <c r="BC43" i="1"/>
  <c r="BR43" i="1"/>
  <c r="BJ43" i="1"/>
  <c r="BB43" i="1"/>
  <c r="BN43" i="1"/>
  <c r="BD43" i="1"/>
  <c r="BM43" i="1"/>
  <c r="BA43" i="1"/>
  <c r="BL43" i="1"/>
  <c r="AZ43" i="1"/>
  <c r="BI43" i="1"/>
  <c r="AY43" i="1"/>
  <c r="BH43" i="1"/>
  <c r="AX43" i="1"/>
  <c r="BQ43" i="1"/>
  <c r="BG43" i="1"/>
  <c r="AW43" i="1"/>
  <c r="BP43" i="1"/>
  <c r="BF43" i="1"/>
  <c r="AV43" i="1"/>
  <c r="BO43" i="1"/>
  <c r="BE43" i="1"/>
  <c r="BQ221" i="1"/>
  <c r="BI221" i="1"/>
  <c r="BA221" i="1"/>
  <c r="BO221" i="1"/>
  <c r="BG221" i="1"/>
  <c r="AY221" i="1"/>
  <c r="BN221" i="1"/>
  <c r="BF221" i="1"/>
  <c r="AX221" i="1"/>
  <c r="BM221" i="1"/>
  <c r="BE221" i="1"/>
  <c r="AW221" i="1"/>
  <c r="BS221" i="1"/>
  <c r="BK221" i="1"/>
  <c r="BC221" i="1"/>
  <c r="BL221" i="1"/>
  <c r="BJ221" i="1"/>
  <c r="BH221" i="1"/>
  <c r="BD221" i="1"/>
  <c r="BB221" i="1"/>
  <c r="AZ221" i="1"/>
  <c r="BR221" i="1"/>
  <c r="AV221" i="1"/>
  <c r="BP221" i="1"/>
  <c r="BM256" i="1"/>
  <c r="BE256" i="1"/>
  <c r="AW256" i="1"/>
  <c r="BS256" i="1"/>
  <c r="BK256" i="1"/>
  <c r="BC256" i="1"/>
  <c r="BR256" i="1"/>
  <c r="BJ256" i="1"/>
  <c r="BB256" i="1"/>
  <c r="BQ256" i="1"/>
  <c r="BI256" i="1"/>
  <c r="BA256" i="1"/>
  <c r="BF256" i="1"/>
  <c r="BD256" i="1"/>
  <c r="BP256" i="1"/>
  <c r="AZ256" i="1"/>
  <c r="BO256" i="1"/>
  <c r="AY256" i="1"/>
  <c r="BN256" i="1"/>
  <c r="AX256" i="1"/>
  <c r="BL256" i="1"/>
  <c r="AV256" i="1"/>
  <c r="BH256" i="1"/>
  <c r="BG256" i="1"/>
  <c r="BL207" i="1"/>
  <c r="BD207" i="1"/>
  <c r="AV207" i="1"/>
  <c r="BS207" i="1"/>
  <c r="BK207" i="1"/>
  <c r="BC207" i="1"/>
  <c r="BR207" i="1"/>
  <c r="BJ207" i="1"/>
  <c r="BB207" i="1"/>
  <c r="BQ207" i="1"/>
  <c r="BI207" i="1"/>
  <c r="BA207" i="1"/>
  <c r="BP207" i="1"/>
  <c r="BH207" i="1"/>
  <c r="AZ207" i="1"/>
  <c r="BO207" i="1"/>
  <c r="BG207" i="1"/>
  <c r="AY207" i="1"/>
  <c r="BN207" i="1"/>
  <c r="BF207" i="1"/>
  <c r="AX207" i="1"/>
  <c r="BM207" i="1"/>
  <c r="BE207" i="1"/>
  <c r="AW207" i="1"/>
  <c r="BL132" i="1"/>
  <c r="BD132" i="1"/>
  <c r="AV132" i="1"/>
  <c r="BS132" i="1"/>
  <c r="BK132" i="1"/>
  <c r="BC132" i="1"/>
  <c r="BR132" i="1"/>
  <c r="BJ132" i="1"/>
  <c r="BB132" i="1"/>
  <c r="BQ132" i="1"/>
  <c r="BI132" i="1"/>
  <c r="BA132" i="1"/>
  <c r="BP132" i="1"/>
  <c r="BH132" i="1"/>
  <c r="AZ132" i="1"/>
  <c r="BO132" i="1"/>
  <c r="BG132" i="1"/>
  <c r="AY132" i="1"/>
  <c r="BN132" i="1"/>
  <c r="BF132" i="1"/>
  <c r="AX132" i="1"/>
  <c r="BM132" i="1"/>
  <c r="BE132" i="1"/>
  <c r="AW132" i="1"/>
  <c r="BR87" i="1"/>
  <c r="BJ87" i="1"/>
  <c r="BB87" i="1"/>
  <c r="BQ87" i="1"/>
  <c r="BI87" i="1"/>
  <c r="BA87" i="1"/>
  <c r="BP87" i="1"/>
  <c r="BH87" i="1"/>
  <c r="AZ87" i="1"/>
  <c r="BO87" i="1"/>
  <c r="BG87" i="1"/>
  <c r="AY87" i="1"/>
  <c r="BN87" i="1"/>
  <c r="BF87" i="1"/>
  <c r="AX87" i="1"/>
  <c r="BM87" i="1"/>
  <c r="BE87" i="1"/>
  <c r="AW87" i="1"/>
  <c r="BL87" i="1"/>
  <c r="BD87" i="1"/>
  <c r="AV87" i="1"/>
  <c r="BS87" i="1"/>
  <c r="BK87" i="1"/>
  <c r="BC87" i="1"/>
  <c r="BQ10" i="1"/>
  <c r="BA10" i="1"/>
  <c r="BO10" i="1"/>
  <c r="BG10" i="1"/>
  <c r="AY10" i="1"/>
  <c r="BN10" i="1"/>
  <c r="BF10" i="1"/>
  <c r="AX10" i="1"/>
  <c r="BL10" i="1"/>
  <c r="BD10" i="1"/>
  <c r="AV10" i="1"/>
  <c r="BC10" i="1"/>
  <c r="BM10" i="1"/>
  <c r="BE10" i="1"/>
  <c r="AW10" i="1"/>
  <c r="BS10" i="1"/>
  <c r="BK10" i="1"/>
  <c r="BR10" i="1"/>
  <c r="BJ10" i="1"/>
  <c r="BB10" i="1"/>
  <c r="BI10" i="1"/>
  <c r="BP10" i="1"/>
  <c r="BH10" i="1"/>
  <c r="AZ10" i="1"/>
  <c r="BR288" i="1"/>
  <c r="BJ288" i="1"/>
  <c r="BB288" i="1"/>
  <c r="BN288" i="1"/>
  <c r="BF288" i="1"/>
  <c r="AX288" i="1"/>
  <c r="BP288" i="1"/>
  <c r="BE288" i="1"/>
  <c r="BO288" i="1"/>
  <c r="BD288" i="1"/>
  <c r="BM288" i="1"/>
  <c r="BC288" i="1"/>
  <c r="BL288" i="1"/>
  <c r="BA288" i="1"/>
  <c r="BK288" i="1"/>
  <c r="AZ288" i="1"/>
  <c r="BI288" i="1"/>
  <c r="AY288" i="1"/>
  <c r="BS288" i="1"/>
  <c r="BH288" i="1"/>
  <c r="AW288" i="1"/>
  <c r="AV288" i="1"/>
  <c r="BQ288" i="1"/>
  <c r="BG288" i="1"/>
  <c r="BM224" i="1"/>
  <c r="BE224" i="1"/>
  <c r="AW224" i="1"/>
  <c r="BS224" i="1"/>
  <c r="BK224" i="1"/>
  <c r="BC224" i="1"/>
  <c r="BR224" i="1"/>
  <c r="BJ224" i="1"/>
  <c r="BB224" i="1"/>
  <c r="BQ224" i="1"/>
  <c r="BI224" i="1"/>
  <c r="BA224" i="1"/>
  <c r="BO224" i="1"/>
  <c r="BG224" i="1"/>
  <c r="AY224" i="1"/>
  <c r="BF224" i="1"/>
  <c r="BD224" i="1"/>
  <c r="AZ224" i="1"/>
  <c r="AX224" i="1"/>
  <c r="BP224" i="1"/>
  <c r="AV224" i="1"/>
  <c r="BN224" i="1"/>
  <c r="BL224" i="1"/>
  <c r="BH224" i="1"/>
  <c r="BN155" i="1"/>
  <c r="BF155" i="1"/>
  <c r="AX155" i="1"/>
  <c r="BS155" i="1"/>
  <c r="BK155" i="1"/>
  <c r="BC155" i="1"/>
  <c r="BR155" i="1"/>
  <c r="BJ155" i="1"/>
  <c r="BB155" i="1"/>
  <c r="BQ155" i="1"/>
  <c r="BI155" i="1"/>
  <c r="BA155" i="1"/>
  <c r="BE155" i="1"/>
  <c r="BD155" i="1"/>
  <c r="BP155" i="1"/>
  <c r="AZ155" i="1"/>
  <c r="BO155" i="1"/>
  <c r="AY155" i="1"/>
  <c r="BM155" i="1"/>
  <c r="AW155" i="1"/>
  <c r="BL155" i="1"/>
  <c r="AV155" i="1"/>
  <c r="BH155" i="1"/>
  <c r="BG155" i="1"/>
  <c r="BN90" i="1"/>
  <c r="BF90" i="1"/>
  <c r="AX90" i="1"/>
  <c r="BM90" i="1"/>
  <c r="BE90" i="1"/>
  <c r="AW90" i="1"/>
  <c r="BL90" i="1"/>
  <c r="BD90" i="1"/>
  <c r="AV90" i="1"/>
  <c r="BS90" i="1"/>
  <c r="BK90" i="1"/>
  <c r="BC90" i="1"/>
  <c r="BR90" i="1"/>
  <c r="BJ90" i="1"/>
  <c r="BB90" i="1"/>
  <c r="BQ90" i="1"/>
  <c r="BI90" i="1"/>
  <c r="BA90" i="1"/>
  <c r="BP90" i="1"/>
  <c r="BH90" i="1"/>
  <c r="AZ90" i="1"/>
  <c r="BO90" i="1"/>
  <c r="BG90" i="1"/>
  <c r="AY90" i="1"/>
  <c r="BM29" i="1"/>
  <c r="BE29" i="1"/>
  <c r="AW29" i="1"/>
  <c r="BL29" i="1"/>
  <c r="BD29" i="1"/>
  <c r="AV29" i="1"/>
  <c r="BS29" i="1"/>
  <c r="BK29" i="1"/>
  <c r="BC29" i="1"/>
  <c r="BR29" i="1"/>
  <c r="BJ29" i="1"/>
  <c r="BB29" i="1"/>
  <c r="BQ29" i="1"/>
  <c r="BI29" i="1"/>
  <c r="BA29" i="1"/>
  <c r="BP29" i="1"/>
  <c r="BH29" i="1"/>
  <c r="AZ29" i="1"/>
  <c r="BO29" i="1"/>
  <c r="BG29" i="1"/>
  <c r="AY29" i="1"/>
  <c r="BN29" i="1"/>
  <c r="BF29" i="1"/>
  <c r="AX29" i="1"/>
  <c r="BR241" i="1"/>
  <c r="BJ241" i="1"/>
  <c r="BB241" i="1"/>
  <c r="BQ241" i="1"/>
  <c r="BI241" i="1"/>
  <c r="BA241" i="1"/>
  <c r="BP241" i="1"/>
  <c r="BH241" i="1"/>
  <c r="AZ241" i="1"/>
  <c r="BN241" i="1"/>
  <c r="BF241" i="1"/>
  <c r="AX241" i="1"/>
  <c r="BM241" i="1"/>
  <c r="BE241" i="1"/>
  <c r="AW241" i="1"/>
  <c r="AY241" i="1"/>
  <c r="BS241" i="1"/>
  <c r="AV241" i="1"/>
  <c r="BO241" i="1"/>
  <c r="BL241" i="1"/>
  <c r="BK241" i="1"/>
  <c r="BG241" i="1"/>
  <c r="BD241" i="1"/>
  <c r="BC241" i="1"/>
  <c r="BR176" i="1"/>
  <c r="BJ176" i="1"/>
  <c r="BB176" i="1"/>
  <c r="BQ176" i="1"/>
  <c r="BI176" i="1"/>
  <c r="BA176" i="1"/>
  <c r="BN176" i="1"/>
  <c r="BF176" i="1"/>
  <c r="AX176" i="1"/>
  <c r="BL176" i="1"/>
  <c r="AY176" i="1"/>
  <c r="BK176" i="1"/>
  <c r="AW176" i="1"/>
  <c r="BH176" i="1"/>
  <c r="AV176" i="1"/>
  <c r="BG176" i="1"/>
  <c r="BS176" i="1"/>
  <c r="BE176" i="1"/>
  <c r="BP176" i="1"/>
  <c r="BD176" i="1"/>
  <c r="BO176" i="1"/>
  <c r="BC176" i="1"/>
  <c r="BM176" i="1"/>
  <c r="AZ176" i="1"/>
  <c r="BN104" i="1"/>
  <c r="BF104" i="1"/>
  <c r="AX104" i="1"/>
  <c r="BM104" i="1"/>
  <c r="BE104" i="1"/>
  <c r="AW104" i="1"/>
  <c r="BL104" i="1"/>
  <c r="BD104" i="1"/>
  <c r="AV104" i="1"/>
  <c r="BS104" i="1"/>
  <c r="BK104" i="1"/>
  <c r="BC104" i="1"/>
  <c r="BR104" i="1"/>
  <c r="BJ104" i="1"/>
  <c r="BB104" i="1"/>
  <c r="BQ104" i="1"/>
  <c r="BI104" i="1"/>
  <c r="BA104" i="1"/>
  <c r="BP104" i="1"/>
  <c r="BH104" i="1"/>
  <c r="AZ104" i="1"/>
  <c r="BO104" i="1"/>
  <c r="BG104" i="1"/>
  <c r="AY104" i="1"/>
  <c r="BR77" i="1"/>
  <c r="BJ77" i="1"/>
  <c r="BB77" i="1"/>
  <c r="BK77" i="1"/>
  <c r="BA77" i="1"/>
  <c r="BS77" i="1"/>
  <c r="BI77" i="1"/>
  <c r="AZ77" i="1"/>
  <c r="BQ77" i="1"/>
  <c r="BH77" i="1"/>
  <c r="AY77" i="1"/>
  <c r="BP77" i="1"/>
  <c r="BG77" i="1"/>
  <c r="AX77" i="1"/>
  <c r="BO77" i="1"/>
  <c r="BF77" i="1"/>
  <c r="AW77" i="1"/>
  <c r="BN77" i="1"/>
  <c r="BE77" i="1"/>
  <c r="AV77" i="1"/>
  <c r="BM77" i="1"/>
  <c r="BD77" i="1"/>
  <c r="BL77" i="1"/>
  <c r="BC77" i="1"/>
  <c r="BN291" i="1"/>
  <c r="BF291" i="1"/>
  <c r="AX291" i="1"/>
  <c r="BM291" i="1"/>
  <c r="BE291" i="1"/>
  <c r="AW291" i="1"/>
  <c r="BR291" i="1"/>
  <c r="BJ291" i="1"/>
  <c r="BB291" i="1"/>
  <c r="BI291" i="1"/>
  <c r="AV291" i="1"/>
  <c r="BH291" i="1"/>
  <c r="BS291" i="1"/>
  <c r="BG291" i="1"/>
  <c r="BQ291" i="1"/>
  <c r="BD291" i="1"/>
  <c r="BP291" i="1"/>
  <c r="BC291" i="1"/>
  <c r="BO291" i="1"/>
  <c r="BA291" i="1"/>
  <c r="BL291" i="1"/>
  <c r="AZ291" i="1"/>
  <c r="BK291" i="1"/>
  <c r="AY291" i="1"/>
  <c r="BM220" i="1"/>
  <c r="BE220" i="1"/>
  <c r="AW220" i="1"/>
  <c r="BS220" i="1"/>
  <c r="BK220" i="1"/>
  <c r="BC220" i="1"/>
  <c r="BR220" i="1"/>
  <c r="BJ220" i="1"/>
  <c r="BB220" i="1"/>
  <c r="BQ220" i="1"/>
  <c r="BI220" i="1"/>
  <c r="BA220" i="1"/>
  <c r="BO220" i="1"/>
  <c r="BG220" i="1"/>
  <c r="AY220" i="1"/>
  <c r="AZ220" i="1"/>
  <c r="AX220" i="1"/>
  <c r="BP220" i="1"/>
  <c r="AV220" i="1"/>
  <c r="BN220" i="1"/>
  <c r="BL220" i="1"/>
  <c r="BH220" i="1"/>
  <c r="BF220" i="1"/>
  <c r="BD220" i="1"/>
  <c r="BN173" i="1"/>
  <c r="BF173" i="1"/>
  <c r="AX173" i="1"/>
  <c r="BR173" i="1"/>
  <c r="BS173" i="1"/>
  <c r="BI173" i="1"/>
  <c r="AZ173" i="1"/>
  <c r="BQ173" i="1"/>
  <c r="BH173" i="1"/>
  <c r="AY173" i="1"/>
  <c r="BP173" i="1"/>
  <c r="BG173" i="1"/>
  <c r="AW173" i="1"/>
  <c r="BO173" i="1"/>
  <c r="BE173" i="1"/>
  <c r="AV173" i="1"/>
  <c r="BM173" i="1"/>
  <c r="BD173" i="1"/>
  <c r="BL173" i="1"/>
  <c r="BC173" i="1"/>
  <c r="BK173" i="1"/>
  <c r="BB173" i="1"/>
  <c r="BJ173" i="1"/>
  <c r="BA173" i="1"/>
  <c r="BN86" i="1"/>
  <c r="BF86" i="1"/>
  <c r="AX86" i="1"/>
  <c r="BM86" i="1"/>
  <c r="BE86" i="1"/>
  <c r="AW86" i="1"/>
  <c r="BS86" i="1"/>
  <c r="BK86" i="1"/>
  <c r="BC86" i="1"/>
  <c r="BR86" i="1"/>
  <c r="BJ86" i="1"/>
  <c r="BQ86" i="1"/>
  <c r="BI86" i="1"/>
  <c r="BA86" i="1"/>
  <c r="BP86" i="1"/>
  <c r="BH86" i="1"/>
  <c r="AZ86" i="1"/>
  <c r="BO86" i="1"/>
  <c r="BG86" i="1"/>
  <c r="AY86" i="1"/>
  <c r="BL86" i="1"/>
  <c r="BD86" i="1"/>
  <c r="BB86" i="1"/>
  <c r="AV86" i="1"/>
  <c r="BM25" i="1"/>
  <c r="BE25" i="1"/>
  <c r="AW25" i="1"/>
  <c r="BL25" i="1"/>
  <c r="BD25" i="1"/>
  <c r="AV25" i="1"/>
  <c r="BS25" i="1"/>
  <c r="BK25" i="1"/>
  <c r="BC25" i="1"/>
  <c r="BR25" i="1"/>
  <c r="BJ25" i="1"/>
  <c r="BB25" i="1"/>
  <c r="BQ25" i="1"/>
  <c r="BI25" i="1"/>
  <c r="BA25" i="1"/>
  <c r="BP25" i="1"/>
  <c r="BH25" i="1"/>
  <c r="AZ25" i="1"/>
  <c r="BO25" i="1"/>
  <c r="BG25" i="1"/>
  <c r="AY25" i="1"/>
  <c r="BN25" i="1"/>
  <c r="BF25" i="1"/>
  <c r="AX25" i="1"/>
  <c r="BN92" i="1"/>
  <c r="BF92" i="1"/>
  <c r="AX92" i="1"/>
  <c r="BM92" i="1"/>
  <c r="BE92" i="1"/>
  <c r="AW92" i="1"/>
  <c r="BL92" i="1"/>
  <c r="BD92" i="1"/>
  <c r="AV92" i="1"/>
  <c r="BS92" i="1"/>
  <c r="BK92" i="1"/>
  <c r="BC92" i="1"/>
  <c r="BR92" i="1"/>
  <c r="BJ92" i="1"/>
  <c r="BB92" i="1"/>
  <c r="BQ92" i="1"/>
  <c r="BI92" i="1"/>
  <c r="BA92" i="1"/>
  <c r="BP92" i="1"/>
  <c r="BH92" i="1"/>
  <c r="AZ92" i="1"/>
  <c r="BO92" i="1"/>
  <c r="BG92" i="1"/>
  <c r="AY92" i="1"/>
  <c r="BR292" i="1"/>
  <c r="BJ292" i="1"/>
  <c r="BB292" i="1"/>
  <c r="BQ292" i="1"/>
  <c r="BI292" i="1"/>
  <c r="BA292" i="1"/>
  <c r="BN292" i="1"/>
  <c r="BF292" i="1"/>
  <c r="AX292" i="1"/>
  <c r="BM292" i="1"/>
  <c r="BE292" i="1"/>
  <c r="BS292" i="1"/>
  <c r="BD292" i="1"/>
  <c r="BP292" i="1"/>
  <c r="BC292" i="1"/>
  <c r="BO292" i="1"/>
  <c r="AZ292" i="1"/>
  <c r="BL292" i="1"/>
  <c r="AY292" i="1"/>
  <c r="BK292" i="1"/>
  <c r="AW292" i="1"/>
  <c r="BH292" i="1"/>
  <c r="AV292" i="1"/>
  <c r="BG292" i="1"/>
  <c r="BR189" i="1"/>
  <c r="BJ189" i="1"/>
  <c r="BB189" i="1"/>
  <c r="BN189" i="1"/>
  <c r="BF189" i="1"/>
  <c r="AX189" i="1"/>
  <c r="BS189" i="1"/>
  <c r="BH189" i="1"/>
  <c r="AW189" i="1"/>
  <c r="BQ189" i="1"/>
  <c r="BG189" i="1"/>
  <c r="AV189" i="1"/>
  <c r="BP189" i="1"/>
  <c r="BE189" i="1"/>
  <c r="BO189" i="1"/>
  <c r="BD189" i="1"/>
  <c r="BM189" i="1"/>
  <c r="BC189" i="1"/>
  <c r="BL189" i="1"/>
  <c r="BA189" i="1"/>
  <c r="BK189" i="1"/>
  <c r="AZ189" i="1"/>
  <c r="BI189" i="1"/>
  <c r="AY189" i="1"/>
  <c r="BO125" i="1"/>
  <c r="BG125" i="1"/>
  <c r="AY125" i="1"/>
  <c r="BN125" i="1"/>
  <c r="BF125" i="1"/>
  <c r="AX125" i="1"/>
  <c r="BM125" i="1"/>
  <c r="BE125" i="1"/>
  <c r="AW125" i="1"/>
  <c r="BS125" i="1"/>
  <c r="BK125" i="1"/>
  <c r="BC125" i="1"/>
  <c r="BR125" i="1"/>
  <c r="BJ125" i="1"/>
  <c r="BB125" i="1"/>
  <c r="BQ125" i="1"/>
  <c r="BI125" i="1"/>
  <c r="BA125" i="1"/>
  <c r="BD125" i="1"/>
  <c r="AZ125" i="1"/>
  <c r="AV125" i="1"/>
  <c r="BP125" i="1"/>
  <c r="BL125" i="1"/>
  <c r="BH125" i="1"/>
  <c r="BP63" i="1"/>
  <c r="BH63" i="1"/>
  <c r="AZ63" i="1"/>
  <c r="BO63" i="1"/>
  <c r="BG63" i="1"/>
  <c r="AY63" i="1"/>
  <c r="BN63" i="1"/>
  <c r="BF63" i="1"/>
  <c r="AX63" i="1"/>
  <c r="BM63" i="1"/>
  <c r="BE63" i="1"/>
  <c r="AW63" i="1"/>
  <c r="BL63" i="1"/>
  <c r="BD63" i="1"/>
  <c r="AV63" i="1"/>
  <c r="BS63" i="1"/>
  <c r="BK63" i="1"/>
  <c r="BC63" i="1"/>
  <c r="BR63" i="1"/>
  <c r="BJ63" i="1"/>
  <c r="BB63" i="1"/>
  <c r="BQ63" i="1"/>
  <c r="BI63" i="1"/>
  <c r="BA63" i="1"/>
  <c r="BN236" i="1"/>
  <c r="BF236" i="1"/>
  <c r="AX236" i="1"/>
  <c r="BR236" i="1"/>
  <c r="BJ236" i="1"/>
  <c r="BB236" i="1"/>
  <c r="BQ236" i="1"/>
  <c r="BI236" i="1"/>
  <c r="BA236" i="1"/>
  <c r="BP236" i="1"/>
  <c r="BD236" i="1"/>
  <c r="BO236" i="1"/>
  <c r="BC236" i="1"/>
  <c r="BM236" i="1"/>
  <c r="AZ236" i="1"/>
  <c r="BL236" i="1"/>
  <c r="AY236" i="1"/>
  <c r="BK236" i="1"/>
  <c r="AW236" i="1"/>
  <c r="BH236" i="1"/>
  <c r="AV236" i="1"/>
  <c r="BG236" i="1"/>
  <c r="BS236" i="1"/>
  <c r="BE236" i="1"/>
  <c r="BN270" i="1"/>
  <c r="BF270" i="1"/>
  <c r="AX270" i="1"/>
  <c r="BR270" i="1"/>
  <c r="BI270" i="1"/>
  <c r="AZ270" i="1"/>
  <c r="BQ270" i="1"/>
  <c r="BH270" i="1"/>
  <c r="AY270" i="1"/>
  <c r="BP270" i="1"/>
  <c r="BG270" i="1"/>
  <c r="AW270" i="1"/>
  <c r="BO270" i="1"/>
  <c r="BE270" i="1"/>
  <c r="AV270" i="1"/>
  <c r="BM270" i="1"/>
  <c r="BD270" i="1"/>
  <c r="BL270" i="1"/>
  <c r="BC270" i="1"/>
  <c r="BK270" i="1"/>
  <c r="BB270" i="1"/>
  <c r="BS270" i="1"/>
  <c r="BJ270" i="1"/>
  <c r="BA270" i="1"/>
  <c r="BP214" i="1"/>
  <c r="BH214" i="1"/>
  <c r="AZ214" i="1"/>
  <c r="BO214" i="1"/>
  <c r="BG214" i="1"/>
  <c r="AY214" i="1"/>
  <c r="BN214" i="1"/>
  <c r="BF214" i="1"/>
  <c r="AX214" i="1"/>
  <c r="BM214" i="1"/>
  <c r="BE214" i="1"/>
  <c r="AW214" i="1"/>
  <c r="BL214" i="1"/>
  <c r="BD214" i="1"/>
  <c r="AV214" i="1"/>
  <c r="BS214" i="1"/>
  <c r="BK214" i="1"/>
  <c r="BC214" i="1"/>
  <c r="BR214" i="1"/>
  <c r="BJ214" i="1"/>
  <c r="BB214" i="1"/>
  <c r="BQ214" i="1"/>
  <c r="BI214" i="1"/>
  <c r="BA214" i="1"/>
  <c r="BR152" i="1"/>
  <c r="BJ152" i="1"/>
  <c r="BB152" i="1"/>
  <c r="BN152" i="1"/>
  <c r="BF152" i="1"/>
  <c r="BM152" i="1"/>
  <c r="BE152" i="1"/>
  <c r="AW152" i="1"/>
  <c r="BL152" i="1"/>
  <c r="AZ152" i="1"/>
  <c r="BK152" i="1"/>
  <c r="AY152" i="1"/>
  <c r="BI152" i="1"/>
  <c r="AX152" i="1"/>
  <c r="BH152" i="1"/>
  <c r="AV152" i="1"/>
  <c r="BS152" i="1"/>
  <c r="BG152" i="1"/>
  <c r="BQ152" i="1"/>
  <c r="BD152" i="1"/>
  <c r="BP152" i="1"/>
  <c r="BC152" i="1"/>
  <c r="BO152" i="1"/>
  <c r="BA152" i="1"/>
  <c r="BN70" i="1"/>
  <c r="BF70" i="1"/>
  <c r="AX70" i="1"/>
  <c r="BO70" i="1"/>
  <c r="BE70" i="1"/>
  <c r="AV70" i="1"/>
  <c r="BM70" i="1"/>
  <c r="BD70" i="1"/>
  <c r="BL70" i="1"/>
  <c r="BC70" i="1"/>
  <c r="BK70" i="1"/>
  <c r="BB70" i="1"/>
  <c r="BS70" i="1"/>
  <c r="BJ70" i="1"/>
  <c r="BA70" i="1"/>
  <c r="BR70" i="1"/>
  <c r="BI70" i="1"/>
  <c r="AZ70" i="1"/>
  <c r="BQ70" i="1"/>
  <c r="BH70" i="1"/>
  <c r="AY70" i="1"/>
  <c r="BP70" i="1"/>
  <c r="BG70" i="1"/>
  <c r="AW70" i="1"/>
  <c r="BQ22" i="1"/>
  <c r="BI22" i="1"/>
  <c r="BA22" i="1"/>
  <c r="BP22" i="1"/>
  <c r="BH22" i="1"/>
  <c r="AZ22" i="1"/>
  <c r="BO22" i="1"/>
  <c r="BG22" i="1"/>
  <c r="AY22" i="1"/>
  <c r="BN22" i="1"/>
  <c r="BF22" i="1"/>
  <c r="AX22" i="1"/>
  <c r="BM22" i="1"/>
  <c r="BE22" i="1"/>
  <c r="AW22" i="1"/>
  <c r="BL22" i="1"/>
  <c r="BD22" i="1"/>
  <c r="AV22" i="1"/>
  <c r="BS22" i="1"/>
  <c r="BK22" i="1"/>
  <c r="BC22" i="1"/>
  <c r="BR22" i="1"/>
  <c r="BJ22" i="1"/>
  <c r="BB22" i="1"/>
  <c r="BS296" i="1"/>
  <c r="BK296" i="1"/>
  <c r="BC296" i="1"/>
  <c r="BR296" i="1"/>
  <c r="BJ296" i="1"/>
  <c r="BB296" i="1"/>
  <c r="BQ296" i="1"/>
  <c r="BI296" i="1"/>
  <c r="BA296" i="1"/>
  <c r="BN296" i="1"/>
  <c r="BF296" i="1"/>
  <c r="AX296" i="1"/>
  <c r="BM296" i="1"/>
  <c r="BE296" i="1"/>
  <c r="AW296" i="1"/>
  <c r="BD296" i="1"/>
  <c r="AZ296" i="1"/>
  <c r="AY296" i="1"/>
  <c r="BP296" i="1"/>
  <c r="AV296" i="1"/>
  <c r="BO296" i="1"/>
  <c r="BL296" i="1"/>
  <c r="BH296" i="1"/>
  <c r="BG296" i="1"/>
  <c r="BM230" i="1"/>
  <c r="BE230" i="1"/>
  <c r="AW230" i="1"/>
  <c r="BS230" i="1"/>
  <c r="BK230" i="1"/>
  <c r="BC230" i="1"/>
  <c r="BR230" i="1"/>
  <c r="BJ230" i="1"/>
  <c r="BB230" i="1"/>
  <c r="BQ230" i="1"/>
  <c r="BI230" i="1"/>
  <c r="BA230" i="1"/>
  <c r="BP230" i="1"/>
  <c r="BH230" i="1"/>
  <c r="AZ230" i="1"/>
  <c r="BO230" i="1"/>
  <c r="BG230" i="1"/>
  <c r="AY230" i="1"/>
  <c r="AV230" i="1"/>
  <c r="BN230" i="1"/>
  <c r="BL230" i="1"/>
  <c r="BF230" i="1"/>
  <c r="BD230" i="1"/>
  <c r="AX230" i="1"/>
  <c r="BN161" i="1"/>
  <c r="BF161" i="1"/>
  <c r="AX161" i="1"/>
  <c r="BM161" i="1"/>
  <c r="BE161" i="1"/>
  <c r="AW161" i="1"/>
  <c r="BL161" i="1"/>
  <c r="BD161" i="1"/>
  <c r="AV161" i="1"/>
  <c r="BS161" i="1"/>
  <c r="BK161" i="1"/>
  <c r="BC161" i="1"/>
  <c r="BR161" i="1"/>
  <c r="BJ161" i="1"/>
  <c r="BB161" i="1"/>
  <c r="BQ161" i="1"/>
  <c r="BI161" i="1"/>
  <c r="BA161" i="1"/>
  <c r="BP161" i="1"/>
  <c r="BH161" i="1"/>
  <c r="AZ161" i="1"/>
  <c r="BO161" i="1"/>
  <c r="BG161" i="1"/>
  <c r="AY161" i="1"/>
  <c r="BN96" i="1"/>
  <c r="BF96" i="1"/>
  <c r="AX96" i="1"/>
  <c r="BM96" i="1"/>
  <c r="BE96" i="1"/>
  <c r="AW96" i="1"/>
  <c r="BL96" i="1"/>
  <c r="BD96" i="1"/>
  <c r="AV96" i="1"/>
  <c r="BS96" i="1"/>
  <c r="BK96" i="1"/>
  <c r="BC96" i="1"/>
  <c r="BR96" i="1"/>
  <c r="BJ96" i="1"/>
  <c r="BB96" i="1"/>
  <c r="BQ96" i="1"/>
  <c r="BI96" i="1"/>
  <c r="BA96" i="1"/>
  <c r="BP96" i="1"/>
  <c r="BH96" i="1"/>
  <c r="AZ96" i="1"/>
  <c r="BO96" i="1"/>
  <c r="BG96" i="1"/>
  <c r="AY96" i="1"/>
  <c r="BO44" i="1"/>
  <c r="BG44" i="1"/>
  <c r="AY44" i="1"/>
  <c r="BN44" i="1"/>
  <c r="BF44" i="1"/>
  <c r="AX44" i="1"/>
  <c r="BR44" i="1"/>
  <c r="BH44" i="1"/>
  <c r="AV44" i="1"/>
  <c r="BQ44" i="1"/>
  <c r="BE44" i="1"/>
  <c r="BP44" i="1"/>
  <c r="BD44" i="1"/>
  <c r="BM44" i="1"/>
  <c r="BC44" i="1"/>
  <c r="BL44" i="1"/>
  <c r="BB44" i="1"/>
  <c r="BK44" i="1"/>
  <c r="BA44" i="1"/>
  <c r="BJ44" i="1"/>
  <c r="AZ44" i="1"/>
  <c r="BS44" i="1"/>
  <c r="BI44" i="1"/>
  <c r="AW44" i="1"/>
  <c r="BN184" i="1"/>
  <c r="BF184" i="1"/>
  <c r="AX184" i="1"/>
  <c r="BR184" i="1"/>
  <c r="BJ184" i="1"/>
  <c r="BB184" i="1"/>
  <c r="BI184" i="1"/>
  <c r="AY184" i="1"/>
  <c r="BS184" i="1"/>
  <c r="BH184" i="1"/>
  <c r="AW184" i="1"/>
  <c r="BQ184" i="1"/>
  <c r="BG184" i="1"/>
  <c r="AV184" i="1"/>
  <c r="BP184" i="1"/>
  <c r="BE184" i="1"/>
  <c r="BO184" i="1"/>
  <c r="BD184" i="1"/>
  <c r="BM184" i="1"/>
  <c r="BC184" i="1"/>
  <c r="BL184" i="1"/>
  <c r="BA184" i="1"/>
  <c r="BK184" i="1"/>
  <c r="AZ184" i="1"/>
  <c r="BN285" i="1"/>
  <c r="BF285" i="1"/>
  <c r="AX285" i="1"/>
  <c r="BR285" i="1"/>
  <c r="BJ285" i="1"/>
  <c r="BB285" i="1"/>
  <c r="BO285" i="1"/>
  <c r="BD285" i="1"/>
  <c r="BM285" i="1"/>
  <c r="BC285" i="1"/>
  <c r="BL285" i="1"/>
  <c r="BA285" i="1"/>
  <c r="BK285" i="1"/>
  <c r="AZ285" i="1"/>
  <c r="BI285" i="1"/>
  <c r="AY285" i="1"/>
  <c r="BS285" i="1"/>
  <c r="BH285" i="1"/>
  <c r="AW285" i="1"/>
  <c r="BQ285" i="1"/>
  <c r="BG285" i="1"/>
  <c r="AV285" i="1"/>
  <c r="BP285" i="1"/>
  <c r="BE285" i="1"/>
  <c r="BP210" i="1"/>
  <c r="BH210" i="1"/>
  <c r="AZ210" i="1"/>
  <c r="BO210" i="1"/>
  <c r="BG210" i="1"/>
  <c r="AY210" i="1"/>
  <c r="BN210" i="1"/>
  <c r="BF210" i="1"/>
  <c r="AX210" i="1"/>
  <c r="BM210" i="1"/>
  <c r="BE210" i="1"/>
  <c r="AW210" i="1"/>
  <c r="BL210" i="1"/>
  <c r="BD210" i="1"/>
  <c r="AV210" i="1"/>
  <c r="BS210" i="1"/>
  <c r="BK210" i="1"/>
  <c r="BC210" i="1"/>
  <c r="BR210" i="1"/>
  <c r="BJ210" i="1"/>
  <c r="BB210" i="1"/>
  <c r="BQ210" i="1"/>
  <c r="BI210" i="1"/>
  <c r="BA210" i="1"/>
  <c r="BR158" i="1"/>
  <c r="BJ158" i="1"/>
  <c r="BB158" i="1"/>
  <c r="BP158" i="1"/>
  <c r="BH158" i="1"/>
  <c r="AZ158" i="1"/>
  <c r="BO158" i="1"/>
  <c r="BG158" i="1"/>
  <c r="AY158" i="1"/>
  <c r="BN158" i="1"/>
  <c r="BF158" i="1"/>
  <c r="AX158" i="1"/>
  <c r="BM158" i="1"/>
  <c r="BE158" i="1"/>
  <c r="AW158" i="1"/>
  <c r="BL158" i="1"/>
  <c r="BD158" i="1"/>
  <c r="AV158" i="1"/>
  <c r="BQ158" i="1"/>
  <c r="BK158" i="1"/>
  <c r="BI158" i="1"/>
  <c r="BC158" i="1"/>
  <c r="BA158" i="1"/>
  <c r="BS158" i="1"/>
  <c r="BL66" i="1"/>
  <c r="BD66" i="1"/>
  <c r="AV66" i="1"/>
  <c r="BS66" i="1"/>
  <c r="BK66" i="1"/>
  <c r="BC66" i="1"/>
  <c r="BR66" i="1"/>
  <c r="BJ66" i="1"/>
  <c r="BB66" i="1"/>
  <c r="BQ66" i="1"/>
  <c r="BI66" i="1"/>
  <c r="BA66" i="1"/>
  <c r="BP66" i="1"/>
  <c r="BH66" i="1"/>
  <c r="AZ66" i="1"/>
  <c r="BO66" i="1"/>
  <c r="BG66" i="1"/>
  <c r="AY66" i="1"/>
  <c r="BN66" i="1"/>
  <c r="BF66" i="1"/>
  <c r="AX66" i="1"/>
  <c r="BM66" i="1"/>
  <c r="BE66" i="1"/>
  <c r="AW66" i="1"/>
  <c r="BQ18" i="1"/>
  <c r="BI18" i="1"/>
  <c r="BA18" i="1"/>
  <c r="BP18" i="1"/>
  <c r="BH18" i="1"/>
  <c r="AZ18" i="1"/>
  <c r="BO18" i="1"/>
  <c r="BG18" i="1"/>
  <c r="AY18" i="1"/>
  <c r="BN18" i="1"/>
  <c r="BF18" i="1"/>
  <c r="AX18" i="1"/>
  <c r="AV18" i="1"/>
  <c r="BM18" i="1"/>
  <c r="BE18" i="1"/>
  <c r="AW18" i="1"/>
  <c r="BL18" i="1"/>
  <c r="BD18" i="1"/>
  <c r="BS18" i="1"/>
  <c r="BK18" i="1"/>
  <c r="BC18" i="1"/>
  <c r="BR18" i="1"/>
  <c r="BJ18" i="1"/>
  <c r="BB18" i="1"/>
  <c r="BN287" i="1"/>
  <c r="BF287" i="1"/>
  <c r="AX287" i="1"/>
  <c r="BR287" i="1"/>
  <c r="BJ287" i="1"/>
  <c r="BB287" i="1"/>
  <c r="BL287" i="1"/>
  <c r="BA287" i="1"/>
  <c r="BK287" i="1"/>
  <c r="AZ287" i="1"/>
  <c r="BI287" i="1"/>
  <c r="AY287" i="1"/>
  <c r="BS287" i="1"/>
  <c r="BH287" i="1"/>
  <c r="AW287" i="1"/>
  <c r="BQ287" i="1"/>
  <c r="BG287" i="1"/>
  <c r="AV287" i="1"/>
  <c r="BP287" i="1"/>
  <c r="BE287" i="1"/>
  <c r="BO287" i="1"/>
  <c r="BD287" i="1"/>
  <c r="BM287" i="1"/>
  <c r="BC287" i="1"/>
  <c r="BR235" i="1"/>
  <c r="BJ235" i="1"/>
  <c r="BN235" i="1"/>
  <c r="BI235" i="1"/>
  <c r="BA235" i="1"/>
  <c r="BS235" i="1"/>
  <c r="BH235" i="1"/>
  <c r="AZ235" i="1"/>
  <c r="BQ235" i="1"/>
  <c r="BG235" i="1"/>
  <c r="AY235" i="1"/>
  <c r="BP235" i="1"/>
  <c r="BF235" i="1"/>
  <c r="AX235" i="1"/>
  <c r="BO235" i="1"/>
  <c r="BE235" i="1"/>
  <c r="AW235" i="1"/>
  <c r="BM235" i="1"/>
  <c r="BD235" i="1"/>
  <c r="AV235" i="1"/>
  <c r="BL235" i="1"/>
  <c r="BC235" i="1"/>
  <c r="BK235" i="1"/>
  <c r="BB235" i="1"/>
  <c r="BR168" i="1"/>
  <c r="BJ168" i="1"/>
  <c r="BB168" i="1"/>
  <c r="BL168" i="1"/>
  <c r="BC168" i="1"/>
  <c r="BK168" i="1"/>
  <c r="BA168" i="1"/>
  <c r="BS168" i="1"/>
  <c r="BI168" i="1"/>
  <c r="AZ168" i="1"/>
  <c r="BQ168" i="1"/>
  <c r="BH168" i="1"/>
  <c r="AY168" i="1"/>
  <c r="BP168" i="1"/>
  <c r="BG168" i="1"/>
  <c r="AX168" i="1"/>
  <c r="BO168" i="1"/>
  <c r="BF168" i="1"/>
  <c r="AW168" i="1"/>
  <c r="BN168" i="1"/>
  <c r="BE168" i="1"/>
  <c r="AV168" i="1"/>
  <c r="BM168" i="1"/>
  <c r="BD168" i="1"/>
  <c r="BN115" i="1"/>
  <c r="BF115" i="1"/>
  <c r="AX115" i="1"/>
  <c r="BR115" i="1"/>
  <c r="BJ115" i="1"/>
  <c r="BB115" i="1"/>
  <c r="BL115" i="1"/>
  <c r="BA115" i="1"/>
  <c r="BK115" i="1"/>
  <c r="AZ115" i="1"/>
  <c r="BI115" i="1"/>
  <c r="AY115" i="1"/>
  <c r="BS115" i="1"/>
  <c r="BH115" i="1"/>
  <c r="AW115" i="1"/>
  <c r="BQ115" i="1"/>
  <c r="BG115" i="1"/>
  <c r="AV115" i="1"/>
  <c r="BP115" i="1"/>
  <c r="BE115" i="1"/>
  <c r="BO115" i="1"/>
  <c r="BD115" i="1"/>
  <c r="BM115" i="1"/>
  <c r="BC115" i="1"/>
  <c r="BL13" i="1"/>
  <c r="BD13" i="1"/>
  <c r="AV13" i="1"/>
  <c r="BS13" i="1"/>
  <c r="BK13" i="1"/>
  <c r="BC13" i="1"/>
  <c r="BP13" i="1"/>
  <c r="AZ13" i="1"/>
  <c r="BO13" i="1"/>
  <c r="BR13" i="1"/>
  <c r="BJ13" i="1"/>
  <c r="BB13" i="1"/>
  <c r="BQ13" i="1"/>
  <c r="BI13" i="1"/>
  <c r="BG13" i="1"/>
  <c r="BA13" i="1"/>
  <c r="BH13" i="1"/>
  <c r="AY13" i="1"/>
  <c r="BN13" i="1"/>
  <c r="BF13" i="1"/>
  <c r="AX13" i="1"/>
  <c r="BM13" i="1"/>
  <c r="BE13" i="1"/>
  <c r="AW13" i="1"/>
  <c r="BP202" i="1"/>
  <c r="BH202" i="1"/>
  <c r="AZ202" i="1"/>
  <c r="BO202" i="1"/>
  <c r="BG202" i="1"/>
  <c r="AY202" i="1"/>
  <c r="BN202" i="1"/>
  <c r="BF202" i="1"/>
  <c r="AX202" i="1"/>
  <c r="BM202" i="1"/>
  <c r="BE202" i="1"/>
  <c r="AW202" i="1"/>
  <c r="BL202" i="1"/>
  <c r="BD202" i="1"/>
  <c r="AV202" i="1"/>
  <c r="BS202" i="1"/>
  <c r="BK202" i="1"/>
  <c r="BC202" i="1"/>
  <c r="BR202" i="1"/>
  <c r="BJ202" i="1"/>
  <c r="BB202" i="1"/>
  <c r="BQ202" i="1"/>
  <c r="BI202" i="1"/>
  <c r="BA202" i="1"/>
  <c r="BS298" i="1"/>
  <c r="BK298" i="1"/>
  <c r="BC298" i="1"/>
  <c r="BR298" i="1"/>
  <c r="BJ298" i="1"/>
  <c r="BB298" i="1"/>
  <c r="BQ298" i="1"/>
  <c r="BI298" i="1"/>
  <c r="BA298" i="1"/>
  <c r="BN298" i="1"/>
  <c r="BF298" i="1"/>
  <c r="AX298" i="1"/>
  <c r="BM298" i="1"/>
  <c r="BE298" i="1"/>
  <c r="AW298" i="1"/>
  <c r="BG298" i="1"/>
  <c r="BD298" i="1"/>
  <c r="AZ298" i="1"/>
  <c r="AY298" i="1"/>
  <c r="BP298" i="1"/>
  <c r="AV298" i="1"/>
  <c r="BO298" i="1"/>
  <c r="BL298" i="1"/>
  <c r="BH298" i="1"/>
  <c r="BP204" i="1"/>
  <c r="BH204" i="1"/>
  <c r="AZ204" i="1"/>
  <c r="BO204" i="1"/>
  <c r="BG204" i="1"/>
  <c r="AY204" i="1"/>
  <c r="BN204" i="1"/>
  <c r="BF204" i="1"/>
  <c r="AX204" i="1"/>
  <c r="BM204" i="1"/>
  <c r="BE204" i="1"/>
  <c r="AW204" i="1"/>
  <c r="BL204" i="1"/>
  <c r="BD204" i="1"/>
  <c r="AV204" i="1"/>
  <c r="BS204" i="1"/>
  <c r="BK204" i="1"/>
  <c r="BC204" i="1"/>
  <c r="BR204" i="1"/>
  <c r="BJ204" i="1"/>
  <c r="BB204" i="1"/>
  <c r="BQ204" i="1"/>
  <c r="BI204" i="1"/>
  <c r="BA204" i="1"/>
  <c r="BM222" i="1"/>
  <c r="BE222" i="1"/>
  <c r="AW222" i="1"/>
  <c r="BS222" i="1"/>
  <c r="BK222" i="1"/>
  <c r="BC222" i="1"/>
  <c r="BR222" i="1"/>
  <c r="BJ222" i="1"/>
  <c r="BB222" i="1"/>
  <c r="BQ222" i="1"/>
  <c r="BI222" i="1"/>
  <c r="BA222" i="1"/>
  <c r="BO222" i="1"/>
  <c r="BG222" i="1"/>
  <c r="AY222" i="1"/>
  <c r="BD222" i="1"/>
  <c r="AZ222" i="1"/>
  <c r="AX222" i="1"/>
  <c r="BP222" i="1"/>
  <c r="AV222" i="1"/>
  <c r="BN222" i="1"/>
  <c r="BL222" i="1"/>
  <c r="BH222" i="1"/>
  <c r="BF222" i="1"/>
  <c r="BN88" i="1"/>
  <c r="BF88" i="1"/>
  <c r="AX88" i="1"/>
  <c r="BM88" i="1"/>
  <c r="BE88" i="1"/>
  <c r="AW88" i="1"/>
  <c r="BL88" i="1"/>
  <c r="BD88" i="1"/>
  <c r="AV88" i="1"/>
  <c r="BS88" i="1"/>
  <c r="BK88" i="1"/>
  <c r="BC88" i="1"/>
  <c r="BR88" i="1"/>
  <c r="BJ88" i="1"/>
  <c r="BB88" i="1"/>
  <c r="BQ88" i="1"/>
  <c r="BI88" i="1"/>
  <c r="BA88" i="1"/>
  <c r="BP88" i="1"/>
  <c r="BH88" i="1"/>
  <c r="AZ88" i="1"/>
  <c r="BO88" i="1"/>
  <c r="BG88" i="1"/>
  <c r="AY88" i="1"/>
  <c r="BO293" i="1"/>
  <c r="BG293" i="1"/>
  <c r="AY293" i="1"/>
  <c r="BN293" i="1"/>
  <c r="BF293" i="1"/>
  <c r="AX293" i="1"/>
  <c r="BM293" i="1"/>
  <c r="BE293" i="1"/>
  <c r="AW293" i="1"/>
  <c r="BR293" i="1"/>
  <c r="BJ293" i="1"/>
  <c r="BB293" i="1"/>
  <c r="BQ293" i="1"/>
  <c r="BI293" i="1"/>
  <c r="BA293" i="1"/>
  <c r="BK293" i="1"/>
  <c r="BH293" i="1"/>
  <c r="BD293" i="1"/>
  <c r="BC293" i="1"/>
  <c r="AZ293" i="1"/>
  <c r="BS293" i="1"/>
  <c r="AV293" i="1"/>
  <c r="BP293" i="1"/>
  <c r="BL293" i="1"/>
  <c r="BR164" i="1"/>
  <c r="BJ164" i="1"/>
  <c r="BB164" i="1"/>
  <c r="BQ164" i="1"/>
  <c r="BI164" i="1"/>
  <c r="BA164" i="1"/>
  <c r="BP164" i="1"/>
  <c r="BH164" i="1"/>
  <c r="AZ164" i="1"/>
  <c r="BO164" i="1"/>
  <c r="BG164" i="1"/>
  <c r="AY164" i="1"/>
  <c r="BN164" i="1"/>
  <c r="BF164" i="1"/>
  <c r="AX164" i="1"/>
  <c r="BM164" i="1"/>
  <c r="BE164" i="1"/>
  <c r="AW164" i="1"/>
  <c r="BL164" i="1"/>
  <c r="BD164" i="1"/>
  <c r="AV164" i="1"/>
  <c r="BS164" i="1"/>
  <c r="BK164" i="1"/>
  <c r="BC164" i="1"/>
  <c r="BS39" i="1"/>
  <c r="BK39" i="1"/>
  <c r="BC39" i="1"/>
  <c r="BR39" i="1"/>
  <c r="BJ39" i="1"/>
  <c r="BB39" i="1"/>
  <c r="BH39" i="1"/>
  <c r="AX39" i="1"/>
  <c r="BQ39" i="1"/>
  <c r="BG39" i="1"/>
  <c r="AW39" i="1"/>
  <c r="BP39" i="1"/>
  <c r="BF39" i="1"/>
  <c r="AV39" i="1"/>
  <c r="BO39" i="1"/>
  <c r="BE39" i="1"/>
  <c r="BN39" i="1"/>
  <c r="BD39" i="1"/>
  <c r="BM39" i="1"/>
  <c r="BA39" i="1"/>
  <c r="BL39" i="1"/>
  <c r="AZ39" i="1"/>
  <c r="BI39" i="1"/>
  <c r="AY39" i="1"/>
  <c r="BN190" i="1"/>
  <c r="BF190" i="1"/>
  <c r="AX190" i="1"/>
  <c r="BR190" i="1"/>
  <c r="BJ190" i="1"/>
  <c r="BB190" i="1"/>
  <c r="BL190" i="1"/>
  <c r="BA190" i="1"/>
  <c r="BK190" i="1"/>
  <c r="AZ190" i="1"/>
  <c r="BI190" i="1"/>
  <c r="AY190" i="1"/>
  <c r="BS190" i="1"/>
  <c r="BH190" i="1"/>
  <c r="AW190" i="1"/>
  <c r="BQ190" i="1"/>
  <c r="BG190" i="1"/>
  <c r="AV190" i="1"/>
  <c r="BP190" i="1"/>
  <c r="BE190" i="1"/>
  <c r="BO190" i="1"/>
  <c r="BD190" i="1"/>
  <c r="BM190" i="1"/>
  <c r="BC190" i="1"/>
  <c r="BN47" i="1"/>
  <c r="BF47" i="1"/>
  <c r="AX47" i="1"/>
  <c r="BM47" i="1"/>
  <c r="BE47" i="1"/>
  <c r="AW47" i="1"/>
  <c r="BS47" i="1"/>
  <c r="BK47" i="1"/>
  <c r="BC47" i="1"/>
  <c r="BR47" i="1"/>
  <c r="BJ47" i="1"/>
  <c r="BB47" i="1"/>
  <c r="BQ47" i="1"/>
  <c r="BI47" i="1"/>
  <c r="BA47" i="1"/>
  <c r="BL47" i="1"/>
  <c r="BH47" i="1"/>
  <c r="BG47" i="1"/>
  <c r="BD47" i="1"/>
  <c r="AZ47" i="1"/>
  <c r="AY47" i="1"/>
  <c r="BP47" i="1"/>
  <c r="AV47" i="1"/>
  <c r="BO47" i="1"/>
  <c r="BO198" i="1"/>
  <c r="BG198" i="1"/>
  <c r="AY198" i="1"/>
  <c r="BN198" i="1"/>
  <c r="BF198" i="1"/>
  <c r="AX198" i="1"/>
  <c r="BM198" i="1"/>
  <c r="BE198" i="1"/>
  <c r="AW198" i="1"/>
  <c r="BS198" i="1"/>
  <c r="BK198" i="1"/>
  <c r="BC198" i="1"/>
  <c r="BR198" i="1"/>
  <c r="BJ198" i="1"/>
  <c r="BB198" i="1"/>
  <c r="BQ198" i="1"/>
  <c r="BI198" i="1"/>
  <c r="BA198" i="1"/>
  <c r="BP198" i="1"/>
  <c r="BL198" i="1"/>
  <c r="BH198" i="1"/>
  <c r="BD198" i="1"/>
  <c r="AZ198" i="1"/>
  <c r="AV198" i="1"/>
  <c r="BS54" i="1"/>
  <c r="BK54" i="1"/>
  <c r="BC54" i="1"/>
  <c r="BR54" i="1"/>
  <c r="BJ54" i="1"/>
  <c r="BB54" i="1"/>
  <c r="BQ54" i="1"/>
  <c r="BI54" i="1"/>
  <c r="BA54" i="1"/>
  <c r="BP54" i="1"/>
  <c r="BH54" i="1"/>
  <c r="AZ54" i="1"/>
  <c r="BO54" i="1"/>
  <c r="BG54" i="1"/>
  <c r="AY54" i="1"/>
  <c r="BN54" i="1"/>
  <c r="BF54" i="1"/>
  <c r="AX54" i="1"/>
  <c r="BM54" i="1"/>
  <c r="BE54" i="1"/>
  <c r="AW54" i="1"/>
  <c r="BL54" i="1"/>
  <c r="BD54" i="1"/>
  <c r="AV54" i="1"/>
  <c r="BO303" i="1"/>
  <c r="BG303" i="1"/>
  <c r="AY303" i="1"/>
  <c r="BN303" i="1"/>
  <c r="BF303" i="1"/>
  <c r="AX303" i="1"/>
  <c r="BM303" i="1"/>
  <c r="BE303" i="1"/>
  <c r="AW303" i="1"/>
  <c r="BR303" i="1"/>
  <c r="BJ303" i="1"/>
  <c r="BB303" i="1"/>
  <c r="BQ303" i="1"/>
  <c r="BI303" i="1"/>
  <c r="BA303" i="1"/>
  <c r="BC303" i="1"/>
  <c r="AZ303" i="1"/>
  <c r="BS303" i="1"/>
  <c r="AV303" i="1"/>
  <c r="BP303" i="1"/>
  <c r="BL303" i="1"/>
  <c r="BK303" i="1"/>
  <c r="BH303" i="1"/>
  <c r="BD303" i="1"/>
  <c r="BN171" i="1"/>
  <c r="BF171" i="1"/>
  <c r="AX171" i="1"/>
  <c r="BS171" i="1"/>
  <c r="BJ171" i="1"/>
  <c r="BA171" i="1"/>
  <c r="BR171" i="1"/>
  <c r="BI171" i="1"/>
  <c r="AZ171" i="1"/>
  <c r="BQ171" i="1"/>
  <c r="BH171" i="1"/>
  <c r="AY171" i="1"/>
  <c r="BP171" i="1"/>
  <c r="BG171" i="1"/>
  <c r="AW171" i="1"/>
  <c r="BO171" i="1"/>
  <c r="BE171" i="1"/>
  <c r="AV171" i="1"/>
  <c r="BM171" i="1"/>
  <c r="BD171" i="1"/>
  <c r="BL171" i="1"/>
  <c r="BC171" i="1"/>
  <c r="BK171" i="1"/>
  <c r="BB171" i="1"/>
  <c r="BM19" i="1"/>
  <c r="BE19" i="1"/>
  <c r="AW19" i="1"/>
  <c r="BL19" i="1"/>
  <c r="BD19" i="1"/>
  <c r="AV19" i="1"/>
  <c r="BS19" i="1"/>
  <c r="BK19" i="1"/>
  <c r="BC19" i="1"/>
  <c r="BR19" i="1"/>
  <c r="BJ19" i="1"/>
  <c r="BB19" i="1"/>
  <c r="BP19" i="1"/>
  <c r="AZ19" i="1"/>
  <c r="BQ19" i="1"/>
  <c r="BI19" i="1"/>
  <c r="BA19" i="1"/>
  <c r="BH19" i="1"/>
  <c r="BO19" i="1"/>
  <c r="BG19" i="1"/>
  <c r="AY19" i="1"/>
  <c r="BN19" i="1"/>
  <c r="BF19" i="1"/>
  <c r="AX19" i="1"/>
  <c r="BN194" i="1"/>
  <c r="BF194" i="1"/>
  <c r="AX194" i="1"/>
  <c r="BM194" i="1"/>
  <c r="BE194" i="1"/>
  <c r="AW194" i="1"/>
  <c r="BS194" i="1"/>
  <c r="BK194" i="1"/>
  <c r="BC194" i="1"/>
  <c r="BR194" i="1"/>
  <c r="BJ194" i="1"/>
  <c r="BB194" i="1"/>
  <c r="BO194" i="1"/>
  <c r="AY194" i="1"/>
  <c r="BL194" i="1"/>
  <c r="AV194" i="1"/>
  <c r="BI194" i="1"/>
  <c r="BH194" i="1"/>
  <c r="BG194" i="1"/>
  <c r="BD194" i="1"/>
  <c r="BQ194" i="1"/>
  <c r="BA194" i="1"/>
  <c r="BP194" i="1"/>
  <c r="AZ194" i="1"/>
  <c r="BQ28" i="1"/>
  <c r="BI28" i="1"/>
  <c r="BA28" i="1"/>
  <c r="BP28" i="1"/>
  <c r="BH28" i="1"/>
  <c r="AZ28" i="1"/>
  <c r="BO28" i="1"/>
  <c r="BG28" i="1"/>
  <c r="AY28" i="1"/>
  <c r="BN28" i="1"/>
  <c r="BF28" i="1"/>
  <c r="AX28" i="1"/>
  <c r="BM28" i="1"/>
  <c r="BE28" i="1"/>
  <c r="AW28" i="1"/>
  <c r="BL28" i="1"/>
  <c r="BD28" i="1"/>
  <c r="AV28" i="1"/>
  <c r="BS28" i="1"/>
  <c r="BK28" i="1"/>
  <c r="BC28" i="1"/>
  <c r="BR28" i="1"/>
  <c r="BJ28" i="1"/>
  <c r="BB28" i="1"/>
  <c r="BQ229" i="1"/>
  <c r="BI229" i="1"/>
  <c r="BA229" i="1"/>
  <c r="BO229" i="1"/>
  <c r="BG229" i="1"/>
  <c r="AY229" i="1"/>
  <c r="BN229" i="1"/>
  <c r="BF229" i="1"/>
  <c r="AX229" i="1"/>
  <c r="BM229" i="1"/>
  <c r="BE229" i="1"/>
  <c r="AW229" i="1"/>
  <c r="BL229" i="1"/>
  <c r="BD229" i="1"/>
  <c r="AV229" i="1"/>
  <c r="BS229" i="1"/>
  <c r="BK229" i="1"/>
  <c r="BC229" i="1"/>
  <c r="AZ229" i="1"/>
  <c r="BR229" i="1"/>
  <c r="BP229" i="1"/>
  <c r="BJ229" i="1"/>
  <c r="BH229" i="1"/>
  <c r="BB229" i="1"/>
  <c r="BL146" i="1"/>
  <c r="BD146" i="1"/>
  <c r="AV146" i="1"/>
  <c r="BS146" i="1"/>
  <c r="BK146" i="1"/>
  <c r="BC146" i="1"/>
  <c r="BR146" i="1"/>
  <c r="BJ146" i="1"/>
  <c r="BB146" i="1"/>
  <c r="BQ146" i="1"/>
  <c r="BI146" i="1"/>
  <c r="BA146" i="1"/>
  <c r="BP146" i="1"/>
  <c r="BH146" i="1"/>
  <c r="AZ146" i="1"/>
  <c r="BO146" i="1"/>
  <c r="BG146" i="1"/>
  <c r="AY146" i="1"/>
  <c r="BN146" i="1"/>
  <c r="BF146" i="1"/>
  <c r="AX146" i="1"/>
  <c r="BM146" i="1"/>
  <c r="BE146" i="1"/>
  <c r="AW146" i="1"/>
  <c r="BO299" i="1"/>
  <c r="BG299" i="1"/>
  <c r="AY299" i="1"/>
  <c r="BN299" i="1"/>
  <c r="BF299" i="1"/>
  <c r="AX299" i="1"/>
  <c r="BM299" i="1"/>
  <c r="BE299" i="1"/>
  <c r="AW299" i="1"/>
  <c r="BR299" i="1"/>
  <c r="BJ299" i="1"/>
  <c r="BB299" i="1"/>
  <c r="BQ299" i="1"/>
  <c r="BI299" i="1"/>
  <c r="BA299" i="1"/>
  <c r="BS299" i="1"/>
  <c r="AV299" i="1"/>
  <c r="BP299" i="1"/>
  <c r="BL299" i="1"/>
  <c r="BK299" i="1"/>
  <c r="BH299" i="1"/>
  <c r="BD299" i="1"/>
  <c r="BC299" i="1"/>
  <c r="AZ299" i="1"/>
  <c r="BN182" i="1"/>
  <c r="BF182" i="1"/>
  <c r="AX182" i="1"/>
  <c r="BR182" i="1"/>
  <c r="BJ182" i="1"/>
  <c r="BB182" i="1"/>
  <c r="BL182" i="1"/>
  <c r="BA182" i="1"/>
  <c r="BK182" i="1"/>
  <c r="AZ182" i="1"/>
  <c r="BI182" i="1"/>
  <c r="AY182" i="1"/>
  <c r="BS182" i="1"/>
  <c r="BH182" i="1"/>
  <c r="AW182" i="1"/>
  <c r="BQ182" i="1"/>
  <c r="BG182" i="1"/>
  <c r="AV182" i="1"/>
  <c r="BO182" i="1"/>
  <c r="BD182" i="1"/>
  <c r="BP182" i="1"/>
  <c r="BM182" i="1"/>
  <c r="BE182" i="1"/>
  <c r="BC182" i="1"/>
  <c r="BM27" i="1"/>
  <c r="BE27" i="1"/>
  <c r="AW27" i="1"/>
  <c r="BL27" i="1"/>
  <c r="BD27" i="1"/>
  <c r="AV27" i="1"/>
  <c r="BS27" i="1"/>
  <c r="BK27" i="1"/>
  <c r="BC27" i="1"/>
  <c r="BR27" i="1"/>
  <c r="BJ27" i="1"/>
  <c r="BB27" i="1"/>
  <c r="BQ27" i="1"/>
  <c r="BI27" i="1"/>
  <c r="BA27" i="1"/>
  <c r="BP27" i="1"/>
  <c r="BH27" i="1"/>
  <c r="AZ27" i="1"/>
  <c r="BO27" i="1"/>
  <c r="BG27" i="1"/>
  <c r="AY27" i="1"/>
  <c r="BN27" i="1"/>
  <c r="BF27" i="1"/>
  <c r="AX27" i="1"/>
  <c r="BQ231" i="1"/>
  <c r="BI231" i="1"/>
  <c r="BA231" i="1"/>
  <c r="BP231" i="1"/>
  <c r="BH231" i="1"/>
  <c r="AZ231" i="1"/>
  <c r="BO231" i="1"/>
  <c r="BG231" i="1"/>
  <c r="AY231" i="1"/>
  <c r="BN231" i="1"/>
  <c r="BF231" i="1"/>
  <c r="AX231" i="1"/>
  <c r="BM231" i="1"/>
  <c r="BE231" i="1"/>
  <c r="AW231" i="1"/>
  <c r="BL231" i="1"/>
  <c r="BD231" i="1"/>
  <c r="AV231" i="1"/>
  <c r="BS231" i="1"/>
  <c r="BK231" i="1"/>
  <c r="BC231" i="1"/>
  <c r="BR231" i="1"/>
  <c r="BJ231" i="1"/>
  <c r="BB231" i="1"/>
  <c r="BN117" i="1"/>
  <c r="BF117" i="1"/>
  <c r="AX117" i="1"/>
  <c r="BM117" i="1"/>
  <c r="BE117" i="1"/>
  <c r="AW117" i="1"/>
  <c r="BR117" i="1"/>
  <c r="BJ117" i="1"/>
  <c r="BB117" i="1"/>
  <c r="BQ117" i="1"/>
  <c r="BD117" i="1"/>
  <c r="BP117" i="1"/>
  <c r="BC117" i="1"/>
  <c r="BO117" i="1"/>
  <c r="BA117" i="1"/>
  <c r="BL117" i="1"/>
  <c r="AZ117" i="1"/>
  <c r="BK117" i="1"/>
  <c r="AY117" i="1"/>
  <c r="BI117" i="1"/>
  <c r="AV117" i="1"/>
  <c r="BH117" i="1"/>
  <c r="BS117" i="1"/>
  <c r="BG117" i="1"/>
  <c r="BM9" i="1"/>
  <c r="BE9" i="1"/>
  <c r="AW9" i="1"/>
  <c r="BL9" i="1"/>
  <c r="BD9" i="1"/>
  <c r="BS9" i="1"/>
  <c r="BK9" i="1"/>
  <c r="BC9" i="1"/>
  <c r="BH9" i="1"/>
  <c r="BO9" i="1"/>
  <c r="BR9" i="1"/>
  <c r="BJ9" i="1"/>
  <c r="BB9" i="1"/>
  <c r="AV9" i="1"/>
  <c r="BQ9" i="1"/>
  <c r="BI9" i="1"/>
  <c r="BA9" i="1"/>
  <c r="AZ9" i="1"/>
  <c r="BP9" i="1"/>
  <c r="BG9" i="1"/>
  <c r="AY9" i="1"/>
  <c r="BN9" i="1"/>
  <c r="BF9" i="1"/>
  <c r="AX9" i="1"/>
  <c r="BO253" i="1"/>
  <c r="BG253" i="1"/>
  <c r="AY253" i="1"/>
  <c r="BS253" i="1"/>
  <c r="BJ253" i="1"/>
  <c r="BA253" i="1"/>
  <c r="BR253" i="1"/>
  <c r="BI253" i="1"/>
  <c r="AZ253" i="1"/>
  <c r="BQ253" i="1"/>
  <c r="BH253" i="1"/>
  <c r="AX253" i="1"/>
  <c r="BP253" i="1"/>
  <c r="BF253" i="1"/>
  <c r="AW253" i="1"/>
  <c r="BN253" i="1"/>
  <c r="BE253" i="1"/>
  <c r="AV253" i="1"/>
  <c r="BM253" i="1"/>
  <c r="BD253" i="1"/>
  <c r="BL253" i="1"/>
  <c r="BC253" i="1"/>
  <c r="BK253" i="1"/>
  <c r="BB253" i="1"/>
  <c r="BR108" i="1"/>
  <c r="BJ108" i="1"/>
  <c r="BB108" i="1"/>
  <c r="BN108" i="1"/>
  <c r="BF108" i="1"/>
  <c r="AX108" i="1"/>
  <c r="BP108" i="1"/>
  <c r="BE108" i="1"/>
  <c r="BO108" i="1"/>
  <c r="BD108" i="1"/>
  <c r="BM108" i="1"/>
  <c r="BC108" i="1"/>
  <c r="BL108" i="1"/>
  <c r="BA108" i="1"/>
  <c r="BK108" i="1"/>
  <c r="AZ108" i="1"/>
  <c r="BI108" i="1"/>
  <c r="AY108" i="1"/>
  <c r="BS108" i="1"/>
  <c r="BH108" i="1"/>
  <c r="AW108" i="1"/>
  <c r="BQ108" i="1"/>
  <c r="BG108" i="1"/>
  <c r="AV108" i="1"/>
  <c r="BN157" i="1"/>
  <c r="BF157" i="1"/>
  <c r="AX157" i="1"/>
  <c r="BS157" i="1"/>
  <c r="BK157" i="1"/>
  <c r="BC157" i="1"/>
  <c r="BR157" i="1"/>
  <c r="BJ157" i="1"/>
  <c r="BB157" i="1"/>
  <c r="BQ157" i="1"/>
  <c r="BI157" i="1"/>
  <c r="BA157" i="1"/>
  <c r="BP157" i="1"/>
  <c r="BH157" i="1"/>
  <c r="AZ157" i="1"/>
  <c r="BO157" i="1"/>
  <c r="AV157" i="1"/>
  <c r="BM157" i="1"/>
  <c r="BL157" i="1"/>
  <c r="BG157" i="1"/>
  <c r="BE157" i="1"/>
  <c r="BD157" i="1"/>
  <c r="AY157" i="1"/>
  <c r="AW157" i="1"/>
  <c r="BQ265" i="1"/>
  <c r="BI265" i="1"/>
  <c r="BA265" i="1"/>
  <c r="BP265" i="1"/>
  <c r="BH265" i="1"/>
  <c r="AZ265" i="1"/>
  <c r="BO265" i="1"/>
  <c r="BG265" i="1"/>
  <c r="AY265" i="1"/>
  <c r="BN265" i="1"/>
  <c r="BF265" i="1"/>
  <c r="AX265" i="1"/>
  <c r="BM265" i="1"/>
  <c r="BE265" i="1"/>
  <c r="AW265" i="1"/>
  <c r="BL265" i="1"/>
  <c r="BD265" i="1"/>
  <c r="AV265" i="1"/>
  <c r="BS265" i="1"/>
  <c r="BK265" i="1"/>
  <c r="BC265" i="1"/>
  <c r="BR265" i="1"/>
  <c r="BJ265" i="1"/>
  <c r="BB265" i="1"/>
  <c r="BP139" i="1"/>
  <c r="BH139" i="1"/>
  <c r="AZ139" i="1"/>
  <c r="BO139" i="1"/>
  <c r="BG139" i="1"/>
  <c r="AY139" i="1"/>
  <c r="BN139" i="1"/>
  <c r="BF139" i="1"/>
  <c r="AX139" i="1"/>
  <c r="BM139" i="1"/>
  <c r="BE139" i="1"/>
  <c r="AW139" i="1"/>
  <c r="BL139" i="1"/>
  <c r="BD139" i="1"/>
  <c r="AV139" i="1"/>
  <c r="BS139" i="1"/>
  <c r="BK139" i="1"/>
  <c r="BC139" i="1"/>
  <c r="BR139" i="1"/>
  <c r="BJ139" i="1"/>
  <c r="BB139" i="1"/>
  <c r="BQ139" i="1"/>
  <c r="BI139" i="1"/>
  <c r="BA139" i="1"/>
  <c r="BR273" i="1"/>
  <c r="BJ273" i="1"/>
  <c r="BB273" i="1"/>
  <c r="BN273" i="1"/>
  <c r="BF273" i="1"/>
  <c r="AX273" i="1"/>
  <c r="BS273" i="1"/>
  <c r="BH273" i="1"/>
  <c r="AW273" i="1"/>
  <c r="BQ273" i="1"/>
  <c r="BG273" i="1"/>
  <c r="AV273" i="1"/>
  <c r="BP273" i="1"/>
  <c r="BE273" i="1"/>
  <c r="BO273" i="1"/>
  <c r="BD273" i="1"/>
  <c r="BM273" i="1"/>
  <c r="BC273" i="1"/>
  <c r="BL273" i="1"/>
  <c r="BA273" i="1"/>
  <c r="BK273" i="1"/>
  <c r="AZ273" i="1"/>
  <c r="BI273" i="1"/>
  <c r="AY273" i="1"/>
  <c r="BR237" i="1"/>
  <c r="BJ237" i="1"/>
  <c r="BB237" i="1"/>
  <c r="BN237" i="1"/>
  <c r="BF237" i="1"/>
  <c r="AX237" i="1"/>
  <c r="BM237" i="1"/>
  <c r="BE237" i="1"/>
  <c r="AW237" i="1"/>
  <c r="BO237" i="1"/>
  <c r="BA237" i="1"/>
  <c r="BL237" i="1"/>
  <c r="AZ237" i="1"/>
  <c r="BK237" i="1"/>
  <c r="AY237" i="1"/>
  <c r="BI237" i="1"/>
  <c r="AV237" i="1"/>
  <c r="BH237" i="1"/>
  <c r="BS237" i="1"/>
  <c r="BG237" i="1"/>
  <c r="BQ237" i="1"/>
  <c r="BD237" i="1"/>
  <c r="BP237" i="1"/>
  <c r="BC237" i="1"/>
  <c r="BN80" i="1"/>
  <c r="BF80" i="1"/>
  <c r="AX80" i="1"/>
  <c r="BS80" i="1"/>
  <c r="BK80" i="1"/>
  <c r="BC80" i="1"/>
  <c r="BQ80" i="1"/>
  <c r="BI80" i="1"/>
  <c r="BA80" i="1"/>
  <c r="BG80" i="1"/>
  <c r="BR80" i="1"/>
  <c r="BE80" i="1"/>
  <c r="BP80" i="1"/>
  <c r="BD80" i="1"/>
  <c r="BO80" i="1"/>
  <c r="BB80" i="1"/>
  <c r="BM80" i="1"/>
  <c r="AZ80" i="1"/>
  <c r="BL80" i="1"/>
  <c r="AY80" i="1"/>
  <c r="BJ80" i="1"/>
  <c r="AW80" i="1"/>
  <c r="BH80" i="1"/>
  <c r="AV80" i="1"/>
  <c r="BP133" i="1"/>
  <c r="BH133" i="1"/>
  <c r="AZ133" i="1"/>
  <c r="BO133" i="1"/>
  <c r="BG133" i="1"/>
  <c r="AY133" i="1"/>
  <c r="BN133" i="1"/>
  <c r="BF133" i="1"/>
  <c r="AX133" i="1"/>
  <c r="BM133" i="1"/>
  <c r="BE133" i="1"/>
  <c r="AW133" i="1"/>
  <c r="BL133" i="1"/>
  <c r="BD133" i="1"/>
  <c r="AV133" i="1"/>
  <c r="BS133" i="1"/>
  <c r="BK133" i="1"/>
  <c r="BC133" i="1"/>
  <c r="BR133" i="1"/>
  <c r="BJ133" i="1"/>
  <c r="BB133" i="1"/>
  <c r="BQ133" i="1"/>
  <c r="BI133" i="1"/>
  <c r="BA133" i="1"/>
  <c r="BQ259" i="1"/>
  <c r="BI259" i="1"/>
  <c r="BA259" i="1"/>
  <c r="BO259" i="1"/>
  <c r="BG259" i="1"/>
  <c r="AY259" i="1"/>
  <c r="BN259" i="1"/>
  <c r="BF259" i="1"/>
  <c r="AX259" i="1"/>
  <c r="BM259" i="1"/>
  <c r="BE259" i="1"/>
  <c r="AW259" i="1"/>
  <c r="BK259" i="1"/>
  <c r="BJ259" i="1"/>
  <c r="BH259" i="1"/>
  <c r="BD259" i="1"/>
  <c r="BS259" i="1"/>
  <c r="BC259" i="1"/>
  <c r="BR259" i="1"/>
  <c r="BB259" i="1"/>
  <c r="BP259" i="1"/>
  <c r="AZ259" i="1"/>
  <c r="BL259" i="1"/>
  <c r="AV259" i="1"/>
  <c r="BP135" i="1"/>
  <c r="BH135" i="1"/>
  <c r="AZ135" i="1"/>
  <c r="BO135" i="1"/>
  <c r="BG135" i="1"/>
  <c r="AY135" i="1"/>
  <c r="BN135" i="1"/>
  <c r="BF135" i="1"/>
  <c r="AX135" i="1"/>
  <c r="BM135" i="1"/>
  <c r="BE135" i="1"/>
  <c r="AW135" i="1"/>
  <c r="BL135" i="1"/>
  <c r="BD135" i="1"/>
  <c r="AV135" i="1"/>
  <c r="BS135" i="1"/>
  <c r="BK135" i="1"/>
  <c r="BC135" i="1"/>
  <c r="BR135" i="1"/>
  <c r="BJ135" i="1"/>
  <c r="BB135" i="1"/>
  <c r="BQ135" i="1"/>
  <c r="BI135" i="1"/>
  <c r="BA135" i="1"/>
  <c r="BR79" i="1"/>
  <c r="BJ79" i="1"/>
  <c r="BB79" i="1"/>
  <c r="BO79" i="1"/>
  <c r="BG79" i="1"/>
  <c r="AY79" i="1"/>
  <c r="BL79" i="1"/>
  <c r="BA79" i="1"/>
  <c r="BK79" i="1"/>
  <c r="AZ79" i="1"/>
  <c r="BI79" i="1"/>
  <c r="AX79" i="1"/>
  <c r="BS79" i="1"/>
  <c r="BH79" i="1"/>
  <c r="AW79" i="1"/>
  <c r="BQ79" i="1"/>
  <c r="BF79" i="1"/>
  <c r="AV79" i="1"/>
  <c r="BP79" i="1"/>
  <c r="BE79" i="1"/>
  <c r="BN79" i="1"/>
  <c r="BD79" i="1"/>
  <c r="BM79" i="1"/>
  <c r="BC79" i="1"/>
  <c r="BO297" i="1"/>
  <c r="BG297" i="1"/>
  <c r="AY297" i="1"/>
  <c r="BN297" i="1"/>
  <c r="BF297" i="1"/>
  <c r="AX297" i="1"/>
  <c r="BM297" i="1"/>
  <c r="BE297" i="1"/>
  <c r="AW297" i="1"/>
  <c r="BR297" i="1"/>
  <c r="BJ297" i="1"/>
  <c r="BB297" i="1"/>
  <c r="BQ297" i="1"/>
  <c r="BI297" i="1"/>
  <c r="BA297" i="1"/>
  <c r="BP297" i="1"/>
  <c r="BL297" i="1"/>
  <c r="BK297" i="1"/>
  <c r="BH297" i="1"/>
  <c r="BD297" i="1"/>
  <c r="BC297" i="1"/>
  <c r="AZ297" i="1"/>
  <c r="BS297" i="1"/>
  <c r="AV297" i="1"/>
  <c r="BM268" i="1"/>
  <c r="BE268" i="1"/>
  <c r="AW268" i="1"/>
  <c r="BL268" i="1"/>
  <c r="BD268" i="1"/>
  <c r="AV268" i="1"/>
  <c r="BS268" i="1"/>
  <c r="BK268" i="1"/>
  <c r="BC268" i="1"/>
  <c r="BR268" i="1"/>
  <c r="BJ268" i="1"/>
  <c r="BB268" i="1"/>
  <c r="BQ268" i="1"/>
  <c r="BI268" i="1"/>
  <c r="BA268" i="1"/>
  <c r="BP268" i="1"/>
  <c r="BH268" i="1"/>
  <c r="AZ268" i="1"/>
  <c r="BO268" i="1"/>
  <c r="BG268" i="1"/>
  <c r="AY268" i="1"/>
  <c r="BN268" i="1"/>
  <c r="BF268" i="1"/>
  <c r="AX268" i="1"/>
  <c r="BQ219" i="1"/>
  <c r="BI219" i="1"/>
  <c r="BA219" i="1"/>
  <c r="BO219" i="1"/>
  <c r="BG219" i="1"/>
  <c r="AY219" i="1"/>
  <c r="BN219" i="1"/>
  <c r="BF219" i="1"/>
  <c r="AX219" i="1"/>
  <c r="BS219" i="1"/>
  <c r="BK219" i="1"/>
  <c r="BC219" i="1"/>
  <c r="BL219" i="1"/>
  <c r="AV219" i="1"/>
  <c r="BJ219" i="1"/>
  <c r="BH219" i="1"/>
  <c r="BE219" i="1"/>
  <c r="BD219" i="1"/>
  <c r="BR219" i="1"/>
  <c r="BB219" i="1"/>
  <c r="BP219" i="1"/>
  <c r="AZ219" i="1"/>
  <c r="BM219" i="1"/>
  <c r="AW219" i="1"/>
  <c r="BL144" i="1"/>
  <c r="BD144" i="1"/>
  <c r="AV144" i="1"/>
  <c r="BS144" i="1"/>
  <c r="BK144" i="1"/>
  <c r="BC144" i="1"/>
  <c r="BR144" i="1"/>
  <c r="BJ144" i="1"/>
  <c r="BB144" i="1"/>
  <c r="BQ144" i="1"/>
  <c r="BI144" i="1"/>
  <c r="BA144" i="1"/>
  <c r="BP144" i="1"/>
  <c r="BH144" i="1"/>
  <c r="AZ144" i="1"/>
  <c r="BO144" i="1"/>
  <c r="BG144" i="1"/>
  <c r="AY144" i="1"/>
  <c r="BN144" i="1"/>
  <c r="BF144" i="1"/>
  <c r="AX144" i="1"/>
  <c r="BM144" i="1"/>
  <c r="BE144" i="1"/>
  <c r="AW144" i="1"/>
  <c r="BR99" i="1"/>
  <c r="BJ99" i="1"/>
  <c r="BB99" i="1"/>
  <c r="BQ99" i="1"/>
  <c r="BI99" i="1"/>
  <c r="BA99" i="1"/>
  <c r="BP99" i="1"/>
  <c r="BH99" i="1"/>
  <c r="AZ99" i="1"/>
  <c r="BO99" i="1"/>
  <c r="BG99" i="1"/>
  <c r="AY99" i="1"/>
  <c r="BN99" i="1"/>
  <c r="BF99" i="1"/>
  <c r="AX99" i="1"/>
  <c r="BM99" i="1"/>
  <c r="BE99" i="1"/>
  <c r="AW99" i="1"/>
  <c r="BL99" i="1"/>
  <c r="BD99" i="1"/>
  <c r="AV99" i="1"/>
  <c r="BS99" i="1"/>
  <c r="BK99" i="1"/>
  <c r="BC99" i="1"/>
  <c r="BR35" i="1"/>
  <c r="BJ35" i="1"/>
  <c r="BB35" i="1"/>
  <c r="BQ35" i="1"/>
  <c r="BH35" i="1"/>
  <c r="AY35" i="1"/>
  <c r="BP35" i="1"/>
  <c r="BG35" i="1"/>
  <c r="AX35" i="1"/>
  <c r="BO35" i="1"/>
  <c r="BF35" i="1"/>
  <c r="AW35" i="1"/>
  <c r="BN35" i="1"/>
  <c r="BE35" i="1"/>
  <c r="AV35" i="1"/>
  <c r="BM35" i="1"/>
  <c r="BD35" i="1"/>
  <c r="BL35" i="1"/>
  <c r="BC35" i="1"/>
  <c r="BK35" i="1"/>
  <c r="BA35" i="1"/>
  <c r="BS35" i="1"/>
  <c r="BI35" i="1"/>
  <c r="AZ35" i="1"/>
  <c r="BN280" i="1"/>
  <c r="BQ280" i="1"/>
  <c r="BH280" i="1"/>
  <c r="AZ280" i="1"/>
  <c r="BO280" i="1"/>
  <c r="BF280" i="1"/>
  <c r="AX280" i="1"/>
  <c r="BL280" i="1"/>
  <c r="BD280" i="1"/>
  <c r="AV280" i="1"/>
  <c r="BK280" i="1"/>
  <c r="BC280" i="1"/>
  <c r="BS280" i="1"/>
  <c r="BJ280" i="1"/>
  <c r="BB280" i="1"/>
  <c r="BR280" i="1"/>
  <c r="AW280" i="1"/>
  <c r="BP280" i="1"/>
  <c r="BM280" i="1"/>
  <c r="BI280" i="1"/>
  <c r="BG280" i="1"/>
  <c r="BE280" i="1"/>
  <c r="BA280" i="1"/>
  <c r="AY280" i="1"/>
  <c r="BQ233" i="1"/>
  <c r="BI233" i="1"/>
  <c r="BA233" i="1"/>
  <c r="BP233" i="1"/>
  <c r="BH233" i="1"/>
  <c r="AZ233" i="1"/>
  <c r="BO233" i="1"/>
  <c r="BG233" i="1"/>
  <c r="AY233" i="1"/>
  <c r="BN233" i="1"/>
  <c r="BF233" i="1"/>
  <c r="AX233" i="1"/>
  <c r="BM233" i="1"/>
  <c r="BE233" i="1"/>
  <c r="AW233" i="1"/>
  <c r="BL233" i="1"/>
  <c r="BD233" i="1"/>
  <c r="AV233" i="1"/>
  <c r="BS233" i="1"/>
  <c r="BK233" i="1"/>
  <c r="BC233" i="1"/>
  <c r="BR233" i="1"/>
  <c r="BJ233" i="1"/>
  <c r="BB233" i="1"/>
  <c r="BR166" i="1"/>
  <c r="BJ166" i="1"/>
  <c r="BB166" i="1"/>
  <c r="BQ166" i="1"/>
  <c r="BI166" i="1"/>
  <c r="BA166" i="1"/>
  <c r="BP166" i="1"/>
  <c r="BH166" i="1"/>
  <c r="AZ166" i="1"/>
  <c r="BO166" i="1"/>
  <c r="BG166" i="1"/>
  <c r="AY166" i="1"/>
  <c r="BN166" i="1"/>
  <c r="BF166" i="1"/>
  <c r="AX166" i="1"/>
  <c r="BM166" i="1"/>
  <c r="BE166" i="1"/>
  <c r="AW166" i="1"/>
  <c r="BL166" i="1"/>
  <c r="BD166" i="1"/>
  <c r="AV166" i="1"/>
  <c r="BS166" i="1"/>
  <c r="BK166" i="1"/>
  <c r="BC166" i="1"/>
  <c r="BN107" i="1"/>
  <c r="BF107" i="1"/>
  <c r="AX107" i="1"/>
  <c r="BR107" i="1"/>
  <c r="BJ107" i="1"/>
  <c r="BB107" i="1"/>
  <c r="BL107" i="1"/>
  <c r="BA107" i="1"/>
  <c r="BK107" i="1"/>
  <c r="AZ107" i="1"/>
  <c r="BI107" i="1"/>
  <c r="AY107" i="1"/>
  <c r="BS107" i="1"/>
  <c r="BH107" i="1"/>
  <c r="AW107" i="1"/>
  <c r="BQ107" i="1"/>
  <c r="BG107" i="1"/>
  <c r="AV107" i="1"/>
  <c r="BP107" i="1"/>
  <c r="BE107" i="1"/>
  <c r="BO107" i="1"/>
  <c r="BD107" i="1"/>
  <c r="BM107" i="1"/>
  <c r="BC107" i="1"/>
  <c r="BE11" i="1"/>
  <c r="BS11" i="1"/>
  <c r="BK11" i="1"/>
  <c r="BC11" i="1"/>
  <c r="BP11" i="1"/>
  <c r="BH11" i="1"/>
  <c r="BR11" i="1"/>
  <c r="BJ11" i="1"/>
  <c r="BB11" i="1"/>
  <c r="BQ11" i="1"/>
  <c r="BI11" i="1"/>
  <c r="AZ11" i="1"/>
  <c r="BA11" i="1"/>
  <c r="BO11" i="1"/>
  <c r="BG11" i="1"/>
  <c r="AY11" i="1"/>
  <c r="BN11" i="1"/>
  <c r="BF11" i="1"/>
  <c r="AX11" i="1"/>
  <c r="BM11" i="1"/>
  <c r="AW11" i="1"/>
  <c r="BL11" i="1"/>
  <c r="BD11" i="1"/>
  <c r="AV11" i="1"/>
  <c r="BM264" i="1"/>
  <c r="BE264" i="1"/>
  <c r="AW264" i="1"/>
  <c r="BL264" i="1"/>
  <c r="BD264" i="1"/>
  <c r="AV264" i="1"/>
  <c r="BS264" i="1"/>
  <c r="BK264" i="1"/>
  <c r="BC264" i="1"/>
  <c r="BR264" i="1"/>
  <c r="BJ264" i="1"/>
  <c r="BB264" i="1"/>
  <c r="BQ264" i="1"/>
  <c r="BI264" i="1"/>
  <c r="BA264" i="1"/>
  <c r="BP264" i="1"/>
  <c r="BH264" i="1"/>
  <c r="AZ264" i="1"/>
  <c r="BO264" i="1"/>
  <c r="BG264" i="1"/>
  <c r="AY264" i="1"/>
  <c r="BN264" i="1"/>
  <c r="BF264" i="1"/>
  <c r="AX264" i="1"/>
  <c r="BL215" i="1"/>
  <c r="BD215" i="1"/>
  <c r="AV215" i="1"/>
  <c r="BS215" i="1"/>
  <c r="BK215" i="1"/>
  <c r="BC215" i="1"/>
  <c r="BR215" i="1"/>
  <c r="BJ215" i="1"/>
  <c r="BB215" i="1"/>
  <c r="BQ215" i="1"/>
  <c r="BI215" i="1"/>
  <c r="BA215" i="1"/>
  <c r="BP215" i="1"/>
  <c r="BH215" i="1"/>
  <c r="AZ215" i="1"/>
  <c r="BO215" i="1"/>
  <c r="BG215" i="1"/>
  <c r="AY215" i="1"/>
  <c r="BN215" i="1"/>
  <c r="BF215" i="1"/>
  <c r="AX215" i="1"/>
  <c r="BM215" i="1"/>
  <c r="BE215" i="1"/>
  <c r="AW215" i="1"/>
  <c r="BL140" i="1"/>
  <c r="BD140" i="1"/>
  <c r="AV140" i="1"/>
  <c r="BS140" i="1"/>
  <c r="BK140" i="1"/>
  <c r="BC140" i="1"/>
  <c r="BR140" i="1"/>
  <c r="BJ140" i="1"/>
  <c r="BB140" i="1"/>
  <c r="BQ140" i="1"/>
  <c r="BI140" i="1"/>
  <c r="BA140" i="1"/>
  <c r="BP140" i="1"/>
  <c r="BH140" i="1"/>
  <c r="AZ140" i="1"/>
  <c r="BO140" i="1"/>
  <c r="BG140" i="1"/>
  <c r="AY140" i="1"/>
  <c r="BN140" i="1"/>
  <c r="BF140" i="1"/>
  <c r="AX140" i="1"/>
  <c r="BM140" i="1"/>
  <c r="BE140" i="1"/>
  <c r="AW140" i="1"/>
  <c r="BR95" i="1"/>
  <c r="BJ95" i="1"/>
  <c r="BB95" i="1"/>
  <c r="BQ95" i="1"/>
  <c r="BI95" i="1"/>
  <c r="BA95" i="1"/>
  <c r="BP95" i="1"/>
  <c r="BH95" i="1"/>
  <c r="AZ95" i="1"/>
  <c r="BO95" i="1"/>
  <c r="BG95" i="1"/>
  <c r="AY95" i="1"/>
  <c r="BN95" i="1"/>
  <c r="BF95" i="1"/>
  <c r="AX95" i="1"/>
  <c r="BM95" i="1"/>
  <c r="BE95" i="1"/>
  <c r="AW95" i="1"/>
  <c r="BL95" i="1"/>
  <c r="BD95" i="1"/>
  <c r="AV95" i="1"/>
  <c r="BS95" i="1"/>
  <c r="BK95" i="1"/>
  <c r="BC95" i="1"/>
  <c r="BQ46" i="1"/>
  <c r="BI46" i="1"/>
  <c r="BA46" i="1"/>
  <c r="BO46" i="1"/>
  <c r="BG46" i="1"/>
  <c r="AY46" i="1"/>
  <c r="BN46" i="1"/>
  <c r="BF46" i="1"/>
  <c r="AX46" i="1"/>
  <c r="BM46" i="1"/>
  <c r="BE46" i="1"/>
  <c r="AW46" i="1"/>
  <c r="BD46" i="1"/>
  <c r="BS46" i="1"/>
  <c r="BC46" i="1"/>
  <c r="BR46" i="1"/>
  <c r="BB46" i="1"/>
  <c r="BP46" i="1"/>
  <c r="AZ46" i="1"/>
  <c r="BL46" i="1"/>
  <c r="AV46" i="1"/>
  <c r="BK46" i="1"/>
  <c r="BJ46" i="1"/>
  <c r="BH46" i="1"/>
  <c r="BS300" i="1"/>
  <c r="BK300" i="1"/>
  <c r="BC300" i="1"/>
  <c r="BR300" i="1"/>
  <c r="BJ300" i="1"/>
  <c r="BB300" i="1"/>
  <c r="BQ300" i="1"/>
  <c r="BI300" i="1"/>
  <c r="BA300" i="1"/>
  <c r="BN300" i="1"/>
  <c r="BF300" i="1"/>
  <c r="AX300" i="1"/>
  <c r="BM300" i="1"/>
  <c r="BE300" i="1"/>
  <c r="AW300" i="1"/>
  <c r="BH300" i="1"/>
  <c r="BG300" i="1"/>
  <c r="BD300" i="1"/>
  <c r="AZ300" i="1"/>
  <c r="AY300" i="1"/>
  <c r="BP300" i="1"/>
  <c r="AV300" i="1"/>
  <c r="BO300" i="1"/>
  <c r="BL300" i="1"/>
  <c r="BM234" i="1"/>
  <c r="BE234" i="1"/>
  <c r="AW234" i="1"/>
  <c r="BL234" i="1"/>
  <c r="BD234" i="1"/>
  <c r="AV234" i="1"/>
  <c r="BS234" i="1"/>
  <c r="BK234" i="1"/>
  <c r="BC234" i="1"/>
  <c r="BR234" i="1"/>
  <c r="BJ234" i="1"/>
  <c r="BB234" i="1"/>
  <c r="BQ234" i="1"/>
  <c r="BI234" i="1"/>
  <c r="BA234" i="1"/>
  <c r="BP234" i="1"/>
  <c r="BH234" i="1"/>
  <c r="AZ234" i="1"/>
  <c r="BO234" i="1"/>
  <c r="BG234" i="1"/>
  <c r="AY234" i="1"/>
  <c r="BN234" i="1"/>
  <c r="BF234" i="1"/>
  <c r="AX234" i="1"/>
  <c r="BN165" i="1"/>
  <c r="BF165" i="1"/>
  <c r="AX165" i="1"/>
  <c r="BM165" i="1"/>
  <c r="BE165" i="1"/>
  <c r="AW165" i="1"/>
  <c r="BL165" i="1"/>
  <c r="BD165" i="1"/>
  <c r="AV165" i="1"/>
  <c r="BS165" i="1"/>
  <c r="BK165" i="1"/>
  <c r="BC165" i="1"/>
  <c r="BR165" i="1"/>
  <c r="BJ165" i="1"/>
  <c r="BB165" i="1"/>
  <c r="BQ165" i="1"/>
  <c r="BI165" i="1"/>
  <c r="BA165" i="1"/>
  <c r="BP165" i="1"/>
  <c r="BH165" i="1"/>
  <c r="AZ165" i="1"/>
  <c r="BO165" i="1"/>
  <c r="BG165" i="1"/>
  <c r="AY165" i="1"/>
  <c r="BN100" i="1"/>
  <c r="BF100" i="1"/>
  <c r="AX100" i="1"/>
  <c r="BM100" i="1"/>
  <c r="BE100" i="1"/>
  <c r="AW100" i="1"/>
  <c r="BL100" i="1"/>
  <c r="BD100" i="1"/>
  <c r="AV100" i="1"/>
  <c r="BS100" i="1"/>
  <c r="BK100" i="1"/>
  <c r="BC100" i="1"/>
  <c r="BR100" i="1"/>
  <c r="BJ100" i="1"/>
  <c r="BB100" i="1"/>
  <c r="BQ100" i="1"/>
  <c r="BI100" i="1"/>
  <c r="BA100" i="1"/>
  <c r="BP100" i="1"/>
  <c r="BH100" i="1"/>
  <c r="AZ100" i="1"/>
  <c r="BO100" i="1"/>
  <c r="BG100" i="1"/>
  <c r="AY100" i="1"/>
  <c r="BR75" i="1"/>
  <c r="BJ75" i="1"/>
  <c r="BB75" i="1"/>
  <c r="BL75" i="1"/>
  <c r="BC75" i="1"/>
  <c r="BK75" i="1"/>
  <c r="BA75" i="1"/>
  <c r="BS75" i="1"/>
  <c r="BI75" i="1"/>
  <c r="AZ75" i="1"/>
  <c r="BQ75" i="1"/>
  <c r="BH75" i="1"/>
  <c r="AY75" i="1"/>
  <c r="BP75" i="1"/>
  <c r="BG75" i="1"/>
  <c r="AX75" i="1"/>
  <c r="BO75" i="1"/>
  <c r="BF75" i="1"/>
  <c r="AW75" i="1"/>
  <c r="BN75" i="1"/>
  <c r="BE75" i="1"/>
  <c r="AV75" i="1"/>
  <c r="BM75" i="1"/>
  <c r="BD75" i="1"/>
  <c r="BR154" i="1"/>
  <c r="BJ154" i="1"/>
  <c r="BB154" i="1"/>
  <c r="BN154" i="1"/>
  <c r="BF154" i="1"/>
  <c r="AX154" i="1"/>
  <c r="BM154" i="1"/>
  <c r="BE154" i="1"/>
  <c r="AW154" i="1"/>
  <c r="BS154" i="1"/>
  <c r="BG154" i="1"/>
  <c r="BQ154" i="1"/>
  <c r="BD154" i="1"/>
  <c r="BP154" i="1"/>
  <c r="BC154" i="1"/>
  <c r="BO154" i="1"/>
  <c r="BA154" i="1"/>
  <c r="BL154" i="1"/>
  <c r="AZ154" i="1"/>
  <c r="BK154" i="1"/>
  <c r="AY154" i="1"/>
  <c r="BI154" i="1"/>
  <c r="AV154" i="1"/>
  <c r="BH154" i="1"/>
  <c r="BN272" i="1"/>
  <c r="BF272" i="1"/>
  <c r="AX272" i="1"/>
  <c r="BR272" i="1"/>
  <c r="BJ272" i="1"/>
  <c r="BB272" i="1"/>
  <c r="BO272" i="1"/>
  <c r="BD272" i="1"/>
  <c r="BM272" i="1"/>
  <c r="BC272" i="1"/>
  <c r="BL272" i="1"/>
  <c r="BA272" i="1"/>
  <c r="BK272" i="1"/>
  <c r="AZ272" i="1"/>
  <c r="BI272" i="1"/>
  <c r="AY272" i="1"/>
  <c r="BS272" i="1"/>
  <c r="BH272" i="1"/>
  <c r="AW272" i="1"/>
  <c r="BQ272" i="1"/>
  <c r="BG272" i="1"/>
  <c r="AV272" i="1"/>
  <c r="BP272" i="1"/>
  <c r="BE272" i="1"/>
  <c r="BR181" i="1"/>
  <c r="BJ181" i="1"/>
  <c r="BB181" i="1"/>
  <c r="BN181" i="1"/>
  <c r="BF181" i="1"/>
  <c r="AX181" i="1"/>
  <c r="BS181" i="1"/>
  <c r="BH181" i="1"/>
  <c r="AW181" i="1"/>
  <c r="BQ181" i="1"/>
  <c r="BG181" i="1"/>
  <c r="AV181" i="1"/>
  <c r="BP181" i="1"/>
  <c r="BE181" i="1"/>
  <c r="BO181" i="1"/>
  <c r="BD181" i="1"/>
  <c r="BM181" i="1"/>
  <c r="BC181" i="1"/>
  <c r="BK181" i="1"/>
  <c r="AZ181" i="1"/>
  <c r="BI181" i="1"/>
  <c r="BA181" i="1"/>
  <c r="AY181" i="1"/>
  <c r="BL181" i="1"/>
  <c r="BO123" i="1"/>
  <c r="BG123" i="1"/>
  <c r="AY123" i="1"/>
  <c r="BN123" i="1"/>
  <c r="BF123" i="1"/>
  <c r="AX123" i="1"/>
  <c r="BM123" i="1"/>
  <c r="BE123" i="1"/>
  <c r="AW123" i="1"/>
  <c r="BS123" i="1"/>
  <c r="BK123" i="1"/>
  <c r="BC123" i="1"/>
  <c r="BR123" i="1"/>
  <c r="BJ123" i="1"/>
  <c r="BB123" i="1"/>
  <c r="BQ123" i="1"/>
  <c r="BI123" i="1"/>
  <c r="BA123" i="1"/>
  <c r="BD123" i="1"/>
  <c r="AZ123" i="1"/>
  <c r="AV123" i="1"/>
  <c r="BP123" i="1"/>
  <c r="BL123" i="1"/>
  <c r="BH123" i="1"/>
  <c r="BP61" i="1"/>
  <c r="BH61" i="1"/>
  <c r="AZ61" i="1"/>
  <c r="BO61" i="1"/>
  <c r="BG61" i="1"/>
  <c r="AY61" i="1"/>
  <c r="BN61" i="1"/>
  <c r="BF61" i="1"/>
  <c r="AX61" i="1"/>
  <c r="BM61" i="1"/>
  <c r="BE61" i="1"/>
  <c r="AW61" i="1"/>
  <c r="BL61" i="1"/>
  <c r="BD61" i="1"/>
  <c r="AV61" i="1"/>
  <c r="BS61" i="1"/>
  <c r="BK61" i="1"/>
  <c r="BC61" i="1"/>
  <c r="BR61" i="1"/>
  <c r="BJ61" i="1"/>
  <c r="BB61" i="1"/>
  <c r="BQ61" i="1"/>
  <c r="BI61" i="1"/>
  <c r="BA61" i="1"/>
  <c r="BO248" i="1"/>
  <c r="BG248" i="1"/>
  <c r="AY248" i="1"/>
  <c r="BN248" i="1"/>
  <c r="BF248" i="1"/>
  <c r="AX248" i="1"/>
  <c r="BM248" i="1"/>
  <c r="BE248" i="1"/>
  <c r="AW248" i="1"/>
  <c r="BL248" i="1"/>
  <c r="BD248" i="1"/>
  <c r="AV248" i="1"/>
  <c r="BS248" i="1"/>
  <c r="BK248" i="1"/>
  <c r="BC248" i="1"/>
  <c r="BR248" i="1"/>
  <c r="BJ248" i="1"/>
  <c r="BB248" i="1"/>
  <c r="BQ248" i="1"/>
  <c r="BI248" i="1"/>
  <c r="BA248" i="1"/>
  <c r="BP248" i="1"/>
  <c r="BH248" i="1"/>
  <c r="AZ248" i="1"/>
  <c r="BR275" i="1"/>
  <c r="BJ275" i="1"/>
  <c r="BB275" i="1"/>
  <c r="BN275" i="1"/>
  <c r="BF275" i="1"/>
  <c r="AX275" i="1"/>
  <c r="BP275" i="1"/>
  <c r="BE275" i="1"/>
  <c r="BO275" i="1"/>
  <c r="BD275" i="1"/>
  <c r="BM275" i="1"/>
  <c r="BC275" i="1"/>
  <c r="BL275" i="1"/>
  <c r="BA275" i="1"/>
  <c r="BK275" i="1"/>
  <c r="AZ275" i="1"/>
  <c r="BI275" i="1"/>
  <c r="AY275" i="1"/>
  <c r="BS275" i="1"/>
  <c r="BH275" i="1"/>
  <c r="AW275" i="1"/>
  <c r="BQ275" i="1"/>
  <c r="BG275" i="1"/>
  <c r="AV275" i="1"/>
  <c r="BQ225" i="1"/>
  <c r="BI225" i="1"/>
  <c r="BA225" i="1"/>
  <c r="BO225" i="1"/>
  <c r="BG225" i="1"/>
  <c r="AY225" i="1"/>
  <c r="BN225" i="1"/>
  <c r="BF225" i="1"/>
  <c r="AX225" i="1"/>
  <c r="BM225" i="1"/>
  <c r="BE225" i="1"/>
  <c r="AW225" i="1"/>
  <c r="BS225" i="1"/>
  <c r="BK225" i="1"/>
  <c r="BC225" i="1"/>
  <c r="BR225" i="1"/>
  <c r="AV225" i="1"/>
  <c r="BP225" i="1"/>
  <c r="BL225" i="1"/>
  <c r="BJ225" i="1"/>
  <c r="BH225" i="1"/>
  <c r="BD225" i="1"/>
  <c r="BB225" i="1"/>
  <c r="AZ225" i="1"/>
  <c r="BN153" i="1"/>
  <c r="BF153" i="1"/>
  <c r="AX153" i="1"/>
  <c r="BR153" i="1"/>
  <c r="BJ153" i="1"/>
  <c r="BB153" i="1"/>
  <c r="BQ153" i="1"/>
  <c r="BI153" i="1"/>
  <c r="BA153" i="1"/>
  <c r="BH153" i="1"/>
  <c r="AV153" i="1"/>
  <c r="BG153" i="1"/>
  <c r="BS153" i="1"/>
  <c r="BE153" i="1"/>
  <c r="BP153" i="1"/>
  <c r="BD153" i="1"/>
  <c r="BO153" i="1"/>
  <c r="BC153" i="1"/>
  <c r="BM153" i="1"/>
  <c r="AZ153" i="1"/>
  <c r="BL153" i="1"/>
  <c r="AY153" i="1"/>
  <c r="BK153" i="1"/>
  <c r="AW153" i="1"/>
  <c r="BR105" i="1"/>
  <c r="BJ105" i="1"/>
  <c r="BB105" i="1"/>
  <c r="BQ105" i="1"/>
  <c r="BI105" i="1"/>
  <c r="BA105" i="1"/>
  <c r="BP105" i="1"/>
  <c r="BH105" i="1"/>
  <c r="AZ105" i="1"/>
  <c r="BO105" i="1"/>
  <c r="BG105" i="1"/>
  <c r="AY105" i="1"/>
  <c r="BN105" i="1"/>
  <c r="BF105" i="1"/>
  <c r="AX105" i="1"/>
  <c r="BM105" i="1"/>
  <c r="BE105" i="1"/>
  <c r="AW105" i="1"/>
  <c r="BL105" i="1"/>
  <c r="BD105" i="1"/>
  <c r="AV105" i="1"/>
  <c r="BS105" i="1"/>
  <c r="BK105" i="1"/>
  <c r="BC105" i="1"/>
  <c r="BR37" i="1"/>
  <c r="BJ37" i="1"/>
  <c r="BB37" i="1"/>
  <c r="BP37" i="1"/>
  <c r="BG37" i="1"/>
  <c r="AX37" i="1"/>
  <c r="BO37" i="1"/>
  <c r="BF37" i="1"/>
  <c r="AW37" i="1"/>
  <c r="BN37" i="1"/>
  <c r="BE37" i="1"/>
  <c r="AV37" i="1"/>
  <c r="BM37" i="1"/>
  <c r="BD37" i="1"/>
  <c r="BL37" i="1"/>
  <c r="BC37" i="1"/>
  <c r="BK37" i="1"/>
  <c r="BA37" i="1"/>
  <c r="BS37" i="1"/>
  <c r="BI37" i="1"/>
  <c r="AZ37" i="1"/>
  <c r="BQ37" i="1"/>
  <c r="BH37" i="1"/>
  <c r="AY37" i="1"/>
  <c r="BR85" i="1"/>
  <c r="BJ85" i="1"/>
  <c r="BB85" i="1"/>
  <c r="BQ85" i="1"/>
  <c r="BI85" i="1"/>
  <c r="BA85" i="1"/>
  <c r="BO85" i="1"/>
  <c r="BG85" i="1"/>
  <c r="AY85" i="1"/>
  <c r="BM85" i="1"/>
  <c r="BE85" i="1"/>
  <c r="AW85" i="1"/>
  <c r="BL85" i="1"/>
  <c r="BD85" i="1"/>
  <c r="AV85" i="1"/>
  <c r="BS85" i="1"/>
  <c r="BK85" i="1"/>
  <c r="BC85" i="1"/>
  <c r="AX85" i="1"/>
  <c r="BP85" i="1"/>
  <c r="BN85" i="1"/>
  <c r="BH85" i="1"/>
  <c r="BF85" i="1"/>
  <c r="AZ85" i="1"/>
  <c r="BO250" i="1"/>
  <c r="BG250" i="1"/>
  <c r="AY250" i="1"/>
  <c r="BN250" i="1"/>
  <c r="BF250" i="1"/>
  <c r="AX250" i="1"/>
  <c r="BM250" i="1"/>
  <c r="BE250" i="1"/>
  <c r="AW250" i="1"/>
  <c r="BL250" i="1"/>
  <c r="BD250" i="1"/>
  <c r="AV250" i="1"/>
  <c r="BS250" i="1"/>
  <c r="BK250" i="1"/>
  <c r="BC250" i="1"/>
  <c r="BR250" i="1"/>
  <c r="BJ250" i="1"/>
  <c r="BB250" i="1"/>
  <c r="BQ250" i="1"/>
  <c r="BI250" i="1"/>
  <c r="BA250" i="1"/>
  <c r="BP250" i="1"/>
  <c r="BH250" i="1"/>
  <c r="AZ250" i="1"/>
  <c r="BR195" i="1"/>
  <c r="BJ195" i="1"/>
  <c r="BB195" i="1"/>
  <c r="BQ195" i="1"/>
  <c r="BI195" i="1"/>
  <c r="BA195" i="1"/>
  <c r="BO195" i="1"/>
  <c r="BG195" i="1"/>
  <c r="AY195" i="1"/>
  <c r="BN195" i="1"/>
  <c r="BF195" i="1"/>
  <c r="AX195" i="1"/>
  <c r="BM195" i="1"/>
  <c r="BS195" i="1"/>
  <c r="AZ195" i="1"/>
  <c r="BP195" i="1"/>
  <c r="AW195" i="1"/>
  <c r="BL195" i="1"/>
  <c r="AV195" i="1"/>
  <c r="BK195" i="1"/>
  <c r="BH195" i="1"/>
  <c r="BE195" i="1"/>
  <c r="BD195" i="1"/>
  <c r="BC195" i="1"/>
  <c r="BR156" i="1"/>
  <c r="BJ156" i="1"/>
  <c r="BB156" i="1"/>
  <c r="BO156" i="1"/>
  <c r="BG156" i="1"/>
  <c r="AY156" i="1"/>
  <c r="BN156" i="1"/>
  <c r="BF156" i="1"/>
  <c r="AX156" i="1"/>
  <c r="BM156" i="1"/>
  <c r="BE156" i="1"/>
  <c r="AW156" i="1"/>
  <c r="BI156" i="1"/>
  <c r="BH156" i="1"/>
  <c r="BD156" i="1"/>
  <c r="BS156" i="1"/>
  <c r="BC156" i="1"/>
  <c r="BQ156" i="1"/>
  <c r="BA156" i="1"/>
  <c r="BP156" i="1"/>
  <c r="AZ156" i="1"/>
  <c r="BL156" i="1"/>
  <c r="AV156" i="1"/>
  <c r="BK156" i="1"/>
  <c r="BP57" i="1"/>
  <c r="BH57" i="1"/>
  <c r="AZ57" i="1"/>
  <c r="BO57" i="1"/>
  <c r="BG57" i="1"/>
  <c r="AY57" i="1"/>
  <c r="BN57" i="1"/>
  <c r="BF57" i="1"/>
  <c r="AX57" i="1"/>
  <c r="BM57" i="1"/>
  <c r="BE57" i="1"/>
  <c r="AW57" i="1"/>
  <c r="BL57" i="1"/>
  <c r="BD57" i="1"/>
  <c r="AV57" i="1"/>
  <c r="BS57" i="1"/>
  <c r="BK57" i="1"/>
  <c r="BC57" i="1"/>
  <c r="BR57" i="1"/>
  <c r="BJ57" i="1"/>
  <c r="BB57" i="1"/>
  <c r="BQ57" i="1"/>
  <c r="BI57" i="1"/>
  <c r="BA57" i="1"/>
  <c r="BM226" i="1"/>
  <c r="BE226" i="1"/>
  <c r="AW226" i="1"/>
  <c r="BS226" i="1"/>
  <c r="BK226" i="1"/>
  <c r="BC226" i="1"/>
  <c r="BR226" i="1"/>
  <c r="BJ226" i="1"/>
  <c r="BB226" i="1"/>
  <c r="BQ226" i="1"/>
  <c r="BI226" i="1"/>
  <c r="BA226" i="1"/>
  <c r="BO226" i="1"/>
  <c r="BG226" i="1"/>
  <c r="AY226" i="1"/>
  <c r="BH226" i="1"/>
  <c r="BF226" i="1"/>
  <c r="BD226" i="1"/>
  <c r="AZ226" i="1"/>
  <c r="AX226" i="1"/>
  <c r="BP226" i="1"/>
  <c r="AV226" i="1"/>
  <c r="BN226" i="1"/>
  <c r="BL226" i="1"/>
  <c r="BS252" i="1"/>
  <c r="BK252" i="1"/>
  <c r="BC252" i="1"/>
  <c r="BJ252" i="1"/>
  <c r="BA252" i="1"/>
  <c r="BR252" i="1"/>
  <c r="BI252" i="1"/>
  <c r="AZ252" i="1"/>
  <c r="BQ252" i="1"/>
  <c r="BH252" i="1"/>
  <c r="AY252" i="1"/>
  <c r="BP252" i="1"/>
  <c r="BG252" i="1"/>
  <c r="AX252" i="1"/>
  <c r="BO252" i="1"/>
  <c r="BF252" i="1"/>
  <c r="AW252" i="1"/>
  <c r="BN252" i="1"/>
  <c r="BE252" i="1"/>
  <c r="AV252" i="1"/>
  <c r="BM252" i="1"/>
  <c r="BD252" i="1"/>
  <c r="BL252" i="1"/>
  <c r="BB252" i="1"/>
  <c r="BL203" i="1"/>
  <c r="BD203" i="1"/>
  <c r="AV203" i="1"/>
  <c r="BS203" i="1"/>
  <c r="BK203" i="1"/>
  <c r="BC203" i="1"/>
  <c r="BR203" i="1"/>
  <c r="BJ203" i="1"/>
  <c r="BB203" i="1"/>
  <c r="BQ203" i="1"/>
  <c r="BI203" i="1"/>
  <c r="BA203" i="1"/>
  <c r="BP203" i="1"/>
  <c r="BH203" i="1"/>
  <c r="AZ203" i="1"/>
  <c r="BO203" i="1"/>
  <c r="BG203" i="1"/>
  <c r="AY203" i="1"/>
  <c r="BN203" i="1"/>
  <c r="BF203" i="1"/>
  <c r="AX203" i="1"/>
  <c r="BM203" i="1"/>
  <c r="BE203" i="1"/>
  <c r="AW203" i="1"/>
  <c r="BL128" i="1"/>
  <c r="BD128" i="1"/>
  <c r="BS128" i="1"/>
  <c r="BK128" i="1"/>
  <c r="BC128" i="1"/>
  <c r="BR128" i="1"/>
  <c r="BJ128" i="1"/>
  <c r="BB128" i="1"/>
  <c r="BQ128" i="1"/>
  <c r="BI128" i="1"/>
  <c r="BA128" i="1"/>
  <c r="BP128" i="1"/>
  <c r="BH128" i="1"/>
  <c r="AZ128" i="1"/>
  <c r="BO128" i="1"/>
  <c r="BG128" i="1"/>
  <c r="AY128" i="1"/>
  <c r="BN128" i="1"/>
  <c r="BF128" i="1"/>
  <c r="AX128" i="1"/>
  <c r="BM128" i="1"/>
  <c r="BE128" i="1"/>
  <c r="AW128" i="1"/>
  <c r="AV128" i="1"/>
  <c r="BR83" i="1"/>
  <c r="BJ83" i="1"/>
  <c r="BB83" i="1"/>
  <c r="BQ83" i="1"/>
  <c r="BI83" i="1"/>
  <c r="BA83" i="1"/>
  <c r="BO83" i="1"/>
  <c r="BG83" i="1"/>
  <c r="AY83" i="1"/>
  <c r="BM83" i="1"/>
  <c r="BE83" i="1"/>
  <c r="AW83" i="1"/>
  <c r="BL83" i="1"/>
  <c r="BD83" i="1"/>
  <c r="AV83" i="1"/>
  <c r="BP83" i="1"/>
  <c r="BN83" i="1"/>
  <c r="BK83" i="1"/>
  <c r="BH83" i="1"/>
  <c r="BF83" i="1"/>
  <c r="BC83" i="1"/>
  <c r="AZ83" i="1"/>
  <c r="BS83" i="1"/>
  <c r="AX83" i="1"/>
  <c r="BQ30" i="1"/>
  <c r="BI30" i="1"/>
  <c r="BA30" i="1"/>
  <c r="BP30" i="1"/>
  <c r="BH30" i="1"/>
  <c r="AZ30" i="1"/>
  <c r="BO30" i="1"/>
  <c r="BG30" i="1"/>
  <c r="AY30" i="1"/>
  <c r="BN30" i="1"/>
  <c r="BF30" i="1"/>
  <c r="AX30" i="1"/>
  <c r="BM30" i="1"/>
  <c r="BE30" i="1"/>
  <c r="AW30" i="1"/>
  <c r="BL30" i="1"/>
  <c r="BD30" i="1"/>
  <c r="AV30" i="1"/>
  <c r="BS30" i="1"/>
  <c r="BK30" i="1"/>
  <c r="BC30" i="1"/>
  <c r="BR30" i="1"/>
  <c r="BJ30" i="1"/>
  <c r="BB30" i="1"/>
  <c r="BM266" i="1"/>
  <c r="BE266" i="1"/>
  <c r="AW266" i="1"/>
  <c r="BL266" i="1"/>
  <c r="BD266" i="1"/>
  <c r="AV266" i="1"/>
  <c r="BS266" i="1"/>
  <c r="BK266" i="1"/>
  <c r="BC266" i="1"/>
  <c r="BR266" i="1"/>
  <c r="BJ266" i="1"/>
  <c r="BB266" i="1"/>
  <c r="BQ266" i="1"/>
  <c r="BI266" i="1"/>
  <c r="BA266" i="1"/>
  <c r="BP266" i="1"/>
  <c r="BH266" i="1"/>
  <c r="AZ266" i="1"/>
  <c r="BO266" i="1"/>
  <c r="BG266" i="1"/>
  <c r="AY266" i="1"/>
  <c r="AX266" i="1"/>
  <c r="BN266" i="1"/>
  <c r="BF266" i="1"/>
  <c r="BO217" i="1"/>
  <c r="BG217" i="1"/>
  <c r="AY217" i="1"/>
  <c r="BS217" i="1"/>
  <c r="BK217" i="1"/>
  <c r="BC217" i="1"/>
  <c r="BN217" i="1"/>
  <c r="BD217" i="1"/>
  <c r="BM217" i="1"/>
  <c r="BB217" i="1"/>
  <c r="BL217" i="1"/>
  <c r="BA217" i="1"/>
  <c r="BJ217" i="1"/>
  <c r="AZ217" i="1"/>
  <c r="BI217" i="1"/>
  <c r="AX217" i="1"/>
  <c r="BR217" i="1"/>
  <c r="BH217" i="1"/>
  <c r="AW217" i="1"/>
  <c r="BQ217" i="1"/>
  <c r="BF217" i="1"/>
  <c r="AV217" i="1"/>
  <c r="BP217" i="1"/>
  <c r="BE217" i="1"/>
  <c r="BL142" i="1"/>
  <c r="BD142" i="1"/>
  <c r="AV142" i="1"/>
  <c r="BS142" i="1"/>
  <c r="BK142" i="1"/>
  <c r="BC142" i="1"/>
  <c r="BR142" i="1"/>
  <c r="BJ142" i="1"/>
  <c r="BB142" i="1"/>
  <c r="BQ142" i="1"/>
  <c r="BI142" i="1"/>
  <c r="BA142" i="1"/>
  <c r="BP142" i="1"/>
  <c r="BH142" i="1"/>
  <c r="AZ142" i="1"/>
  <c r="BO142" i="1"/>
  <c r="BG142" i="1"/>
  <c r="AY142" i="1"/>
  <c r="BN142" i="1"/>
  <c r="BF142" i="1"/>
  <c r="AX142" i="1"/>
  <c r="BM142" i="1"/>
  <c r="BE142" i="1"/>
  <c r="AW142" i="1"/>
  <c r="BR97" i="1"/>
  <c r="BJ97" i="1"/>
  <c r="BB97" i="1"/>
  <c r="BQ97" i="1"/>
  <c r="BI97" i="1"/>
  <c r="BA97" i="1"/>
  <c r="BP97" i="1"/>
  <c r="BH97" i="1"/>
  <c r="AZ97" i="1"/>
  <c r="BO97" i="1"/>
  <c r="BG97" i="1"/>
  <c r="AY97" i="1"/>
  <c r="BN97" i="1"/>
  <c r="BF97" i="1"/>
  <c r="AX97" i="1"/>
  <c r="BM97" i="1"/>
  <c r="BE97" i="1"/>
  <c r="AW97" i="1"/>
  <c r="BL97" i="1"/>
  <c r="BD97" i="1"/>
  <c r="AV97" i="1"/>
  <c r="BS97" i="1"/>
  <c r="BK97" i="1"/>
  <c r="BC97" i="1"/>
  <c r="BN34" i="1"/>
  <c r="BF34" i="1"/>
  <c r="AX34" i="1"/>
  <c r="BR34" i="1"/>
  <c r="BI34" i="1"/>
  <c r="AZ34" i="1"/>
  <c r="BQ34" i="1"/>
  <c r="BH34" i="1"/>
  <c r="AY34" i="1"/>
  <c r="BP34" i="1"/>
  <c r="BG34" i="1"/>
  <c r="AW34" i="1"/>
  <c r="BO34" i="1"/>
  <c r="BE34" i="1"/>
  <c r="AV34" i="1"/>
  <c r="BM34" i="1"/>
  <c r="BD34" i="1"/>
  <c r="BL34" i="1"/>
  <c r="BC34" i="1"/>
  <c r="BK34" i="1"/>
  <c r="BB34" i="1"/>
  <c r="BS34" i="1"/>
  <c r="BJ34" i="1"/>
  <c r="BA34" i="1"/>
  <c r="BN276" i="1"/>
  <c r="BF276" i="1"/>
  <c r="AX276" i="1"/>
  <c r="BR276" i="1"/>
  <c r="BJ276" i="1"/>
  <c r="BB276" i="1"/>
  <c r="BI276" i="1"/>
  <c r="AY276" i="1"/>
  <c r="BS276" i="1"/>
  <c r="BH276" i="1"/>
  <c r="AW276" i="1"/>
  <c r="BQ276" i="1"/>
  <c r="BG276" i="1"/>
  <c r="AV276" i="1"/>
  <c r="BP276" i="1"/>
  <c r="BE276" i="1"/>
  <c r="BO276" i="1"/>
  <c r="BD276" i="1"/>
  <c r="BM276" i="1"/>
  <c r="BC276" i="1"/>
  <c r="BL276" i="1"/>
  <c r="BA276" i="1"/>
  <c r="AZ276" i="1"/>
  <c r="BK276" i="1"/>
  <c r="BS199" i="1"/>
  <c r="BK199" i="1"/>
  <c r="BC199" i="1"/>
  <c r="BR199" i="1"/>
  <c r="BJ199" i="1"/>
  <c r="BB199" i="1"/>
  <c r="BQ199" i="1"/>
  <c r="BI199" i="1"/>
  <c r="BA199" i="1"/>
  <c r="BO199" i="1"/>
  <c r="BG199" i="1"/>
  <c r="AY199" i="1"/>
  <c r="BN199" i="1"/>
  <c r="BF199" i="1"/>
  <c r="AX199" i="1"/>
  <c r="BM199" i="1"/>
  <c r="BE199" i="1"/>
  <c r="AW199" i="1"/>
  <c r="BP199" i="1"/>
  <c r="BL199" i="1"/>
  <c r="BH199" i="1"/>
  <c r="BD199" i="1"/>
  <c r="AZ199" i="1"/>
  <c r="AV199" i="1"/>
  <c r="BS124" i="1"/>
  <c r="BK124" i="1"/>
  <c r="BC124" i="1"/>
  <c r="BR124" i="1"/>
  <c r="BJ124" i="1"/>
  <c r="BB124" i="1"/>
  <c r="BQ124" i="1"/>
  <c r="BI124" i="1"/>
  <c r="BA124" i="1"/>
  <c r="BO124" i="1"/>
  <c r="BG124" i="1"/>
  <c r="AY124" i="1"/>
  <c r="BN124" i="1"/>
  <c r="BF124" i="1"/>
  <c r="AX124" i="1"/>
  <c r="BM124" i="1"/>
  <c r="BE124" i="1"/>
  <c r="AW124" i="1"/>
  <c r="BD124" i="1"/>
  <c r="AZ124" i="1"/>
  <c r="AV124" i="1"/>
  <c r="BP124" i="1"/>
  <c r="BL124" i="1"/>
  <c r="BH124" i="1"/>
  <c r="BN72" i="1"/>
  <c r="BF72" i="1"/>
  <c r="AX72" i="1"/>
  <c r="BM72" i="1"/>
  <c r="BD72" i="1"/>
  <c r="BL72" i="1"/>
  <c r="BC72" i="1"/>
  <c r="BK72" i="1"/>
  <c r="BB72" i="1"/>
  <c r="BS72" i="1"/>
  <c r="BJ72" i="1"/>
  <c r="BA72" i="1"/>
  <c r="BR72" i="1"/>
  <c r="BI72" i="1"/>
  <c r="AZ72" i="1"/>
  <c r="BQ72" i="1"/>
  <c r="BH72" i="1"/>
  <c r="AY72" i="1"/>
  <c r="BP72" i="1"/>
  <c r="BG72" i="1"/>
  <c r="AW72" i="1"/>
  <c r="BO72" i="1"/>
  <c r="BE72" i="1"/>
  <c r="AV72" i="1"/>
  <c r="BQ26" i="1"/>
  <c r="BI26" i="1"/>
  <c r="BA26" i="1"/>
  <c r="BP26" i="1"/>
  <c r="BH26" i="1"/>
  <c r="AZ26" i="1"/>
  <c r="BO26" i="1"/>
  <c r="BG26" i="1"/>
  <c r="AY26" i="1"/>
  <c r="BN26" i="1"/>
  <c r="BF26" i="1"/>
  <c r="AX26" i="1"/>
  <c r="BM26" i="1"/>
  <c r="BE26" i="1"/>
  <c r="AW26" i="1"/>
  <c r="BL26" i="1"/>
  <c r="BD26" i="1"/>
  <c r="AV26" i="1"/>
  <c r="BS26" i="1"/>
  <c r="BK26" i="1"/>
  <c r="BC26" i="1"/>
  <c r="BR26" i="1"/>
  <c r="BJ26" i="1"/>
  <c r="BB26" i="1"/>
  <c r="BO301" i="1"/>
  <c r="BG301" i="1"/>
  <c r="AY301" i="1"/>
  <c r="BN301" i="1"/>
  <c r="BF301" i="1"/>
  <c r="AX301" i="1"/>
  <c r="BM301" i="1"/>
  <c r="BE301" i="1"/>
  <c r="AW301" i="1"/>
  <c r="BR301" i="1"/>
  <c r="BJ301" i="1"/>
  <c r="BB301" i="1"/>
  <c r="BQ301" i="1"/>
  <c r="BI301" i="1"/>
  <c r="BA301" i="1"/>
  <c r="AZ301" i="1"/>
  <c r="BS301" i="1"/>
  <c r="AV301" i="1"/>
  <c r="BP301" i="1"/>
  <c r="BL301" i="1"/>
  <c r="BK301" i="1"/>
  <c r="BH301" i="1"/>
  <c r="BD301" i="1"/>
  <c r="BC301" i="1"/>
  <c r="BS218" i="1"/>
  <c r="BK218" i="1"/>
  <c r="BC218" i="1"/>
  <c r="BR218" i="1"/>
  <c r="BJ218" i="1"/>
  <c r="BB218" i="1"/>
  <c r="BO218" i="1"/>
  <c r="BG218" i="1"/>
  <c r="AY218" i="1"/>
  <c r="BL218" i="1"/>
  <c r="AX218" i="1"/>
  <c r="BI218" i="1"/>
  <c r="AW218" i="1"/>
  <c r="BH218" i="1"/>
  <c r="AV218" i="1"/>
  <c r="BF218" i="1"/>
  <c r="BQ218" i="1"/>
  <c r="BE218" i="1"/>
  <c r="BP218" i="1"/>
  <c r="BD218" i="1"/>
  <c r="BN218" i="1"/>
  <c r="BA218" i="1"/>
  <c r="BM218" i="1"/>
  <c r="AZ218" i="1"/>
  <c r="BR174" i="1"/>
  <c r="BJ174" i="1"/>
  <c r="BB174" i="1"/>
  <c r="BN174" i="1"/>
  <c r="BF174" i="1"/>
  <c r="AX174" i="1"/>
  <c r="BL174" i="1"/>
  <c r="BA174" i="1"/>
  <c r="BK174" i="1"/>
  <c r="AZ174" i="1"/>
  <c r="BI174" i="1"/>
  <c r="AY174" i="1"/>
  <c r="BS174" i="1"/>
  <c r="BH174" i="1"/>
  <c r="AW174" i="1"/>
  <c r="BQ174" i="1"/>
  <c r="BG174" i="1"/>
  <c r="AV174" i="1"/>
  <c r="BP174" i="1"/>
  <c r="BE174" i="1"/>
  <c r="BO174" i="1"/>
  <c r="BD174" i="1"/>
  <c r="BM174" i="1"/>
  <c r="BC174" i="1"/>
  <c r="BN84" i="1"/>
  <c r="BF84" i="1"/>
  <c r="AX84" i="1"/>
  <c r="BM84" i="1"/>
  <c r="BE84" i="1"/>
  <c r="AW84" i="1"/>
  <c r="BS84" i="1"/>
  <c r="BK84" i="1"/>
  <c r="BC84" i="1"/>
  <c r="BQ84" i="1"/>
  <c r="BI84" i="1"/>
  <c r="BA84" i="1"/>
  <c r="BP84" i="1"/>
  <c r="BH84" i="1"/>
  <c r="AZ84" i="1"/>
  <c r="BD84" i="1"/>
  <c r="BB84" i="1"/>
  <c r="AY84" i="1"/>
  <c r="BR84" i="1"/>
  <c r="AV84" i="1"/>
  <c r="BO84" i="1"/>
  <c r="BL84" i="1"/>
  <c r="BJ84" i="1"/>
  <c r="BG84" i="1"/>
  <c r="BM23" i="1"/>
  <c r="BE23" i="1"/>
  <c r="AW23" i="1"/>
  <c r="BL23" i="1"/>
  <c r="BD23" i="1"/>
  <c r="AV23" i="1"/>
  <c r="BS23" i="1"/>
  <c r="BK23" i="1"/>
  <c r="BC23" i="1"/>
  <c r="BR23" i="1"/>
  <c r="BJ23" i="1"/>
  <c r="BB23" i="1"/>
  <c r="BQ23" i="1"/>
  <c r="BI23" i="1"/>
  <c r="BA23" i="1"/>
  <c r="BP23" i="1"/>
  <c r="BH23" i="1"/>
  <c r="AZ23" i="1"/>
  <c r="BO23" i="1"/>
  <c r="BG23" i="1"/>
  <c r="AY23" i="1"/>
  <c r="BN23" i="1"/>
  <c r="BF23" i="1"/>
  <c r="AX23" i="1"/>
  <c r="BN78" i="1"/>
  <c r="BF78" i="1"/>
  <c r="AX78" i="1"/>
  <c r="BS78" i="1"/>
  <c r="BJ78" i="1"/>
  <c r="BA78" i="1"/>
  <c r="BR78" i="1"/>
  <c r="BI78" i="1"/>
  <c r="AZ78" i="1"/>
  <c r="BQ78" i="1"/>
  <c r="BH78" i="1"/>
  <c r="AY78" i="1"/>
  <c r="BP78" i="1"/>
  <c r="BG78" i="1"/>
  <c r="AW78" i="1"/>
  <c r="BO78" i="1"/>
  <c r="BE78" i="1"/>
  <c r="AV78" i="1"/>
  <c r="BM78" i="1"/>
  <c r="BD78" i="1"/>
  <c r="BL78" i="1"/>
  <c r="BC78" i="1"/>
  <c r="BK78" i="1"/>
  <c r="BB78" i="1"/>
  <c r="BQ257" i="1"/>
  <c r="BI257" i="1"/>
  <c r="BA257" i="1"/>
  <c r="BO257" i="1"/>
  <c r="BG257" i="1"/>
  <c r="AY257" i="1"/>
  <c r="BN257" i="1"/>
  <c r="BF257" i="1"/>
  <c r="AX257" i="1"/>
  <c r="BM257" i="1"/>
  <c r="BE257" i="1"/>
  <c r="AW257" i="1"/>
  <c r="BH257" i="1"/>
  <c r="BD257" i="1"/>
  <c r="BS257" i="1"/>
  <c r="BC257" i="1"/>
  <c r="BR257" i="1"/>
  <c r="BB257" i="1"/>
  <c r="BP257" i="1"/>
  <c r="AZ257" i="1"/>
  <c r="BL257" i="1"/>
  <c r="AV257" i="1"/>
  <c r="BK257" i="1"/>
  <c r="BJ257" i="1"/>
  <c r="BR185" i="1"/>
  <c r="BJ185" i="1"/>
  <c r="BB185" i="1"/>
  <c r="BN185" i="1"/>
  <c r="BF185" i="1"/>
  <c r="AX185" i="1"/>
  <c r="BM185" i="1"/>
  <c r="BC185" i="1"/>
  <c r="BL185" i="1"/>
  <c r="BA185" i="1"/>
  <c r="BK185" i="1"/>
  <c r="AZ185" i="1"/>
  <c r="BI185" i="1"/>
  <c r="AY185" i="1"/>
  <c r="BS185" i="1"/>
  <c r="BH185" i="1"/>
  <c r="AW185" i="1"/>
  <c r="BQ185" i="1"/>
  <c r="BG185" i="1"/>
  <c r="AV185" i="1"/>
  <c r="BP185" i="1"/>
  <c r="BE185" i="1"/>
  <c r="BO185" i="1"/>
  <c r="BD185" i="1"/>
  <c r="BN111" i="1"/>
  <c r="BF111" i="1"/>
  <c r="AX111" i="1"/>
  <c r="BR111" i="1"/>
  <c r="BJ111" i="1"/>
  <c r="BB111" i="1"/>
  <c r="BQ111" i="1"/>
  <c r="BG111" i="1"/>
  <c r="AV111" i="1"/>
  <c r="BP111" i="1"/>
  <c r="BE111" i="1"/>
  <c r="BO111" i="1"/>
  <c r="BD111" i="1"/>
  <c r="BM111" i="1"/>
  <c r="BC111" i="1"/>
  <c r="BL111" i="1"/>
  <c r="BA111" i="1"/>
  <c r="BK111" i="1"/>
  <c r="AZ111" i="1"/>
  <c r="BI111" i="1"/>
  <c r="AY111" i="1"/>
  <c r="BS111" i="1"/>
  <c r="BH111" i="1"/>
  <c r="AW111" i="1"/>
  <c r="BM45" i="1"/>
  <c r="BE45" i="1"/>
  <c r="AW45" i="1"/>
  <c r="BS45" i="1"/>
  <c r="BK45" i="1"/>
  <c r="BC45" i="1"/>
  <c r="BR45" i="1"/>
  <c r="BJ45" i="1"/>
  <c r="BB45" i="1"/>
  <c r="BQ45" i="1"/>
  <c r="BI45" i="1"/>
  <c r="BA45" i="1"/>
  <c r="BD45" i="1"/>
  <c r="BP45" i="1"/>
  <c r="AZ45" i="1"/>
  <c r="BO45" i="1"/>
  <c r="AY45" i="1"/>
  <c r="BN45" i="1"/>
  <c r="AX45" i="1"/>
  <c r="BL45" i="1"/>
  <c r="AV45" i="1"/>
  <c r="BH45" i="1"/>
  <c r="BG45" i="1"/>
  <c r="BF45" i="1"/>
  <c r="BL205" i="1"/>
  <c r="BD205" i="1"/>
  <c r="AV205" i="1"/>
  <c r="BS205" i="1"/>
  <c r="BK205" i="1"/>
  <c r="BC205" i="1"/>
  <c r="BR205" i="1"/>
  <c r="BJ205" i="1"/>
  <c r="BB205" i="1"/>
  <c r="BQ205" i="1"/>
  <c r="BI205" i="1"/>
  <c r="BA205" i="1"/>
  <c r="BP205" i="1"/>
  <c r="BH205" i="1"/>
  <c r="AZ205" i="1"/>
  <c r="BO205" i="1"/>
  <c r="BG205" i="1"/>
  <c r="AY205" i="1"/>
  <c r="BN205" i="1"/>
  <c r="BF205" i="1"/>
  <c r="AX205" i="1"/>
  <c r="BM205" i="1"/>
  <c r="BE205" i="1"/>
  <c r="AW205" i="1"/>
  <c r="BM258" i="1"/>
  <c r="BE258" i="1"/>
  <c r="AW258" i="1"/>
  <c r="BS258" i="1"/>
  <c r="BK258" i="1"/>
  <c r="BC258" i="1"/>
  <c r="BR258" i="1"/>
  <c r="BJ258" i="1"/>
  <c r="BB258" i="1"/>
  <c r="BQ258" i="1"/>
  <c r="BI258" i="1"/>
  <c r="BA258" i="1"/>
  <c r="BH258" i="1"/>
  <c r="BG258" i="1"/>
  <c r="BF258" i="1"/>
  <c r="BD258" i="1"/>
  <c r="BP258" i="1"/>
  <c r="AZ258" i="1"/>
  <c r="BO258" i="1"/>
  <c r="AY258" i="1"/>
  <c r="BN258" i="1"/>
  <c r="AX258" i="1"/>
  <c r="BL258" i="1"/>
  <c r="AV258" i="1"/>
  <c r="BL209" i="1"/>
  <c r="BD209" i="1"/>
  <c r="AV209" i="1"/>
  <c r="BS209" i="1"/>
  <c r="BK209" i="1"/>
  <c r="BC209" i="1"/>
  <c r="BR209" i="1"/>
  <c r="BJ209" i="1"/>
  <c r="BB209" i="1"/>
  <c r="BQ209" i="1"/>
  <c r="BI209" i="1"/>
  <c r="BA209" i="1"/>
  <c r="BP209" i="1"/>
  <c r="BH209" i="1"/>
  <c r="AZ209" i="1"/>
  <c r="BO209" i="1"/>
  <c r="BG209" i="1"/>
  <c r="AY209" i="1"/>
  <c r="BN209" i="1"/>
  <c r="BF209" i="1"/>
  <c r="AX209" i="1"/>
  <c r="BM209" i="1"/>
  <c r="BE209" i="1"/>
  <c r="AW209" i="1"/>
  <c r="BL134" i="1"/>
  <c r="BD134" i="1"/>
  <c r="AV134" i="1"/>
  <c r="BS134" i="1"/>
  <c r="BK134" i="1"/>
  <c r="BC134" i="1"/>
  <c r="BR134" i="1"/>
  <c r="BJ134" i="1"/>
  <c r="BB134" i="1"/>
  <c r="BQ134" i="1"/>
  <c r="BI134" i="1"/>
  <c r="BA134" i="1"/>
  <c r="BP134" i="1"/>
  <c r="BH134" i="1"/>
  <c r="AZ134" i="1"/>
  <c r="BO134" i="1"/>
  <c r="BG134" i="1"/>
  <c r="AY134" i="1"/>
  <c r="BN134" i="1"/>
  <c r="BF134" i="1"/>
  <c r="AX134" i="1"/>
  <c r="BM134" i="1"/>
  <c r="BE134" i="1"/>
  <c r="AW134" i="1"/>
  <c r="BR89" i="1"/>
  <c r="BJ89" i="1"/>
  <c r="BB89" i="1"/>
  <c r="BQ89" i="1"/>
  <c r="BI89" i="1"/>
  <c r="BA89" i="1"/>
  <c r="BP89" i="1"/>
  <c r="BH89" i="1"/>
  <c r="AZ89" i="1"/>
  <c r="BO89" i="1"/>
  <c r="BG89" i="1"/>
  <c r="AY89" i="1"/>
  <c r="BN89" i="1"/>
  <c r="BF89" i="1"/>
  <c r="AX89" i="1"/>
  <c r="BM89" i="1"/>
  <c r="BE89" i="1"/>
  <c r="AW89" i="1"/>
  <c r="BL89" i="1"/>
  <c r="BD89" i="1"/>
  <c r="AV89" i="1"/>
  <c r="BS89" i="1"/>
  <c r="BK89" i="1"/>
  <c r="BC89" i="1"/>
  <c r="BO12" i="1"/>
  <c r="BG12" i="1"/>
  <c r="AY12" i="1"/>
  <c r="AV12" i="1"/>
  <c r="BK12" i="1"/>
  <c r="BN12" i="1"/>
  <c r="BF12" i="1"/>
  <c r="AX12" i="1"/>
  <c r="BM12" i="1"/>
  <c r="BE12" i="1"/>
  <c r="BL12" i="1"/>
  <c r="AW12" i="1"/>
  <c r="BD12" i="1"/>
  <c r="BS12" i="1"/>
  <c r="BC12" i="1"/>
  <c r="BR12" i="1"/>
  <c r="BJ12" i="1"/>
  <c r="BB12" i="1"/>
  <c r="BQ12" i="1"/>
  <c r="BI12" i="1"/>
  <c r="BA12" i="1"/>
  <c r="BP12" i="1"/>
  <c r="BH12" i="1"/>
  <c r="AZ12" i="1"/>
  <c r="BR50" i="1"/>
  <c r="BJ50" i="1"/>
  <c r="BB50" i="1"/>
  <c r="BQ50" i="1"/>
  <c r="BI50" i="1"/>
  <c r="BA50" i="1"/>
  <c r="BO50" i="1"/>
  <c r="BG50" i="1"/>
  <c r="AY50" i="1"/>
  <c r="BN50" i="1"/>
  <c r="BF50" i="1"/>
  <c r="AX50" i="1"/>
  <c r="BM50" i="1"/>
  <c r="BE50" i="1"/>
  <c r="AW50" i="1"/>
  <c r="BD50" i="1"/>
  <c r="BC50" i="1"/>
  <c r="AZ50" i="1"/>
  <c r="BS50" i="1"/>
  <c r="AV50" i="1"/>
  <c r="BP50" i="1"/>
  <c r="BL50" i="1"/>
  <c r="BK50" i="1"/>
  <c r="BH50" i="1"/>
  <c r="BR239" i="1"/>
  <c r="BJ239" i="1"/>
  <c r="BB239" i="1"/>
  <c r="BQ239" i="1"/>
  <c r="BI239" i="1"/>
  <c r="BA239" i="1"/>
  <c r="BN239" i="1"/>
  <c r="BF239" i="1"/>
  <c r="AX239" i="1"/>
  <c r="BM239" i="1"/>
  <c r="BE239" i="1"/>
  <c r="AW239" i="1"/>
  <c r="BK239" i="1"/>
  <c r="BH239" i="1"/>
  <c r="BG239" i="1"/>
  <c r="BD239" i="1"/>
  <c r="BS239" i="1"/>
  <c r="BC239" i="1"/>
  <c r="BP239" i="1"/>
  <c r="AZ239" i="1"/>
  <c r="BO239" i="1"/>
  <c r="AY239" i="1"/>
  <c r="BL239" i="1"/>
  <c r="AV239" i="1"/>
  <c r="BN175" i="1"/>
  <c r="BF175" i="1"/>
  <c r="AX175" i="1"/>
  <c r="BR175" i="1"/>
  <c r="BJ175" i="1"/>
  <c r="BB175" i="1"/>
  <c r="BP175" i="1"/>
  <c r="BE175" i="1"/>
  <c r="BO175" i="1"/>
  <c r="BD175" i="1"/>
  <c r="BM175" i="1"/>
  <c r="BC175" i="1"/>
  <c r="BL175" i="1"/>
  <c r="BA175" i="1"/>
  <c r="BK175" i="1"/>
  <c r="AZ175" i="1"/>
  <c r="BI175" i="1"/>
  <c r="AY175" i="1"/>
  <c r="BS175" i="1"/>
  <c r="BH175" i="1"/>
  <c r="AW175" i="1"/>
  <c r="BQ175" i="1"/>
  <c r="BG175" i="1"/>
  <c r="AV175" i="1"/>
  <c r="BR114" i="1"/>
  <c r="BJ114" i="1"/>
  <c r="BB114" i="1"/>
  <c r="BN114" i="1"/>
  <c r="BF114" i="1"/>
  <c r="AX114" i="1"/>
  <c r="BS114" i="1"/>
  <c r="BH114" i="1"/>
  <c r="AW114" i="1"/>
  <c r="BQ114" i="1"/>
  <c r="BG114" i="1"/>
  <c r="AV114" i="1"/>
  <c r="BP114" i="1"/>
  <c r="BE114" i="1"/>
  <c r="BO114" i="1"/>
  <c r="BD114" i="1"/>
  <c r="BM114" i="1"/>
  <c r="BC114" i="1"/>
  <c r="BL114" i="1"/>
  <c r="BA114" i="1"/>
  <c r="BK114" i="1"/>
  <c r="AZ114" i="1"/>
  <c r="BI114" i="1"/>
  <c r="AY114" i="1"/>
  <c r="BS41" i="1"/>
  <c r="BK41" i="1"/>
  <c r="BC41" i="1"/>
  <c r="BR41" i="1"/>
  <c r="BJ41" i="1"/>
  <c r="BB41" i="1"/>
  <c r="BP41" i="1"/>
  <c r="BF41" i="1"/>
  <c r="AV41" i="1"/>
  <c r="BO41" i="1"/>
  <c r="BE41" i="1"/>
  <c r="BN41" i="1"/>
  <c r="BD41" i="1"/>
  <c r="BM41" i="1"/>
  <c r="BA41" i="1"/>
  <c r="BL41" i="1"/>
  <c r="AZ41" i="1"/>
  <c r="BI41" i="1"/>
  <c r="AY41" i="1"/>
  <c r="BH41" i="1"/>
  <c r="AX41" i="1"/>
  <c r="BQ41" i="1"/>
  <c r="BG41" i="1"/>
  <c r="AW41" i="1"/>
  <c r="BR191" i="1"/>
  <c r="BJ191" i="1"/>
  <c r="BB191" i="1"/>
  <c r="BQ191" i="1"/>
  <c r="BN191" i="1"/>
  <c r="BF191" i="1"/>
  <c r="AX191" i="1"/>
  <c r="BP191" i="1"/>
  <c r="BE191" i="1"/>
  <c r="BO191" i="1"/>
  <c r="BD191" i="1"/>
  <c r="BM191" i="1"/>
  <c r="BC191" i="1"/>
  <c r="BL191" i="1"/>
  <c r="BA191" i="1"/>
  <c r="BK191" i="1"/>
  <c r="AZ191" i="1"/>
  <c r="BI191" i="1"/>
  <c r="AY191" i="1"/>
  <c r="BH191" i="1"/>
  <c r="AW191" i="1"/>
  <c r="BS191" i="1"/>
  <c r="BG191" i="1"/>
  <c r="AV191" i="1"/>
  <c r="BN274" i="1"/>
  <c r="BF274" i="1"/>
  <c r="AX274" i="1"/>
  <c r="BR274" i="1"/>
  <c r="BJ274" i="1"/>
  <c r="BB274" i="1"/>
  <c r="BL274" i="1"/>
  <c r="BA274" i="1"/>
  <c r="BK274" i="1"/>
  <c r="AZ274" i="1"/>
  <c r="BI274" i="1"/>
  <c r="AY274" i="1"/>
  <c r="BS274" i="1"/>
  <c r="BH274" i="1"/>
  <c r="AW274" i="1"/>
  <c r="BQ274" i="1"/>
  <c r="BG274" i="1"/>
  <c r="AV274" i="1"/>
  <c r="BP274" i="1"/>
  <c r="BE274" i="1"/>
  <c r="BO274" i="1"/>
  <c r="BD274" i="1"/>
  <c r="BM274" i="1"/>
  <c r="BC274" i="1"/>
  <c r="BP206" i="1"/>
  <c r="BH206" i="1"/>
  <c r="AZ206" i="1"/>
  <c r="BO206" i="1"/>
  <c r="BG206" i="1"/>
  <c r="AY206" i="1"/>
  <c r="BN206" i="1"/>
  <c r="BF206" i="1"/>
  <c r="AX206" i="1"/>
  <c r="BM206" i="1"/>
  <c r="BE206" i="1"/>
  <c r="AW206" i="1"/>
  <c r="BL206" i="1"/>
  <c r="BD206" i="1"/>
  <c r="AV206" i="1"/>
  <c r="BS206" i="1"/>
  <c r="BK206" i="1"/>
  <c r="BC206" i="1"/>
  <c r="BR206" i="1"/>
  <c r="BJ206" i="1"/>
  <c r="BB206" i="1"/>
  <c r="BQ206" i="1"/>
  <c r="BI206" i="1"/>
  <c r="BA206" i="1"/>
  <c r="BN147" i="1"/>
  <c r="BF147" i="1"/>
  <c r="AX147" i="1"/>
  <c r="BS147" i="1"/>
  <c r="BJ147" i="1"/>
  <c r="BA147" i="1"/>
  <c r="BR147" i="1"/>
  <c r="BI147" i="1"/>
  <c r="AZ147" i="1"/>
  <c r="BQ147" i="1"/>
  <c r="BH147" i="1"/>
  <c r="AY147" i="1"/>
  <c r="BP147" i="1"/>
  <c r="BG147" i="1"/>
  <c r="AW147" i="1"/>
  <c r="BO147" i="1"/>
  <c r="BE147" i="1"/>
  <c r="AV147" i="1"/>
  <c r="BM147" i="1"/>
  <c r="BD147" i="1"/>
  <c r="BL147" i="1"/>
  <c r="BC147" i="1"/>
  <c r="BK147" i="1"/>
  <c r="BB147" i="1"/>
  <c r="BL62" i="1"/>
  <c r="BD62" i="1"/>
  <c r="AV62" i="1"/>
  <c r="BS62" i="1"/>
  <c r="BK62" i="1"/>
  <c r="BC62" i="1"/>
  <c r="BR62" i="1"/>
  <c r="BJ62" i="1"/>
  <c r="BB62" i="1"/>
  <c r="BQ62" i="1"/>
  <c r="BI62" i="1"/>
  <c r="BA62" i="1"/>
  <c r="BP62" i="1"/>
  <c r="BH62" i="1"/>
  <c r="AZ62" i="1"/>
  <c r="BO62" i="1"/>
  <c r="BG62" i="1"/>
  <c r="AY62" i="1"/>
  <c r="BN62" i="1"/>
  <c r="BF62" i="1"/>
  <c r="AX62" i="1"/>
  <c r="BM62" i="1"/>
  <c r="BE62" i="1"/>
  <c r="AW62" i="1"/>
  <c r="BA14" i="1"/>
  <c r="BP14" i="1"/>
  <c r="BH14" i="1"/>
  <c r="AZ14" i="1"/>
  <c r="BO14" i="1"/>
  <c r="BG14" i="1"/>
  <c r="AY14" i="1"/>
  <c r="BN14" i="1"/>
  <c r="BF14" i="1"/>
  <c r="AX14" i="1"/>
  <c r="BM14" i="1"/>
  <c r="BE14" i="1"/>
  <c r="AW14" i="1"/>
  <c r="BK14" i="1"/>
  <c r="BL14" i="1"/>
  <c r="BS14" i="1"/>
  <c r="BD14" i="1"/>
  <c r="AV14" i="1"/>
  <c r="BC14" i="1"/>
  <c r="BR14" i="1"/>
  <c r="BJ14" i="1"/>
  <c r="BB14" i="1"/>
  <c r="BQ14" i="1"/>
  <c r="BI14" i="1"/>
  <c r="BN283" i="1"/>
  <c r="BF283" i="1"/>
  <c r="AX283" i="1"/>
  <c r="BR283" i="1"/>
  <c r="BJ283" i="1"/>
  <c r="BB283" i="1"/>
  <c r="BQ283" i="1"/>
  <c r="BG283" i="1"/>
  <c r="AV283" i="1"/>
  <c r="BO283" i="1"/>
  <c r="BD283" i="1"/>
  <c r="BM283" i="1"/>
  <c r="BC283" i="1"/>
  <c r="BL283" i="1"/>
  <c r="BA283" i="1"/>
  <c r="BK283" i="1"/>
  <c r="AZ283" i="1"/>
  <c r="BI283" i="1"/>
  <c r="AY283" i="1"/>
  <c r="BH283" i="1"/>
  <c r="BE283" i="1"/>
  <c r="AW283" i="1"/>
  <c r="BS283" i="1"/>
  <c r="BP283" i="1"/>
  <c r="BP143" i="1"/>
  <c r="BH143" i="1"/>
  <c r="AZ143" i="1"/>
  <c r="BO143" i="1"/>
  <c r="BG143" i="1"/>
  <c r="AY143" i="1"/>
  <c r="BN143" i="1"/>
  <c r="BF143" i="1"/>
  <c r="AX143" i="1"/>
  <c r="BM143" i="1"/>
  <c r="BE143" i="1"/>
  <c r="AW143" i="1"/>
  <c r="BL143" i="1"/>
  <c r="BD143" i="1"/>
  <c r="AV143" i="1"/>
  <c r="BS143" i="1"/>
  <c r="BK143" i="1"/>
  <c r="BC143" i="1"/>
  <c r="BR143" i="1"/>
  <c r="BJ143" i="1"/>
  <c r="BB143" i="1"/>
  <c r="BQ143" i="1"/>
  <c r="BI143" i="1"/>
  <c r="BA143" i="1"/>
  <c r="BR110" i="1"/>
  <c r="BJ110" i="1"/>
  <c r="BB110" i="1"/>
  <c r="BN110" i="1"/>
  <c r="BF110" i="1"/>
  <c r="AX110" i="1"/>
  <c r="BM110" i="1"/>
  <c r="BC110" i="1"/>
  <c r="BL110" i="1"/>
  <c r="BA110" i="1"/>
  <c r="BK110" i="1"/>
  <c r="AZ110" i="1"/>
  <c r="BI110" i="1"/>
  <c r="AY110" i="1"/>
  <c r="BS110" i="1"/>
  <c r="BH110" i="1"/>
  <c r="AW110" i="1"/>
  <c r="BQ110" i="1"/>
  <c r="BG110" i="1"/>
  <c r="AV110" i="1"/>
  <c r="BP110" i="1"/>
  <c r="BE110" i="1"/>
  <c r="BO110" i="1"/>
  <c r="BD110" i="1"/>
  <c r="BN98" i="1"/>
  <c r="BF98" i="1"/>
  <c r="AX98" i="1"/>
  <c r="BM98" i="1"/>
  <c r="BE98" i="1"/>
  <c r="AW98" i="1"/>
  <c r="BL98" i="1"/>
  <c r="BD98" i="1"/>
  <c r="AV98" i="1"/>
  <c r="BS98" i="1"/>
  <c r="BK98" i="1"/>
  <c r="BC98" i="1"/>
  <c r="BR98" i="1"/>
  <c r="BJ98" i="1"/>
  <c r="BB98" i="1"/>
  <c r="BQ98" i="1"/>
  <c r="BI98" i="1"/>
  <c r="BA98" i="1"/>
  <c r="BP98" i="1"/>
  <c r="BH98" i="1"/>
  <c r="AZ98" i="1"/>
  <c r="BO98" i="1"/>
  <c r="BG98" i="1"/>
  <c r="AY98" i="1"/>
  <c r="BP212" i="1"/>
  <c r="BH212" i="1"/>
  <c r="AZ212" i="1"/>
  <c r="BO212" i="1"/>
  <c r="BG212" i="1"/>
  <c r="AY212" i="1"/>
  <c r="BN212" i="1"/>
  <c r="BF212" i="1"/>
  <c r="AX212" i="1"/>
  <c r="BM212" i="1"/>
  <c r="BE212" i="1"/>
  <c r="AW212" i="1"/>
  <c r="BL212" i="1"/>
  <c r="BD212" i="1"/>
  <c r="AV212" i="1"/>
  <c r="BS212" i="1"/>
  <c r="BK212" i="1"/>
  <c r="BC212" i="1"/>
  <c r="BR212" i="1"/>
  <c r="BJ212" i="1"/>
  <c r="BB212" i="1"/>
  <c r="BQ212" i="1"/>
  <c r="BI212" i="1"/>
  <c r="BA212" i="1"/>
  <c r="BN149" i="1"/>
  <c r="BF149" i="1"/>
  <c r="AX149" i="1"/>
  <c r="BQ149" i="1"/>
  <c r="BI149" i="1"/>
  <c r="BA149" i="1"/>
  <c r="BK149" i="1"/>
  <c r="AZ149" i="1"/>
  <c r="BJ149" i="1"/>
  <c r="AY149" i="1"/>
  <c r="BS149" i="1"/>
  <c r="BH149" i="1"/>
  <c r="AW149" i="1"/>
  <c r="BR149" i="1"/>
  <c r="BG149" i="1"/>
  <c r="AV149" i="1"/>
  <c r="BP149" i="1"/>
  <c r="BE149" i="1"/>
  <c r="BO149" i="1"/>
  <c r="BD149" i="1"/>
  <c r="BM149" i="1"/>
  <c r="BC149" i="1"/>
  <c r="BL149" i="1"/>
  <c r="BB149" i="1"/>
  <c r="BL68" i="1"/>
  <c r="BD68" i="1"/>
  <c r="AV68" i="1"/>
  <c r="BS68" i="1"/>
  <c r="BK68" i="1"/>
  <c r="BC68" i="1"/>
  <c r="BR68" i="1"/>
  <c r="BJ68" i="1"/>
  <c r="BB68" i="1"/>
  <c r="BQ68" i="1"/>
  <c r="BI68" i="1"/>
  <c r="BA68" i="1"/>
  <c r="BP68" i="1"/>
  <c r="BH68" i="1"/>
  <c r="AZ68" i="1"/>
  <c r="BO68" i="1"/>
  <c r="BG68" i="1"/>
  <c r="AY68" i="1"/>
  <c r="BN68" i="1"/>
  <c r="BF68" i="1"/>
  <c r="AX68" i="1"/>
  <c r="BM68" i="1"/>
  <c r="BE68" i="1"/>
  <c r="AW68" i="1"/>
  <c r="BQ20" i="1"/>
  <c r="BI20" i="1"/>
  <c r="BA20" i="1"/>
  <c r="BP20" i="1"/>
  <c r="BH20" i="1"/>
  <c r="AZ20" i="1"/>
  <c r="BO20" i="1"/>
  <c r="BG20" i="1"/>
  <c r="AY20" i="1"/>
  <c r="BN20" i="1"/>
  <c r="BF20" i="1"/>
  <c r="AX20" i="1"/>
  <c r="BM20" i="1"/>
  <c r="BE20" i="1"/>
  <c r="AW20" i="1"/>
  <c r="BL20" i="1"/>
  <c r="BD20" i="1"/>
  <c r="AV20" i="1"/>
  <c r="BS20" i="1"/>
  <c r="BK20" i="1"/>
  <c r="BC20" i="1"/>
  <c r="BR20" i="1"/>
  <c r="BJ20" i="1"/>
  <c r="BB20" i="1"/>
  <c r="BS294" i="1"/>
  <c r="BK294" i="1"/>
  <c r="BC294" i="1"/>
  <c r="BR294" i="1"/>
  <c r="BJ294" i="1"/>
  <c r="BB294" i="1"/>
  <c r="BQ294" i="1"/>
  <c r="BI294" i="1"/>
  <c r="BA294" i="1"/>
  <c r="BN294" i="1"/>
  <c r="BF294" i="1"/>
  <c r="AX294" i="1"/>
  <c r="BM294" i="1"/>
  <c r="BE294" i="1"/>
  <c r="AW294" i="1"/>
  <c r="AZ294" i="1"/>
  <c r="AY294" i="1"/>
  <c r="BP294" i="1"/>
  <c r="AV294" i="1"/>
  <c r="BO294" i="1"/>
  <c r="BL294" i="1"/>
  <c r="BH294" i="1"/>
  <c r="BG294" i="1"/>
  <c r="BD294" i="1"/>
  <c r="BM228" i="1"/>
  <c r="BE228" i="1"/>
  <c r="AW228" i="1"/>
  <c r="BS228" i="1"/>
  <c r="BK228" i="1"/>
  <c r="BC228" i="1"/>
  <c r="BR228" i="1"/>
  <c r="BJ228" i="1"/>
  <c r="BB228" i="1"/>
  <c r="BQ228" i="1"/>
  <c r="BI228" i="1"/>
  <c r="BA228" i="1"/>
  <c r="BP228" i="1"/>
  <c r="BH228" i="1"/>
  <c r="AZ228" i="1"/>
  <c r="BO228" i="1"/>
  <c r="BG228" i="1"/>
  <c r="AY228" i="1"/>
  <c r="AX228" i="1"/>
  <c r="AV228" i="1"/>
  <c r="BN228" i="1"/>
  <c r="BL228" i="1"/>
  <c r="BF228" i="1"/>
  <c r="BD228" i="1"/>
  <c r="BN159" i="1"/>
  <c r="BF159" i="1"/>
  <c r="AX159" i="1"/>
  <c r="BL159" i="1"/>
  <c r="BD159" i="1"/>
  <c r="AV159" i="1"/>
  <c r="BS159" i="1"/>
  <c r="BK159" i="1"/>
  <c r="BC159" i="1"/>
  <c r="BR159" i="1"/>
  <c r="BJ159" i="1"/>
  <c r="BB159" i="1"/>
  <c r="BQ159" i="1"/>
  <c r="BI159" i="1"/>
  <c r="BA159" i="1"/>
  <c r="BP159" i="1"/>
  <c r="BH159" i="1"/>
  <c r="AZ159" i="1"/>
  <c r="BO159" i="1"/>
  <c r="BG159" i="1"/>
  <c r="AY159" i="1"/>
  <c r="BM159" i="1"/>
  <c r="BE159" i="1"/>
  <c r="AW159" i="1"/>
  <c r="BN94" i="1"/>
  <c r="BF94" i="1"/>
  <c r="AX94" i="1"/>
  <c r="BM94" i="1"/>
  <c r="BE94" i="1"/>
  <c r="AW94" i="1"/>
  <c r="BL94" i="1"/>
  <c r="BD94" i="1"/>
  <c r="AV94" i="1"/>
  <c r="BS94" i="1"/>
  <c r="BK94" i="1"/>
  <c r="BC94" i="1"/>
  <c r="BR94" i="1"/>
  <c r="BJ94" i="1"/>
  <c r="BB94" i="1"/>
  <c r="BQ94" i="1"/>
  <c r="BI94" i="1"/>
  <c r="BA94" i="1"/>
  <c r="BP94" i="1"/>
  <c r="BH94" i="1"/>
  <c r="AZ94" i="1"/>
  <c r="BO94" i="1"/>
  <c r="BG94" i="1"/>
  <c r="AY94" i="1"/>
  <c r="BN38" i="1"/>
  <c r="BF38" i="1"/>
  <c r="AX38" i="1"/>
  <c r="BP38" i="1"/>
  <c r="BG38" i="1"/>
  <c r="AW38" i="1"/>
  <c r="BO38" i="1"/>
  <c r="BE38" i="1"/>
  <c r="AV38" i="1"/>
  <c r="BM38" i="1"/>
  <c r="BD38" i="1"/>
  <c r="BL38" i="1"/>
  <c r="BC38" i="1"/>
  <c r="BK38" i="1"/>
  <c r="BB38" i="1"/>
  <c r="BS38" i="1"/>
  <c r="BJ38" i="1"/>
  <c r="BA38" i="1"/>
  <c r="BR38" i="1"/>
  <c r="BI38" i="1"/>
  <c r="AZ38" i="1"/>
  <c r="BQ38" i="1"/>
  <c r="BH38" i="1"/>
  <c r="AY38" i="1"/>
  <c r="BR148" i="1"/>
  <c r="BJ148" i="1"/>
  <c r="BB148" i="1"/>
  <c r="BS148" i="1"/>
  <c r="BI148" i="1"/>
  <c r="AZ148" i="1"/>
  <c r="BQ148" i="1"/>
  <c r="BH148" i="1"/>
  <c r="AY148" i="1"/>
  <c r="BP148" i="1"/>
  <c r="BG148" i="1"/>
  <c r="AX148" i="1"/>
  <c r="BO148" i="1"/>
  <c r="BF148" i="1"/>
  <c r="AW148" i="1"/>
  <c r="BN148" i="1"/>
  <c r="BE148" i="1"/>
  <c r="AV148" i="1"/>
  <c r="BM148" i="1"/>
  <c r="BD148" i="1"/>
  <c r="BL148" i="1"/>
  <c r="BC148" i="1"/>
  <c r="BK148" i="1"/>
  <c r="BA148" i="1"/>
  <c r="BS249" i="1"/>
  <c r="BK249" i="1"/>
  <c r="BC249" i="1"/>
  <c r="BR249" i="1"/>
  <c r="BJ249" i="1"/>
  <c r="BB249" i="1"/>
  <c r="BQ249" i="1"/>
  <c r="BI249" i="1"/>
  <c r="BA249" i="1"/>
  <c r="BP249" i="1"/>
  <c r="BH249" i="1"/>
  <c r="AZ249" i="1"/>
  <c r="BO249" i="1"/>
  <c r="BG249" i="1"/>
  <c r="AY249" i="1"/>
  <c r="BN249" i="1"/>
  <c r="BF249" i="1"/>
  <c r="AX249" i="1"/>
  <c r="BM249" i="1"/>
  <c r="BE249" i="1"/>
  <c r="AW249" i="1"/>
  <c r="BL249" i="1"/>
  <c r="BD249" i="1"/>
  <c r="AV249" i="1"/>
  <c r="BR183" i="1"/>
  <c r="BJ183" i="1"/>
  <c r="BB183" i="1"/>
  <c r="BN183" i="1"/>
  <c r="BF183" i="1"/>
  <c r="AX183" i="1"/>
  <c r="BP183" i="1"/>
  <c r="BE183" i="1"/>
  <c r="BO183" i="1"/>
  <c r="BD183" i="1"/>
  <c r="BM183" i="1"/>
  <c r="BC183" i="1"/>
  <c r="BL183" i="1"/>
  <c r="BA183" i="1"/>
  <c r="BK183" i="1"/>
  <c r="AZ183" i="1"/>
  <c r="BS183" i="1"/>
  <c r="BH183" i="1"/>
  <c r="AW183" i="1"/>
  <c r="BQ183" i="1"/>
  <c r="BI183" i="1"/>
  <c r="BG183" i="1"/>
  <c r="AY183" i="1"/>
  <c r="AV183" i="1"/>
  <c r="BP131" i="1"/>
  <c r="BH131" i="1"/>
  <c r="AZ131" i="1"/>
  <c r="BO131" i="1"/>
  <c r="BG131" i="1"/>
  <c r="AY131" i="1"/>
  <c r="BN131" i="1"/>
  <c r="BF131" i="1"/>
  <c r="AX131" i="1"/>
  <c r="BM131" i="1"/>
  <c r="BE131" i="1"/>
  <c r="AW131" i="1"/>
  <c r="BL131" i="1"/>
  <c r="BD131" i="1"/>
  <c r="AV131" i="1"/>
  <c r="BS131" i="1"/>
  <c r="BK131" i="1"/>
  <c r="BC131" i="1"/>
  <c r="BR131" i="1"/>
  <c r="BJ131" i="1"/>
  <c r="BB131" i="1"/>
  <c r="BQ131" i="1"/>
  <c r="BI131" i="1"/>
  <c r="BA131" i="1"/>
  <c r="BP69" i="1"/>
  <c r="BH69" i="1"/>
  <c r="AZ69" i="1"/>
  <c r="BO69" i="1"/>
  <c r="BG69" i="1"/>
  <c r="AY69" i="1"/>
  <c r="BN69" i="1"/>
  <c r="BF69" i="1"/>
  <c r="AX69" i="1"/>
  <c r="BM69" i="1"/>
  <c r="BE69" i="1"/>
  <c r="AW69" i="1"/>
  <c r="BL69" i="1"/>
  <c r="BD69" i="1"/>
  <c r="AV69" i="1"/>
  <c r="BS69" i="1"/>
  <c r="BK69" i="1"/>
  <c r="BC69" i="1"/>
  <c r="BR69" i="1"/>
  <c r="BJ69" i="1"/>
  <c r="BB69" i="1"/>
  <c r="BQ69" i="1"/>
  <c r="BI69" i="1"/>
  <c r="BA69" i="1"/>
  <c r="BN177" i="1"/>
  <c r="BF177" i="1"/>
  <c r="AX177" i="1"/>
  <c r="BM177" i="1"/>
  <c r="BE177" i="1"/>
  <c r="AW177" i="1"/>
  <c r="BR177" i="1"/>
  <c r="BJ177" i="1"/>
  <c r="BB177" i="1"/>
  <c r="BP177" i="1"/>
  <c r="BH177" i="1"/>
  <c r="AZ177" i="1"/>
  <c r="BL177" i="1"/>
  <c r="AV177" i="1"/>
  <c r="BK177" i="1"/>
  <c r="BI177" i="1"/>
  <c r="BG177" i="1"/>
  <c r="BD177" i="1"/>
  <c r="BS177" i="1"/>
  <c r="BC177" i="1"/>
  <c r="BQ177" i="1"/>
  <c r="BA177" i="1"/>
  <c r="BO177" i="1"/>
  <c r="AY177" i="1"/>
  <c r="BS126" i="1"/>
  <c r="BK126" i="1"/>
  <c r="BC126" i="1"/>
  <c r="BR126" i="1"/>
  <c r="BJ126" i="1"/>
  <c r="BB126" i="1"/>
  <c r="BQ126" i="1"/>
  <c r="BI126" i="1"/>
  <c r="BA126" i="1"/>
  <c r="BP126" i="1"/>
  <c r="BH126" i="1"/>
  <c r="AZ126" i="1"/>
  <c r="BO126" i="1"/>
  <c r="BG126" i="1"/>
  <c r="AY126" i="1"/>
  <c r="BN126" i="1"/>
  <c r="BF126" i="1"/>
  <c r="AX126" i="1"/>
  <c r="BM126" i="1"/>
  <c r="BE126" i="1"/>
  <c r="AW126" i="1"/>
  <c r="BL126" i="1"/>
  <c r="BD126" i="1"/>
  <c r="AV126" i="1"/>
  <c r="BR284" i="1"/>
  <c r="BJ284" i="1"/>
  <c r="BB284" i="1"/>
  <c r="BN284" i="1"/>
  <c r="BF284" i="1"/>
  <c r="AX284" i="1"/>
  <c r="BK284" i="1"/>
  <c r="AZ284" i="1"/>
  <c r="BS284" i="1"/>
  <c r="BH284" i="1"/>
  <c r="AW284" i="1"/>
  <c r="BQ284" i="1"/>
  <c r="BG284" i="1"/>
  <c r="AV284" i="1"/>
  <c r="BP284" i="1"/>
  <c r="BE284" i="1"/>
  <c r="BO284" i="1"/>
  <c r="BD284" i="1"/>
  <c r="BM284" i="1"/>
  <c r="BC284" i="1"/>
  <c r="BL284" i="1"/>
  <c r="BI284" i="1"/>
  <c r="BA284" i="1"/>
  <c r="AY284" i="1"/>
  <c r="BM232" i="1"/>
  <c r="BE232" i="1"/>
  <c r="AW232" i="1"/>
  <c r="BL232" i="1"/>
  <c r="BD232" i="1"/>
  <c r="AV232" i="1"/>
  <c r="BS232" i="1"/>
  <c r="BK232" i="1"/>
  <c r="BC232" i="1"/>
  <c r="BR232" i="1"/>
  <c r="BJ232" i="1"/>
  <c r="BB232" i="1"/>
  <c r="BQ232" i="1"/>
  <c r="BI232" i="1"/>
  <c r="BA232" i="1"/>
  <c r="BP232" i="1"/>
  <c r="BH232" i="1"/>
  <c r="AZ232" i="1"/>
  <c r="BO232" i="1"/>
  <c r="BG232" i="1"/>
  <c r="AY232" i="1"/>
  <c r="BN232" i="1"/>
  <c r="BF232" i="1"/>
  <c r="AX232" i="1"/>
  <c r="BR277" i="1"/>
  <c r="BJ277" i="1"/>
  <c r="BB277" i="1"/>
  <c r="BN277" i="1"/>
  <c r="BF277" i="1"/>
  <c r="AX277" i="1"/>
  <c r="BM277" i="1"/>
  <c r="BC277" i="1"/>
  <c r="BL277" i="1"/>
  <c r="BA277" i="1"/>
  <c r="BK277" i="1"/>
  <c r="AZ277" i="1"/>
  <c r="BI277" i="1"/>
  <c r="AY277" i="1"/>
  <c r="BS277" i="1"/>
  <c r="BH277" i="1"/>
  <c r="AW277" i="1"/>
  <c r="BQ277" i="1"/>
  <c r="BG277" i="1"/>
  <c r="AV277" i="1"/>
  <c r="BP277" i="1"/>
  <c r="BE277" i="1"/>
  <c r="BO277" i="1"/>
  <c r="BD277" i="1"/>
  <c r="BL64" i="1"/>
  <c r="BD64" i="1"/>
  <c r="AV64" i="1"/>
  <c r="BS64" i="1"/>
  <c r="BK64" i="1"/>
  <c r="BC64" i="1"/>
  <c r="BR64" i="1"/>
  <c r="BJ64" i="1"/>
  <c r="BB64" i="1"/>
  <c r="BQ64" i="1"/>
  <c r="BI64" i="1"/>
  <c r="BA64" i="1"/>
  <c r="BP64" i="1"/>
  <c r="BH64" i="1"/>
  <c r="AZ64" i="1"/>
  <c r="BO64" i="1"/>
  <c r="BG64" i="1"/>
  <c r="AY64" i="1"/>
  <c r="BN64" i="1"/>
  <c r="BF64" i="1"/>
  <c r="AX64" i="1"/>
  <c r="BM64" i="1"/>
  <c r="BE64" i="1"/>
  <c r="AW64" i="1"/>
  <c r="BP65" i="1"/>
  <c r="BH65" i="1"/>
  <c r="AZ65" i="1"/>
  <c r="BO65" i="1"/>
  <c r="BG65" i="1"/>
  <c r="AY65" i="1"/>
  <c r="BN65" i="1"/>
  <c r="BF65" i="1"/>
  <c r="AX65" i="1"/>
  <c r="BM65" i="1"/>
  <c r="BE65" i="1"/>
  <c r="AW65" i="1"/>
  <c r="BL65" i="1"/>
  <c r="BD65" i="1"/>
  <c r="AV65" i="1"/>
  <c r="BS65" i="1"/>
  <c r="BK65" i="1"/>
  <c r="BC65" i="1"/>
  <c r="BR65" i="1"/>
  <c r="BJ65" i="1"/>
  <c r="BB65" i="1"/>
  <c r="BQ65" i="1"/>
  <c r="BI65" i="1"/>
  <c r="BA65" i="1"/>
  <c r="BL138" i="1"/>
  <c r="BD138" i="1"/>
  <c r="AV138" i="1"/>
  <c r="BS138" i="1"/>
  <c r="BK138" i="1"/>
  <c r="BC138" i="1"/>
  <c r="BR138" i="1"/>
  <c r="BJ138" i="1"/>
  <c r="BB138" i="1"/>
  <c r="BQ138" i="1"/>
  <c r="BI138" i="1"/>
  <c r="BA138" i="1"/>
  <c r="BP138" i="1"/>
  <c r="BH138" i="1"/>
  <c r="AZ138" i="1"/>
  <c r="BO138" i="1"/>
  <c r="BG138" i="1"/>
  <c r="AY138" i="1"/>
  <c r="BN138" i="1"/>
  <c r="BF138" i="1"/>
  <c r="AX138" i="1"/>
  <c r="BM138" i="1"/>
  <c r="BE138" i="1"/>
  <c r="AW138" i="1"/>
  <c r="BS216" i="1"/>
  <c r="BK216" i="1"/>
  <c r="BC216" i="1"/>
  <c r="BO216" i="1"/>
  <c r="BJ216" i="1"/>
  <c r="BA216" i="1"/>
  <c r="BI216" i="1"/>
  <c r="AZ216" i="1"/>
  <c r="BR216" i="1"/>
  <c r="BH216" i="1"/>
  <c r="AY216" i="1"/>
  <c r="BQ216" i="1"/>
  <c r="BG216" i="1"/>
  <c r="AX216" i="1"/>
  <c r="BP216" i="1"/>
  <c r="BF216" i="1"/>
  <c r="AW216" i="1"/>
  <c r="BN216" i="1"/>
  <c r="BE216" i="1"/>
  <c r="AV216" i="1"/>
  <c r="BM216" i="1"/>
  <c r="BD216" i="1"/>
  <c r="BL216" i="1"/>
  <c r="BB216" i="1"/>
  <c r="BN109" i="1"/>
  <c r="BF109" i="1"/>
  <c r="AX109" i="1"/>
  <c r="BR109" i="1"/>
  <c r="BJ109" i="1"/>
  <c r="BB109" i="1"/>
  <c r="BI109" i="1"/>
  <c r="AY109" i="1"/>
  <c r="BS109" i="1"/>
  <c r="BH109" i="1"/>
  <c r="AW109" i="1"/>
  <c r="BQ109" i="1"/>
  <c r="BG109" i="1"/>
  <c r="AV109" i="1"/>
  <c r="BP109" i="1"/>
  <c r="BE109" i="1"/>
  <c r="BO109" i="1"/>
  <c r="BD109" i="1"/>
  <c r="BM109" i="1"/>
  <c r="BC109" i="1"/>
  <c r="BL109" i="1"/>
  <c r="BA109" i="1"/>
  <c r="BK109" i="1"/>
  <c r="AZ109" i="1"/>
  <c r="BS52" i="1"/>
  <c r="BK52" i="1"/>
  <c r="BC52" i="1"/>
  <c r="BR52" i="1"/>
  <c r="BJ52" i="1"/>
  <c r="BB52" i="1"/>
  <c r="BQ52" i="1"/>
  <c r="BI52" i="1"/>
  <c r="BA52" i="1"/>
  <c r="BP52" i="1"/>
  <c r="BH52" i="1"/>
  <c r="AZ52" i="1"/>
  <c r="BO52" i="1"/>
  <c r="BG52" i="1"/>
  <c r="AY52" i="1"/>
  <c r="BN52" i="1"/>
  <c r="BF52" i="1"/>
  <c r="AX52" i="1"/>
  <c r="BM52" i="1"/>
  <c r="BE52" i="1"/>
  <c r="AW52" i="1"/>
  <c r="AV52" i="1"/>
  <c r="BL52" i="1"/>
  <c r="BD52" i="1"/>
  <c r="BR170" i="1"/>
  <c r="BJ170" i="1"/>
  <c r="BB170" i="1"/>
  <c r="BK170" i="1"/>
  <c r="BA170" i="1"/>
  <c r="BS170" i="1"/>
  <c r="BI170" i="1"/>
  <c r="AZ170" i="1"/>
  <c r="BQ170" i="1"/>
  <c r="BH170" i="1"/>
  <c r="AY170" i="1"/>
  <c r="BP170" i="1"/>
  <c r="BG170" i="1"/>
  <c r="AX170" i="1"/>
  <c r="BO170" i="1"/>
  <c r="BF170" i="1"/>
  <c r="AW170" i="1"/>
  <c r="BN170" i="1"/>
  <c r="BE170" i="1"/>
  <c r="AV170" i="1"/>
  <c r="BM170" i="1"/>
  <c r="BD170" i="1"/>
  <c r="BL170" i="1"/>
  <c r="BC170" i="1"/>
  <c r="BR118" i="1"/>
  <c r="BJ118" i="1"/>
  <c r="BB118" i="1"/>
  <c r="BQ118" i="1"/>
  <c r="BI118" i="1"/>
  <c r="BA118" i="1"/>
  <c r="BN118" i="1"/>
  <c r="BF118" i="1"/>
  <c r="AX118" i="1"/>
  <c r="BM118" i="1"/>
  <c r="AZ118" i="1"/>
  <c r="BL118" i="1"/>
  <c r="AY118" i="1"/>
  <c r="BK118" i="1"/>
  <c r="AW118" i="1"/>
  <c r="BH118" i="1"/>
  <c r="AV118" i="1"/>
  <c r="BG118" i="1"/>
  <c r="BS118" i="1"/>
  <c r="BE118" i="1"/>
  <c r="BP118" i="1"/>
  <c r="BD118" i="1"/>
  <c r="BO118" i="1"/>
  <c r="BC118" i="1"/>
  <c r="BE17" i="1"/>
  <c r="AW17" i="1"/>
  <c r="BL17" i="1"/>
  <c r="BD17" i="1"/>
  <c r="AV17" i="1"/>
  <c r="BS17" i="1"/>
  <c r="BK17" i="1"/>
  <c r="BC17" i="1"/>
  <c r="BR17" i="1"/>
  <c r="BJ17" i="1"/>
  <c r="BB17" i="1"/>
  <c r="BQ17" i="1"/>
  <c r="BI17" i="1"/>
  <c r="BA17" i="1"/>
  <c r="BP17" i="1"/>
  <c r="BH17" i="1"/>
  <c r="AZ17" i="1"/>
  <c r="BO17" i="1"/>
  <c r="BG17" i="1"/>
  <c r="AY17" i="1"/>
  <c r="BN17" i="1"/>
  <c r="BF17" i="1"/>
  <c r="AX17" i="1"/>
  <c r="BM17" i="1"/>
  <c r="BR112" i="1"/>
  <c r="BJ112" i="1"/>
  <c r="BB112" i="1"/>
  <c r="BN112" i="1"/>
  <c r="BF112" i="1"/>
  <c r="AX112" i="1"/>
  <c r="BK112" i="1"/>
  <c r="AZ112" i="1"/>
  <c r="BI112" i="1"/>
  <c r="AY112" i="1"/>
  <c r="BS112" i="1"/>
  <c r="BH112" i="1"/>
  <c r="AW112" i="1"/>
  <c r="BQ112" i="1"/>
  <c r="BG112" i="1"/>
  <c r="AV112" i="1"/>
  <c r="BP112" i="1"/>
  <c r="BE112" i="1"/>
  <c r="BO112" i="1"/>
  <c r="BD112" i="1"/>
  <c r="BM112" i="1"/>
  <c r="BC112" i="1"/>
  <c r="BL112" i="1"/>
  <c r="BA112" i="1"/>
  <c r="BO246" i="1"/>
  <c r="BG246" i="1"/>
  <c r="AY246" i="1"/>
  <c r="BN246" i="1"/>
  <c r="BF246" i="1"/>
  <c r="AX246" i="1"/>
  <c r="BM246" i="1"/>
  <c r="BE246" i="1"/>
  <c r="AW246" i="1"/>
  <c r="BL246" i="1"/>
  <c r="BD246" i="1"/>
  <c r="AV246" i="1"/>
  <c r="BS246" i="1"/>
  <c r="BK246" i="1"/>
  <c r="BC246" i="1"/>
  <c r="BR246" i="1"/>
  <c r="BJ246" i="1"/>
  <c r="BB246" i="1"/>
  <c r="BQ246" i="1"/>
  <c r="BI246" i="1"/>
  <c r="BA246" i="1"/>
  <c r="BH246" i="1"/>
  <c r="AZ246" i="1"/>
  <c r="BP246" i="1"/>
  <c r="BR179" i="1"/>
  <c r="BJ179" i="1"/>
  <c r="BB179" i="1"/>
  <c r="BP179" i="1"/>
  <c r="BG179" i="1"/>
  <c r="AX179" i="1"/>
  <c r="BO179" i="1"/>
  <c r="BF179" i="1"/>
  <c r="AW179" i="1"/>
  <c r="BN179" i="1"/>
  <c r="BE179" i="1"/>
  <c r="AV179" i="1"/>
  <c r="BM179" i="1"/>
  <c r="BD179" i="1"/>
  <c r="BL179" i="1"/>
  <c r="BC179" i="1"/>
  <c r="BS179" i="1"/>
  <c r="BI179" i="1"/>
  <c r="AZ179" i="1"/>
  <c r="BA179" i="1"/>
  <c r="AY179" i="1"/>
  <c r="BQ179" i="1"/>
  <c r="BK179" i="1"/>
  <c r="BH179" i="1"/>
  <c r="BR150" i="1"/>
  <c r="BJ150" i="1"/>
  <c r="BB150" i="1"/>
  <c r="BM150" i="1"/>
  <c r="BE150" i="1"/>
  <c r="AW150" i="1"/>
  <c r="BO150" i="1"/>
  <c r="BD150" i="1"/>
  <c r="BN150" i="1"/>
  <c r="BC150" i="1"/>
  <c r="BL150" i="1"/>
  <c r="BA150" i="1"/>
  <c r="BK150" i="1"/>
  <c r="AZ150" i="1"/>
  <c r="BI150" i="1"/>
  <c r="AY150" i="1"/>
  <c r="BS150" i="1"/>
  <c r="BH150" i="1"/>
  <c r="AX150" i="1"/>
  <c r="BQ150" i="1"/>
  <c r="BG150" i="1"/>
  <c r="AV150" i="1"/>
  <c r="BP150" i="1"/>
  <c r="BF150" i="1"/>
  <c r="BO53" i="1"/>
  <c r="BG53" i="1"/>
  <c r="AY53" i="1"/>
  <c r="BN53" i="1"/>
  <c r="BF53" i="1"/>
  <c r="AX53" i="1"/>
  <c r="BM53" i="1"/>
  <c r="BE53" i="1"/>
  <c r="AW53" i="1"/>
  <c r="BL53" i="1"/>
  <c r="BD53" i="1"/>
  <c r="AV53" i="1"/>
  <c r="BS53" i="1"/>
  <c r="BK53" i="1"/>
  <c r="BC53" i="1"/>
  <c r="BR53" i="1"/>
  <c r="BJ53" i="1"/>
  <c r="BB53" i="1"/>
  <c r="BQ53" i="1"/>
  <c r="BI53" i="1"/>
  <c r="BA53" i="1"/>
  <c r="BP53" i="1"/>
  <c r="BH53" i="1"/>
  <c r="AZ53" i="1"/>
  <c r="BR101" i="1"/>
  <c r="BJ101" i="1"/>
  <c r="BB101" i="1"/>
  <c r="BQ101" i="1"/>
  <c r="BI101" i="1"/>
  <c r="BA101" i="1"/>
  <c r="BP101" i="1"/>
  <c r="BH101" i="1"/>
  <c r="AZ101" i="1"/>
  <c r="BO101" i="1"/>
  <c r="BG101" i="1"/>
  <c r="AY101" i="1"/>
  <c r="BN101" i="1"/>
  <c r="BF101" i="1"/>
  <c r="AX101" i="1"/>
  <c r="BM101" i="1"/>
  <c r="BE101" i="1"/>
  <c r="AW101" i="1"/>
  <c r="BL101" i="1"/>
  <c r="BD101" i="1"/>
  <c r="AV101" i="1"/>
  <c r="BS101" i="1"/>
  <c r="BK101" i="1"/>
  <c r="BC101" i="1"/>
  <c r="BR269" i="1"/>
  <c r="BJ269" i="1"/>
  <c r="BS269" i="1"/>
  <c r="BI269" i="1"/>
  <c r="BA269" i="1"/>
  <c r="BQ269" i="1"/>
  <c r="BH269" i="1"/>
  <c r="AZ269" i="1"/>
  <c r="BP269" i="1"/>
  <c r="BG269" i="1"/>
  <c r="AY269" i="1"/>
  <c r="BO269" i="1"/>
  <c r="BF269" i="1"/>
  <c r="AX269" i="1"/>
  <c r="BN269" i="1"/>
  <c r="BE269" i="1"/>
  <c r="AW269" i="1"/>
  <c r="BM269" i="1"/>
  <c r="BD269" i="1"/>
  <c r="AV269" i="1"/>
  <c r="BL269" i="1"/>
  <c r="BC269" i="1"/>
  <c r="BK269" i="1"/>
  <c r="BB269" i="1"/>
  <c r="BR162" i="1"/>
  <c r="BJ162" i="1"/>
  <c r="BB162" i="1"/>
  <c r="BQ162" i="1"/>
  <c r="BI162" i="1"/>
  <c r="BA162" i="1"/>
  <c r="BP162" i="1"/>
  <c r="BH162" i="1"/>
  <c r="AZ162" i="1"/>
  <c r="BO162" i="1"/>
  <c r="BG162" i="1"/>
  <c r="AY162" i="1"/>
  <c r="BN162" i="1"/>
  <c r="BF162" i="1"/>
  <c r="AX162" i="1"/>
  <c r="BM162" i="1"/>
  <c r="BE162" i="1"/>
  <c r="AW162" i="1"/>
  <c r="BL162" i="1"/>
  <c r="BD162" i="1"/>
  <c r="AV162" i="1"/>
  <c r="BS162" i="1"/>
  <c r="BK162" i="1"/>
  <c r="BC162" i="1"/>
  <c r="BN74" i="1"/>
  <c r="BF74" i="1"/>
  <c r="AX74" i="1"/>
  <c r="BL74" i="1"/>
  <c r="BC74" i="1"/>
  <c r="BK74" i="1"/>
  <c r="BB74" i="1"/>
  <c r="BS74" i="1"/>
  <c r="BJ74" i="1"/>
  <c r="BA74" i="1"/>
  <c r="BR74" i="1"/>
  <c r="BI74" i="1"/>
  <c r="AZ74" i="1"/>
  <c r="BQ74" i="1"/>
  <c r="BH74" i="1"/>
  <c r="AY74" i="1"/>
  <c r="BP74" i="1"/>
  <c r="BG74" i="1"/>
  <c r="AW74" i="1"/>
  <c r="BO74" i="1"/>
  <c r="BE74" i="1"/>
  <c r="AV74" i="1"/>
  <c r="BM74" i="1"/>
  <c r="BD74" i="1"/>
  <c r="BL60" i="1"/>
  <c r="BD60" i="1"/>
  <c r="AV60" i="1"/>
  <c r="BS60" i="1"/>
  <c r="BK60" i="1"/>
  <c r="BC60" i="1"/>
  <c r="BR60" i="1"/>
  <c r="BJ60" i="1"/>
  <c r="BB60" i="1"/>
  <c r="BQ60" i="1"/>
  <c r="BI60" i="1"/>
  <c r="BA60" i="1"/>
  <c r="BP60" i="1"/>
  <c r="BH60" i="1"/>
  <c r="AZ60" i="1"/>
  <c r="BO60" i="1"/>
  <c r="BG60" i="1"/>
  <c r="AY60" i="1"/>
  <c r="BN60" i="1"/>
  <c r="BF60" i="1"/>
  <c r="AX60" i="1"/>
  <c r="BM60" i="1"/>
  <c r="BE60" i="1"/>
  <c r="AW60" i="1"/>
  <c r="BO127" i="1"/>
  <c r="BG127" i="1"/>
  <c r="AY127" i="1"/>
  <c r="BN127" i="1"/>
  <c r="BF127" i="1"/>
  <c r="AX127" i="1"/>
  <c r="BM127" i="1"/>
  <c r="BE127" i="1"/>
  <c r="AW127" i="1"/>
  <c r="BL127" i="1"/>
  <c r="BD127" i="1"/>
  <c r="AV127" i="1"/>
  <c r="BS127" i="1"/>
  <c r="BK127" i="1"/>
  <c r="BC127" i="1"/>
  <c r="BR127" i="1"/>
  <c r="BJ127" i="1"/>
  <c r="BB127" i="1"/>
  <c r="BQ127" i="1"/>
  <c r="BI127" i="1"/>
  <c r="BA127" i="1"/>
  <c r="BP127" i="1"/>
  <c r="BH127" i="1"/>
  <c r="AZ127" i="1"/>
  <c r="BL213" i="1"/>
  <c r="BD213" i="1"/>
  <c r="AV213" i="1"/>
  <c r="BS213" i="1"/>
  <c r="BK213" i="1"/>
  <c r="BC213" i="1"/>
  <c r="BR213" i="1"/>
  <c r="BJ213" i="1"/>
  <c r="BB213" i="1"/>
  <c r="BQ213" i="1"/>
  <c r="BI213" i="1"/>
  <c r="BA213" i="1"/>
  <c r="BP213" i="1"/>
  <c r="BH213" i="1"/>
  <c r="AZ213" i="1"/>
  <c r="BO213" i="1"/>
  <c r="BG213" i="1"/>
  <c r="AY213" i="1"/>
  <c r="BN213" i="1"/>
  <c r="BF213" i="1"/>
  <c r="AX213" i="1"/>
  <c r="BM213" i="1"/>
  <c r="BE213" i="1"/>
  <c r="AW213" i="1"/>
  <c r="BR286" i="1"/>
  <c r="BJ286" i="1"/>
  <c r="BB286" i="1"/>
  <c r="BN286" i="1"/>
  <c r="BF286" i="1"/>
  <c r="AX286" i="1"/>
  <c r="BS286" i="1"/>
  <c r="BH286" i="1"/>
  <c r="AW286" i="1"/>
  <c r="BQ286" i="1"/>
  <c r="BG286" i="1"/>
  <c r="AV286" i="1"/>
  <c r="BP286" i="1"/>
  <c r="BE286" i="1"/>
  <c r="BO286" i="1"/>
  <c r="BD286" i="1"/>
  <c r="BM286" i="1"/>
  <c r="BC286" i="1"/>
  <c r="BL286" i="1"/>
  <c r="BA286" i="1"/>
  <c r="BK286" i="1"/>
  <c r="AZ286" i="1"/>
  <c r="AY286" i="1"/>
  <c r="BI286" i="1"/>
  <c r="BM21" i="1"/>
  <c r="BE21" i="1"/>
  <c r="AW21" i="1"/>
  <c r="BL21" i="1"/>
  <c r="BD21" i="1"/>
  <c r="AV21" i="1"/>
  <c r="BS21" i="1"/>
  <c r="BK21" i="1"/>
  <c r="BC21" i="1"/>
  <c r="BR21" i="1"/>
  <c r="BJ21" i="1"/>
  <c r="BB21" i="1"/>
  <c r="BQ21" i="1"/>
  <c r="BI21" i="1"/>
  <c r="BA21" i="1"/>
  <c r="AZ21" i="1"/>
  <c r="BP21" i="1"/>
  <c r="BH21" i="1"/>
  <c r="BO21" i="1"/>
  <c r="BG21" i="1"/>
  <c r="AY21" i="1"/>
  <c r="BN21" i="1"/>
  <c r="BF21" i="1"/>
  <c r="AX21" i="1"/>
  <c r="BP137" i="1"/>
  <c r="BH137" i="1"/>
  <c r="AZ137" i="1"/>
  <c r="BO137" i="1"/>
  <c r="BG137" i="1"/>
  <c r="AY137" i="1"/>
  <c r="BN137" i="1"/>
  <c r="BF137" i="1"/>
  <c r="AX137" i="1"/>
  <c r="BM137" i="1"/>
  <c r="BE137" i="1"/>
  <c r="AW137" i="1"/>
  <c r="BL137" i="1"/>
  <c r="BD137" i="1"/>
  <c r="AV137" i="1"/>
  <c r="BS137" i="1"/>
  <c r="BK137" i="1"/>
  <c r="BC137" i="1"/>
  <c r="BR137" i="1"/>
  <c r="BJ137" i="1"/>
  <c r="BB137" i="1"/>
  <c r="BQ137" i="1"/>
  <c r="BI137" i="1"/>
  <c r="BA137" i="1"/>
  <c r="BN242" i="1"/>
  <c r="BF242" i="1"/>
  <c r="AX242" i="1"/>
  <c r="BM242" i="1"/>
  <c r="BE242" i="1"/>
  <c r="AW242" i="1"/>
  <c r="BL242" i="1"/>
  <c r="BD242" i="1"/>
  <c r="AV242" i="1"/>
  <c r="BR242" i="1"/>
  <c r="BJ242" i="1"/>
  <c r="BB242" i="1"/>
  <c r="BQ242" i="1"/>
  <c r="BI242" i="1"/>
  <c r="BA242" i="1"/>
  <c r="BK242" i="1"/>
  <c r="BH242" i="1"/>
  <c r="BG242" i="1"/>
  <c r="BC242" i="1"/>
  <c r="AZ242" i="1"/>
  <c r="BS242" i="1"/>
  <c r="AY242" i="1"/>
  <c r="BP242" i="1"/>
  <c r="BO242" i="1"/>
  <c r="BP129" i="1"/>
  <c r="BH129" i="1"/>
  <c r="AZ129" i="1"/>
  <c r="BO129" i="1"/>
  <c r="BG129" i="1"/>
  <c r="AY129" i="1"/>
  <c r="BN129" i="1"/>
  <c r="BF129" i="1"/>
  <c r="AX129" i="1"/>
  <c r="BM129" i="1"/>
  <c r="BE129" i="1"/>
  <c r="AW129" i="1"/>
  <c r="BL129" i="1"/>
  <c r="BD129" i="1"/>
  <c r="AV129" i="1"/>
  <c r="BS129" i="1"/>
  <c r="BK129" i="1"/>
  <c r="BC129" i="1"/>
  <c r="BR129" i="1"/>
  <c r="BJ129" i="1"/>
  <c r="BB129" i="1"/>
  <c r="BQ129" i="1"/>
  <c r="BI129" i="1"/>
  <c r="BA129" i="1"/>
  <c r="BQ261" i="1"/>
  <c r="BI261" i="1"/>
  <c r="BA261" i="1"/>
  <c r="BO261" i="1"/>
  <c r="BG261" i="1"/>
  <c r="AY261" i="1"/>
  <c r="BN261" i="1"/>
  <c r="BF261" i="1"/>
  <c r="AX261" i="1"/>
  <c r="BM261" i="1"/>
  <c r="BE261" i="1"/>
  <c r="AW261" i="1"/>
  <c r="BL261" i="1"/>
  <c r="BD261" i="1"/>
  <c r="AV261" i="1"/>
  <c r="BJ261" i="1"/>
  <c r="BH261" i="1"/>
  <c r="BC261" i="1"/>
  <c r="BB261" i="1"/>
  <c r="BS261" i="1"/>
  <c r="AZ261" i="1"/>
  <c r="BR261" i="1"/>
  <c r="BP261" i="1"/>
  <c r="BK261" i="1"/>
  <c r="BN49" i="1"/>
  <c r="BF49" i="1"/>
  <c r="AX49" i="1"/>
  <c r="BM49" i="1"/>
  <c r="BE49" i="1"/>
  <c r="AW49" i="1"/>
  <c r="BS49" i="1"/>
  <c r="BK49" i="1"/>
  <c r="BC49" i="1"/>
  <c r="BR49" i="1"/>
  <c r="BJ49" i="1"/>
  <c r="BB49" i="1"/>
  <c r="BQ49" i="1"/>
  <c r="BI49" i="1"/>
  <c r="BA49" i="1"/>
  <c r="BO49" i="1"/>
  <c r="BL49" i="1"/>
  <c r="BH49" i="1"/>
  <c r="BG49" i="1"/>
  <c r="BD49" i="1"/>
  <c r="AZ49" i="1"/>
  <c r="AY49" i="1"/>
  <c r="BP49" i="1"/>
  <c r="AV49" i="1"/>
  <c r="BS197" i="1"/>
  <c r="BK197" i="1"/>
  <c r="BC197" i="1"/>
  <c r="BR197" i="1"/>
  <c r="BJ197" i="1"/>
  <c r="BB197" i="1"/>
  <c r="BQ197" i="1"/>
  <c r="BI197" i="1"/>
  <c r="BA197" i="1"/>
  <c r="BO197" i="1"/>
  <c r="BG197" i="1"/>
  <c r="AY197" i="1"/>
  <c r="BN197" i="1"/>
  <c r="BF197" i="1"/>
  <c r="AX197" i="1"/>
  <c r="BM197" i="1"/>
  <c r="BE197" i="1"/>
  <c r="AW197" i="1"/>
  <c r="BP197" i="1"/>
  <c r="BL197" i="1"/>
  <c r="BH197" i="1"/>
  <c r="BD197" i="1"/>
  <c r="AZ197" i="1"/>
  <c r="AV197" i="1"/>
  <c r="BQ24" i="1"/>
  <c r="BI24" i="1"/>
  <c r="BA24" i="1"/>
  <c r="BP24" i="1"/>
  <c r="BH24" i="1"/>
  <c r="AZ24" i="1"/>
  <c r="BO24" i="1"/>
  <c r="BG24" i="1"/>
  <c r="AY24" i="1"/>
  <c r="BN24" i="1"/>
  <c r="BF24" i="1"/>
  <c r="AX24" i="1"/>
  <c r="BM24" i="1"/>
  <c r="BE24" i="1"/>
  <c r="AW24" i="1"/>
  <c r="BL24" i="1"/>
  <c r="BD24" i="1"/>
  <c r="AV24" i="1"/>
  <c r="BS24" i="1"/>
  <c r="BK24" i="1"/>
  <c r="BC24" i="1"/>
  <c r="BR24" i="1"/>
  <c r="BJ24" i="1"/>
  <c r="BB24" i="1"/>
  <c r="BR160" i="1"/>
  <c r="BJ160" i="1"/>
  <c r="BB160" i="1"/>
  <c r="BQ160" i="1"/>
  <c r="BI160" i="1"/>
  <c r="BA160" i="1"/>
  <c r="BP160" i="1"/>
  <c r="BH160" i="1"/>
  <c r="AZ160" i="1"/>
  <c r="BO160" i="1"/>
  <c r="BG160" i="1"/>
  <c r="AY160" i="1"/>
  <c r="BN160" i="1"/>
  <c r="BF160" i="1"/>
  <c r="AX160" i="1"/>
  <c r="BM160" i="1"/>
  <c r="BE160" i="1"/>
  <c r="AW160" i="1"/>
  <c r="BL160" i="1"/>
  <c r="BD160" i="1"/>
  <c r="AV160" i="1"/>
  <c r="BS160" i="1"/>
  <c r="BK160" i="1"/>
  <c r="BC160" i="1"/>
  <c r="BP55" i="1"/>
  <c r="BH55" i="1"/>
  <c r="AZ55" i="1"/>
  <c r="BO55" i="1"/>
  <c r="BG55" i="1"/>
  <c r="AY55" i="1"/>
  <c r="BN55" i="1"/>
  <c r="BF55" i="1"/>
  <c r="AX55" i="1"/>
  <c r="BM55" i="1"/>
  <c r="BE55" i="1"/>
  <c r="AW55" i="1"/>
  <c r="BL55" i="1"/>
  <c r="BD55" i="1"/>
  <c r="AV55" i="1"/>
  <c r="BS55" i="1"/>
  <c r="BK55" i="1"/>
  <c r="BC55" i="1"/>
  <c r="BR55" i="1"/>
  <c r="BJ55" i="1"/>
  <c r="BB55" i="1"/>
  <c r="BQ55" i="1"/>
  <c r="BI55" i="1"/>
  <c r="BA55" i="1"/>
  <c r="BO121" i="1"/>
  <c r="BG121" i="1"/>
  <c r="BN121" i="1"/>
  <c r="BF121" i="1"/>
  <c r="AX121" i="1"/>
  <c r="BM121" i="1"/>
  <c r="BE121" i="1"/>
  <c r="AW121" i="1"/>
  <c r="BS121" i="1"/>
  <c r="BK121" i="1"/>
  <c r="BC121" i="1"/>
  <c r="BR121" i="1"/>
  <c r="BJ121" i="1"/>
  <c r="BB121" i="1"/>
  <c r="BQ121" i="1"/>
  <c r="AY121" i="1"/>
  <c r="BP121" i="1"/>
  <c r="AV121" i="1"/>
  <c r="BL121" i="1"/>
  <c r="BI121" i="1"/>
  <c r="BH121" i="1"/>
  <c r="BD121" i="1"/>
  <c r="BA121" i="1"/>
  <c r="AZ121" i="1"/>
  <c r="BO251" i="1"/>
  <c r="BK251" i="1"/>
  <c r="BC251" i="1"/>
  <c r="BS251" i="1"/>
  <c r="BJ251" i="1"/>
  <c r="BB251" i="1"/>
  <c r="BR251" i="1"/>
  <c r="BI251" i="1"/>
  <c r="BA251" i="1"/>
  <c r="BQ251" i="1"/>
  <c r="BH251" i="1"/>
  <c r="AZ251" i="1"/>
  <c r="BP251" i="1"/>
  <c r="BG251" i="1"/>
  <c r="AY251" i="1"/>
  <c r="BN251" i="1"/>
  <c r="BF251" i="1"/>
  <c r="AX251" i="1"/>
  <c r="BM251" i="1"/>
  <c r="BE251" i="1"/>
  <c r="AW251" i="1"/>
  <c r="BL251" i="1"/>
  <c r="BD251" i="1"/>
  <c r="AV251" i="1"/>
  <c r="BQ223" i="1"/>
  <c r="BI223" i="1"/>
  <c r="BA223" i="1"/>
  <c r="BO223" i="1"/>
  <c r="BG223" i="1"/>
  <c r="AY223" i="1"/>
  <c r="BN223" i="1"/>
  <c r="BF223" i="1"/>
  <c r="AX223" i="1"/>
  <c r="BM223" i="1"/>
  <c r="BE223" i="1"/>
  <c r="AW223" i="1"/>
  <c r="BS223" i="1"/>
  <c r="BK223" i="1"/>
  <c r="BC223" i="1"/>
  <c r="BP223" i="1"/>
  <c r="BL223" i="1"/>
  <c r="BJ223" i="1"/>
  <c r="BH223" i="1"/>
  <c r="BD223" i="1"/>
  <c r="BB223" i="1"/>
  <c r="AZ223" i="1"/>
  <c r="BR223" i="1"/>
  <c r="AV223" i="1"/>
  <c r="BN36" i="1"/>
  <c r="BF36" i="1"/>
  <c r="AX36" i="1"/>
  <c r="BQ36" i="1"/>
  <c r="BH36" i="1"/>
  <c r="AY36" i="1"/>
  <c r="BP36" i="1"/>
  <c r="BG36" i="1"/>
  <c r="AW36" i="1"/>
  <c r="BO36" i="1"/>
  <c r="BE36" i="1"/>
  <c r="AV36" i="1"/>
  <c r="BM36" i="1"/>
  <c r="BD36" i="1"/>
  <c r="BL36" i="1"/>
  <c r="BC36" i="1"/>
  <c r="BK36" i="1"/>
  <c r="BB36" i="1"/>
  <c r="BS36" i="1"/>
  <c r="BJ36" i="1"/>
  <c r="BA36" i="1"/>
  <c r="BR36" i="1"/>
  <c r="BI36" i="1"/>
  <c r="AZ36" i="1"/>
  <c r="BU7" i="1" l="1"/>
  <c r="BU8" i="1"/>
  <c r="BU3" i="1" l="1"/>
</calcChain>
</file>

<file path=xl/sharedStrings.xml><?xml version="1.0" encoding="utf-8"?>
<sst xmlns="http://schemas.openxmlformats.org/spreadsheetml/2006/main" count="3681" uniqueCount="1497">
  <si>
    <t>ID</t>
  </si>
  <si>
    <t>Name</t>
  </si>
  <si>
    <t>Cost</t>
  </si>
  <si>
    <t>Type</t>
  </si>
  <si>
    <t>Offense</t>
  </si>
  <si>
    <t>Defense</t>
  </si>
  <si>
    <t>Rules_Text</t>
  </si>
  <si>
    <t>Rules_Choice</t>
  </si>
  <si>
    <t>Rules_Text_2</t>
  </si>
  <si>
    <t>Rules_Choice_2</t>
  </si>
  <si>
    <t>Rules_Text_3</t>
  </si>
  <si>
    <t>Rules_Choice_3</t>
  </si>
  <si>
    <t>Rules_Text_4</t>
  </si>
  <si>
    <t>Discard_Text</t>
  </si>
  <si>
    <t>Discard_Text_2</t>
  </si>
  <si>
    <t>Discard_Text_3</t>
  </si>
  <si>
    <t>Subtype</t>
  </si>
  <si>
    <t>Rarity</t>
  </si>
  <si>
    <t>Artist_Name</t>
  </si>
  <si>
    <t>Set_Name</t>
  </si>
  <si>
    <t>Pic_URL</t>
  </si>
  <si>
    <t>Ambush</t>
  </si>
  <si>
    <t>Blitz</t>
  </si>
  <si>
    <t>Recycle</t>
  </si>
  <si>
    <t>Breakthrough</t>
  </si>
  <si>
    <t>Airborne</t>
  </si>
  <si>
    <t>Unblockable</t>
  </si>
  <si>
    <t>Untargetable</t>
  </si>
  <si>
    <t>Unbanishable</t>
  </si>
  <si>
    <t>Optional_Cost</t>
  </si>
  <si>
    <t>aftershock</t>
  </si>
  <si>
    <t>alchemist-assassin</t>
  </si>
  <si>
    <t>ambush-party</t>
  </si>
  <si>
    <t>amnesia</t>
  </si>
  <si>
    <t>ancient_chant</t>
  </si>
  <si>
    <t>angel_of_death</t>
  </si>
  <si>
    <t>angel_of_light</t>
  </si>
  <si>
    <t>angel_of_mercy</t>
  </si>
  <si>
    <t>angel-of-the-gate</t>
  </si>
  <si>
    <t>angelic_protector</t>
  </si>
  <si>
    <t>angeline-s-favor</t>
  </si>
  <si>
    <t>angeline-s-will</t>
  </si>
  <si>
    <t>angeline</t>
  </si>
  <si>
    <t>ankylosaurus</t>
  </si>
  <si>
    <t>apocalypse</t>
  </si>
  <si>
    <t>arcane_research</t>
  </si>
  <si>
    <t>army_of_the_apocalypse</t>
  </si>
  <si>
    <t>avenger-of-covenant</t>
  </si>
  <si>
    <t>avenging_angel</t>
  </si>
  <si>
    <t>banishment</t>
  </si>
  <si>
    <t>battle_cry</t>
  </si>
  <si>
    <t>bellowing_minotaur</t>
  </si>
  <si>
    <t>bitten</t>
  </si>
  <si>
    <t>blind_faith</t>
  </si>
  <si>
    <t>blue_dragon</t>
  </si>
  <si>
    <t>bodyguard</t>
  </si>
  <si>
    <t>brachiosaurus</t>
  </si>
  <si>
    <t>brak-fist-of-lashnok</t>
  </si>
  <si>
    <t>brand-rebel-fighter</t>
  </si>
  <si>
    <t>brave_squire</t>
  </si>
  <si>
    <t>bruger-the-pathfinder</t>
  </si>
  <si>
    <t>burrowing_wurm</t>
  </si>
  <si>
    <t>cast-out</t>
  </si>
  <si>
    <t>cave_troll</t>
  </si>
  <si>
    <t>ceasefire</t>
  </si>
  <si>
    <t>chamberlain-kark</t>
  </si>
  <si>
    <t>chomp</t>
  </si>
  <si>
    <t>citadel-raven</t>
  </si>
  <si>
    <t>citadel-scholar</t>
  </si>
  <si>
    <t>cleansing_light</t>
  </si>
  <si>
    <t>consume</t>
  </si>
  <si>
    <t>corpse_taker</t>
  </si>
  <si>
    <t>corpsemonger</t>
  </si>
  <si>
    <t>courageous_soul</t>
  </si>
  <si>
    <t>crystal_golem</t>
  </si>
  <si>
    <t>dark_assassin</t>
  </si>
  <si>
    <t>dark_knight</t>
  </si>
  <si>
    <t>dark_leader</t>
  </si>
  <si>
    <t>dark_offering</t>
  </si>
  <si>
    <t>dark-one-s-fury</t>
  </si>
  <si>
    <t>dark_prince</t>
  </si>
  <si>
    <t>deadly_raid</t>
  </si>
  <si>
    <t>demon_breach</t>
  </si>
  <si>
    <t>demon-token</t>
  </si>
  <si>
    <t>demonic-rising</t>
  </si>
  <si>
    <t>den-mother</t>
  </si>
  <si>
    <t>dirge-of-scara</t>
  </si>
  <si>
    <t>divine_judgment</t>
  </si>
  <si>
    <t>djinn_of_the_sands</t>
  </si>
  <si>
    <t>drain_essence</t>
  </si>
  <si>
    <t>drakas_enforcer</t>
  </si>
  <si>
    <t>drakas_fire</t>
  </si>
  <si>
    <t>draka_dragon_tyrant</t>
  </si>
  <si>
    <t>drinker_of_blood</t>
  </si>
  <si>
    <t>elara_the_lycomancer</t>
  </si>
  <si>
    <t>elder_greatwurm</t>
  </si>
  <si>
    <t>entangling-vines</t>
  </si>
  <si>
    <t>erase</t>
  </si>
  <si>
    <t>erratic-research</t>
  </si>
  <si>
    <t>erwin-architect-of-war</t>
  </si>
  <si>
    <t>ethereal-dragon</t>
  </si>
  <si>
    <t>fairy-entrancer</t>
  </si>
  <si>
    <t>fairy-trickster</t>
  </si>
  <si>
    <t>faithful_pegasus</t>
  </si>
  <si>
    <t>feeding_frenzy</t>
  </si>
  <si>
    <t>feint</t>
  </si>
  <si>
    <t>fiery-demise</t>
  </si>
  <si>
    <t>final_task</t>
  </si>
  <si>
    <t>fire_shaman</t>
  </si>
  <si>
    <t>fire_spirit</t>
  </si>
  <si>
    <t>fireball</t>
  </si>
  <si>
    <t>fires-of-rebellion</t>
  </si>
  <si>
    <t>flame-spike</t>
  </si>
  <si>
    <t>flame_strike</t>
  </si>
  <si>
    <t>flames-of-furios</t>
  </si>
  <si>
    <t>flash_fire</t>
  </si>
  <si>
    <t>forbidden_research</t>
  </si>
  <si>
    <t>forbidden-research</t>
  </si>
  <si>
    <t>force-field</t>
  </si>
  <si>
    <t>force-lance</t>
  </si>
  <si>
    <t>forced_exile</t>
  </si>
  <si>
    <t>forcemage_apprentice</t>
  </si>
  <si>
    <t>forked_lightning</t>
  </si>
  <si>
    <t>frantic-digging</t>
  </si>
  <si>
    <t>frost_giant</t>
  </si>
  <si>
    <t>fumble</t>
  </si>
  <si>
    <t>furios</t>
  </si>
  <si>
    <t>gareth-s-will</t>
  </si>
  <si>
    <t>gareth</t>
  </si>
  <si>
    <t>gareth-s-juggernaut</t>
  </si>
  <si>
    <t>gladius-the-defender</t>
  </si>
  <si>
    <t>go-wild</t>
  </si>
  <si>
    <t>gold_dragon</t>
  </si>
  <si>
    <t>grave-demon</t>
  </si>
  <si>
    <t>great_horned_lizard</t>
  </si>
  <si>
    <t>greater-lightning-wurm</t>
  </si>
  <si>
    <t>guilt_demon</t>
  </si>
  <si>
    <t>hand-of-angeline</t>
  </si>
  <si>
    <t>hands_from_below</t>
  </si>
  <si>
    <t>hasty_retreat</t>
  </si>
  <si>
    <t>heinous_feast</t>
  </si>
  <si>
    <t>helena-s-chosen</t>
  </si>
  <si>
    <t>helena</t>
  </si>
  <si>
    <t>helions_fury</t>
  </si>
  <si>
    <t>helion_the_dominator</t>
  </si>
  <si>
    <t>herald-of-angeline</t>
  </si>
  <si>
    <t>herald-of-lashnok</t>
  </si>
  <si>
    <t>herald-of-scara</t>
  </si>
  <si>
    <t>high_king</t>
  </si>
  <si>
    <t>hill_giant</t>
  </si>
  <si>
    <t>human-token-back</t>
  </si>
  <si>
    <t>hunting-pack</t>
  </si>
  <si>
    <t>hunting_pterosaur</t>
  </si>
  <si>
    <t>hunting-pterosaur</t>
  </si>
  <si>
    <t>hunting_raptors</t>
  </si>
  <si>
    <t>hurricane</t>
  </si>
  <si>
    <t>ice_drake</t>
  </si>
  <si>
    <t>infernal_gatekeeper</t>
  </si>
  <si>
    <t>inheritance_of_the_meek</t>
  </si>
  <si>
    <t>inner_demon</t>
  </si>
  <si>
    <t>inner_peace</t>
  </si>
  <si>
    <t>inspiration</t>
  </si>
  <si>
    <t>insurgency</t>
  </si>
  <si>
    <t>juggernaut</t>
  </si>
  <si>
    <t>jungle_queen</t>
  </si>
  <si>
    <t>justice-prevails</t>
  </si>
  <si>
    <t>kalani-woodreader</t>
  </si>
  <si>
    <t>kalnor_s_blessing</t>
  </si>
  <si>
    <t>keeper_of_secrets</t>
  </si>
  <si>
    <t>keira-wolf-caller</t>
  </si>
  <si>
    <t>knight-of-elara</t>
  </si>
  <si>
    <t>knight_of_shadows</t>
  </si>
  <si>
    <t>knight_of_the_dawn</t>
  </si>
  <si>
    <t>knight-of-the-dawn</t>
  </si>
  <si>
    <t>kong</t>
  </si>
  <si>
    <t>krieg-dark-one-s-chosen</t>
  </si>
  <si>
    <t>lash</t>
  </si>
  <si>
    <t>lashnok-s-will</t>
  </si>
  <si>
    <t>lashnok</t>
  </si>
  <si>
    <t>lesson_learned</t>
  </si>
  <si>
    <t>lightning_storm</t>
  </si>
  <si>
    <t>lightning_strike</t>
  </si>
  <si>
    <t>little-devil</t>
  </si>
  <si>
    <t>lord_of_the_arena</t>
  </si>
  <si>
    <t>lurking_giant</t>
  </si>
  <si>
    <t>lying_in_wait</t>
  </si>
  <si>
    <t>maligus</t>
  </si>
  <si>
    <t>markus_watch_captain</t>
  </si>
  <si>
    <t>martial-law</t>
  </si>
  <si>
    <t>master-forcemage</t>
  </si>
  <si>
    <t>master-zo</t>
  </si>
  <si>
    <t>medusa</t>
  </si>
  <si>
    <t>memory_spirit</t>
  </si>
  <si>
    <t>mighty_blow</t>
  </si>
  <si>
    <t>mist_guide_herald</t>
  </si>
  <si>
    <t>murderous_necromancer</t>
  </si>
  <si>
    <t>muse</t>
  </si>
  <si>
    <t>mystic-researcher</t>
  </si>
  <si>
    <t>mythic-monster</t>
  </si>
  <si>
    <t>necromancer_apprentice</t>
  </si>
  <si>
    <t>necromancer-apprentice</t>
  </si>
  <si>
    <t>necromancer_lord</t>
  </si>
  <si>
    <t>necrovirus</t>
  </si>
  <si>
    <t>new_dawn</t>
  </si>
  <si>
    <t>new-dawn</t>
  </si>
  <si>
    <t>no-escape</t>
  </si>
  <si>
    <t>noble_martyr</t>
  </si>
  <si>
    <t>noble_unicorn</t>
  </si>
  <si>
    <t>ogre_mercenary</t>
  </si>
  <si>
    <t>owl_familiar</t>
  </si>
  <si>
    <t>pack_alpha</t>
  </si>
  <si>
    <t>palace_guard</t>
  </si>
  <si>
    <t>paros_rebel_leader</t>
  </si>
  <si>
    <t>plague</t>
  </si>
  <si>
    <t>plague-zombies</t>
  </si>
  <si>
    <t>plentiful_dead</t>
  </si>
  <si>
    <t>priest_of_kalnor</t>
  </si>
  <si>
    <t>priestess_of_angeline</t>
  </si>
  <si>
    <t>psionic_assault</t>
  </si>
  <si>
    <t>pyromancer</t>
  </si>
  <si>
    <t>pyrosaur</t>
  </si>
  <si>
    <t>quell</t>
  </si>
  <si>
    <t>rabble_rouser</t>
  </si>
  <si>
    <t>rage</t>
  </si>
  <si>
    <t>raging_t_rex</t>
  </si>
  <si>
    <t>rain_of_fire</t>
  </si>
  <si>
    <t>rally_the_people</t>
  </si>
  <si>
    <t>rampaging_wurm</t>
  </si>
  <si>
    <t>raxxas_curse</t>
  </si>
  <si>
    <t>raxxas_displeasure</t>
  </si>
  <si>
    <t>raxxa-s-enforcer</t>
  </si>
  <si>
    <t>raxxa_demon_tyrant</t>
  </si>
  <si>
    <t>reap_or_sow</t>
  </si>
  <si>
    <t>reaper</t>
  </si>
  <si>
    <t>rescue-griffin</t>
  </si>
  <si>
    <t>reset</t>
  </si>
  <si>
    <t>resurrection</t>
  </si>
  <si>
    <t>reusable-knowledge</t>
  </si>
  <si>
    <t>revolt</t>
  </si>
  <si>
    <t>rift-summoner</t>
  </si>
  <si>
    <t>ritual_sacrifice</t>
  </si>
  <si>
    <t>royal_escort</t>
  </si>
  <si>
    <t>run-riot</t>
  </si>
  <si>
    <t>rybas-canopy-sniper</t>
  </si>
  <si>
    <t>saren-night-stalker</t>
  </si>
  <si>
    <t>savage-uprising</t>
  </si>
  <si>
    <t>scara-s-gift</t>
  </si>
  <si>
    <t>scara-s-will</t>
  </si>
  <si>
    <t>scara</t>
  </si>
  <si>
    <t>scarred-cultist</t>
  </si>
  <si>
    <t>scarred-priestess</t>
  </si>
  <si>
    <t>scarros-hound-of-draka</t>
  </si>
  <si>
    <t>scrap_golem</t>
  </si>
  <si>
    <t>scrap-golem</t>
  </si>
  <si>
    <t>sea_hydra</t>
  </si>
  <si>
    <t>sea_titan</t>
  </si>
  <si>
    <t>searing_blast</t>
  </si>
  <si>
    <t>second_wind</t>
  </si>
  <si>
    <t>secret_legion</t>
  </si>
  <si>
    <t>shadow_imp</t>
  </si>
  <si>
    <t>silver-dragon</t>
  </si>
  <si>
    <t>silver-wing-guardian</t>
  </si>
  <si>
    <t>silver-wing-lancer</t>
  </si>
  <si>
    <t>silver-wing-savior</t>
  </si>
  <si>
    <t>siren-s-song</t>
  </si>
  <si>
    <t>smash_and_burn</t>
  </si>
  <si>
    <t>soul_hunter</t>
  </si>
  <si>
    <t>spawning_demon</t>
  </si>
  <si>
    <t>spike_trap</t>
  </si>
  <si>
    <t>spite</t>
  </si>
  <si>
    <t>spore-beast</t>
  </si>
  <si>
    <t>stampeding-einiosaurus</t>
  </si>
  <si>
    <t>stand_alone</t>
  </si>
  <si>
    <t>standard_bearer</t>
  </si>
  <si>
    <t>steed-of-zaltessa</t>
  </si>
  <si>
    <t>steel_golem</t>
  </si>
  <si>
    <t>steel-titan</t>
  </si>
  <si>
    <t>strafing_dragon</t>
  </si>
  <si>
    <t>succubus</t>
  </si>
  <si>
    <t>surprise_attack</t>
  </si>
  <si>
    <t>teleport</t>
  </si>
  <si>
    <t>teleport_</t>
  </si>
  <si>
    <t>temporal_enforcer</t>
  </si>
  <si>
    <t>temporal_shift</t>
  </si>
  <si>
    <t>the_gudgeon</t>
  </si>
  <si>
    <t>the_people_s_champion</t>
  </si>
  <si>
    <t>the_risen</t>
  </si>
  <si>
    <t>thought_plucker</t>
  </si>
  <si>
    <t>thrasher_demon</t>
  </si>
  <si>
    <t>thundarus</t>
  </si>
  <si>
    <t>time_bender</t>
  </si>
  <si>
    <t>time_master</t>
  </si>
  <si>
    <t>time_walker</t>
  </si>
  <si>
    <t>transform</t>
  </si>
  <si>
    <t>triceratops</t>
  </si>
  <si>
    <t>trihorror</t>
  </si>
  <si>
    <t>turn</t>
  </si>
  <si>
    <t>unquenchable_thirst</t>
  </si>
  <si>
    <t>urgent_messengers</t>
  </si>
  <si>
    <t>vampire_lord</t>
  </si>
  <si>
    <t>vanishing</t>
  </si>
  <si>
    <t>velden-frost-titan</t>
  </si>
  <si>
    <t>village-protector</t>
  </si>
  <si>
    <t>vital_mission</t>
  </si>
  <si>
    <t>war-machine</t>
  </si>
  <si>
    <t>warrior_angel</t>
  </si>
  <si>
    <t>warrior_golem</t>
  </si>
  <si>
    <t>watchful_gargoyle</t>
  </si>
  <si>
    <t>wave_of_transformation</t>
  </si>
  <si>
    <t>white_dragon</t>
  </si>
  <si>
    <t>white_knight</t>
  </si>
  <si>
    <t>winds-of-change</t>
  </si>
  <si>
    <t>winged-death</t>
  </si>
  <si>
    <t>winter_fairy</t>
  </si>
  <si>
    <t>wither</t>
  </si>
  <si>
    <t>wolf_companion</t>
  </si>
  <si>
    <t>wolf-token</t>
  </si>
  <si>
    <t>wolf_s_call</t>
  </si>
  <si>
    <t>wolfs_bite</t>
  </si>
  <si>
    <t>word_of_summoning</t>
  </si>
  <si>
    <t>wurm_hatchling</t>
  </si>
  <si>
    <t>zaltessa</t>
  </si>
  <si>
    <t>zannos-corpse-lord</t>
  </si>
  <si>
    <t>zealous_necromancer</t>
  </si>
  <si>
    <t>zombie_apocalypse</t>
  </si>
  <si>
    <t>zombie-token-back</t>
  </si>
  <si>
    <t>Aftershock</t>
  </si>
  <si>
    <t>Alchemist Assassin</t>
  </si>
  <si>
    <t>Ambush Party</t>
  </si>
  <si>
    <t>Amnesia</t>
  </si>
  <si>
    <t>Ancient Chant</t>
  </si>
  <si>
    <t>Angel of Death</t>
  </si>
  <si>
    <t>Angel of Light</t>
  </si>
  <si>
    <t>Angel of Mercy</t>
  </si>
  <si>
    <t>Angel of the Gate</t>
  </si>
  <si>
    <t>Angelic Protector</t>
  </si>
  <si>
    <t>Angeline's Favor</t>
  </si>
  <si>
    <t>Angeline's Will</t>
  </si>
  <si>
    <t>Angeline, Silver Wing</t>
  </si>
  <si>
    <t>Ankylosaurus</t>
  </si>
  <si>
    <t>Apocalypse</t>
  </si>
  <si>
    <t>Arcane Research</t>
  </si>
  <si>
    <t>Army of the Apocalypse</t>
  </si>
  <si>
    <t>Avenger of Covenant</t>
  </si>
  <si>
    <t>Avenging Angel</t>
  </si>
  <si>
    <t>Banishment</t>
  </si>
  <si>
    <t>Battle Cry</t>
  </si>
  <si>
    <t>Bellowing Minotaur</t>
  </si>
  <si>
    <t>Bitten</t>
  </si>
  <si>
    <t>Blind Faith</t>
  </si>
  <si>
    <t>Blue Dragon</t>
  </si>
  <si>
    <t>Bodyguard</t>
  </si>
  <si>
    <t>Brachiosaurus</t>
  </si>
  <si>
    <t>Brak, Fist of Lashnok</t>
  </si>
  <si>
    <t>Brand, Rebel Fighter</t>
  </si>
  <si>
    <t>Brave Squire</t>
  </si>
  <si>
    <t>Bruger, the Pathfinder</t>
  </si>
  <si>
    <t>Burrowing Wurm</t>
  </si>
  <si>
    <t>Cast Out</t>
  </si>
  <si>
    <t>Cave Troll</t>
  </si>
  <si>
    <t>Ceasefire</t>
  </si>
  <si>
    <t>Chamberlain Kark</t>
  </si>
  <si>
    <t>Chomp</t>
  </si>
  <si>
    <t>Citadel Raven</t>
  </si>
  <si>
    <t>Citadel Scholar</t>
  </si>
  <si>
    <t>Cleansing Light</t>
  </si>
  <si>
    <t>Consume</t>
  </si>
  <si>
    <t>Corpse Taker</t>
  </si>
  <si>
    <t>Corpsemonger</t>
  </si>
  <si>
    <t>Courageous Soul</t>
  </si>
  <si>
    <t>Crystal Golem</t>
  </si>
  <si>
    <t>Dark Assassin</t>
  </si>
  <si>
    <t>Dark Knight</t>
  </si>
  <si>
    <t>Dark Leader</t>
  </si>
  <si>
    <t>Dark Offering</t>
  </si>
  <si>
    <t>Dark One's Fury</t>
  </si>
  <si>
    <t>Dark Prince</t>
  </si>
  <si>
    <t>Deadly Raid</t>
  </si>
  <si>
    <t>Demon Breach</t>
  </si>
  <si>
    <t>Demon Token</t>
  </si>
  <si>
    <t>Demonic Rising</t>
  </si>
  <si>
    <t>Den Mother</t>
  </si>
  <si>
    <t>Dirge of Scara</t>
  </si>
  <si>
    <t>Divine Judgment</t>
  </si>
  <si>
    <t>Djinn of the Sands</t>
  </si>
  <si>
    <t>Drain Essence</t>
  </si>
  <si>
    <t>Drakas Enforcer</t>
  </si>
  <si>
    <t>Drakas Fire</t>
  </si>
  <si>
    <t>Draka Dragon Tyrant</t>
  </si>
  <si>
    <t>Drinker  of Blood</t>
  </si>
  <si>
    <t>Elara the Lycomancer</t>
  </si>
  <si>
    <t>Elder Greatwurm</t>
  </si>
  <si>
    <t>Entangling Vines</t>
  </si>
  <si>
    <t>Erase</t>
  </si>
  <si>
    <t>Erratic Research</t>
  </si>
  <si>
    <t>Erwin, Architect of War</t>
  </si>
  <si>
    <t>Ethereal Dragon</t>
  </si>
  <si>
    <t>Fairy Entrancer</t>
  </si>
  <si>
    <t>Fairy Trickster</t>
  </si>
  <si>
    <t>Faithful Pegasus</t>
  </si>
  <si>
    <t>Feeding Frenzy</t>
  </si>
  <si>
    <t>Feint</t>
  </si>
  <si>
    <t>Fiery Demise</t>
  </si>
  <si>
    <t>Final Task</t>
  </si>
  <si>
    <t>Fire Shaman</t>
  </si>
  <si>
    <t>Fire Spirit</t>
  </si>
  <si>
    <t>Fireball</t>
  </si>
  <si>
    <t>Fires of Rebellion</t>
  </si>
  <si>
    <t>Flame Spike</t>
  </si>
  <si>
    <t>Flame Strike</t>
  </si>
  <si>
    <t>Flames of Furios</t>
  </si>
  <si>
    <t>Flash Fire</t>
  </si>
  <si>
    <t>Forbidden Research</t>
  </si>
  <si>
    <t>Force Field</t>
  </si>
  <si>
    <t>Force Lance</t>
  </si>
  <si>
    <t>Forced Exile</t>
  </si>
  <si>
    <t>Forcemage Apprentice</t>
  </si>
  <si>
    <t>Forked Lightning</t>
  </si>
  <si>
    <t>Frantic Digging</t>
  </si>
  <si>
    <t>Frost Giant</t>
  </si>
  <si>
    <t>Fumble</t>
  </si>
  <si>
    <t>Furios, Father of Nature</t>
  </si>
  <si>
    <t>Gareth's Will</t>
  </si>
  <si>
    <t>Gareth, Father of Genius</t>
  </si>
  <si>
    <t>Gareth’s Juggernaut</t>
  </si>
  <si>
    <t>Gladius, the Defender</t>
  </si>
  <si>
    <t>Go Wild</t>
  </si>
  <si>
    <t>Gold Dragon</t>
  </si>
  <si>
    <t>Grave Demon</t>
  </si>
  <si>
    <t>Great Horned Lizard</t>
  </si>
  <si>
    <t>Greater Lightning Wurm</t>
  </si>
  <si>
    <t>Guilt Demon</t>
  </si>
  <si>
    <t>Hand of Angeline</t>
  </si>
  <si>
    <t>Hands from Below</t>
  </si>
  <si>
    <t>Hasty Retreat</t>
  </si>
  <si>
    <t>Heinous Feast</t>
  </si>
  <si>
    <t>Helena's Chosen</t>
  </si>
  <si>
    <t>Helena, the Valiant</t>
  </si>
  <si>
    <t>Helion's Fury</t>
  </si>
  <si>
    <t>Helion, the Dominator</t>
  </si>
  <si>
    <t>Herald of Angeline</t>
  </si>
  <si>
    <t>Herald of Lashnok</t>
  </si>
  <si>
    <t>Herald of Scara</t>
  </si>
  <si>
    <t>High King</t>
  </si>
  <si>
    <t>Hill Giant</t>
  </si>
  <si>
    <t>Human Token</t>
  </si>
  <si>
    <t>Hunting Pack</t>
  </si>
  <si>
    <t>Hunting Pterosaur</t>
  </si>
  <si>
    <t>Hunting Raptors</t>
  </si>
  <si>
    <t>Hurricane</t>
  </si>
  <si>
    <t>Ice Drake</t>
  </si>
  <si>
    <t>Infernal Gatekeeper</t>
  </si>
  <si>
    <t>Inheritance of the Meek</t>
  </si>
  <si>
    <t>Inner Demon</t>
  </si>
  <si>
    <t>Inner Peace</t>
  </si>
  <si>
    <t>Inspiration</t>
  </si>
  <si>
    <t>Insurgency</t>
  </si>
  <si>
    <t>Juggernaut</t>
  </si>
  <si>
    <t>Jungle Queen</t>
  </si>
  <si>
    <t>Justice Prevails</t>
  </si>
  <si>
    <t>Kalani, Woodreader</t>
  </si>
  <si>
    <t>Kalnor's Blessing</t>
  </si>
  <si>
    <t>Keeper of Secrets</t>
  </si>
  <si>
    <t>Keira, Wolf Caller</t>
  </si>
  <si>
    <t>Knight of Elara</t>
  </si>
  <si>
    <t>Knight of Shadows</t>
  </si>
  <si>
    <t>Knight of the Dawn</t>
  </si>
  <si>
    <t>Kong</t>
  </si>
  <si>
    <t>Krieg, Dark One's Chosen</t>
  </si>
  <si>
    <t>Lash</t>
  </si>
  <si>
    <t>Lashnok's Will</t>
  </si>
  <si>
    <t>Lashnok, Worldbreaker</t>
  </si>
  <si>
    <t>Lesson Learned</t>
  </si>
  <si>
    <t>Lightning Storm</t>
  </si>
  <si>
    <t>Lightning Strike</t>
  </si>
  <si>
    <t>Little Devil</t>
  </si>
  <si>
    <t>Lord of the Arena</t>
  </si>
  <si>
    <t>Lurking Giant</t>
  </si>
  <si>
    <t>Lying in Wait</t>
  </si>
  <si>
    <t>Maligus, the Dark One</t>
  </si>
  <si>
    <t>Markus, Watch Captain</t>
  </si>
  <si>
    <t>Martial Law</t>
  </si>
  <si>
    <t>Master Forcemage</t>
  </si>
  <si>
    <t>Master Zo</t>
  </si>
  <si>
    <t>Medusa</t>
  </si>
  <si>
    <t>Memory Spirit</t>
  </si>
  <si>
    <t>Mighty Blow</t>
  </si>
  <si>
    <t>Mist Guide Herald</t>
  </si>
  <si>
    <t>Murderous Necromancer</t>
  </si>
  <si>
    <t>Muse</t>
  </si>
  <si>
    <t>Mystic Researcher</t>
  </si>
  <si>
    <t>Mythic Monster</t>
  </si>
  <si>
    <t>Necromancer Apprentice</t>
  </si>
  <si>
    <t>Necromancer Lord</t>
  </si>
  <si>
    <t>Necrovirus</t>
  </si>
  <si>
    <t>New Dawn</t>
  </si>
  <si>
    <t>No Escape</t>
  </si>
  <si>
    <t>Noble Martyr</t>
  </si>
  <si>
    <t>Noble Unicorn</t>
  </si>
  <si>
    <t>Ogre Mercenary</t>
  </si>
  <si>
    <t>Owl Familiar</t>
  </si>
  <si>
    <t>Pack Alpha</t>
  </si>
  <si>
    <t>Palace Guard</t>
  </si>
  <si>
    <t>Paros, Rebel Leader</t>
  </si>
  <si>
    <t>Plague</t>
  </si>
  <si>
    <t>Plague Zombies</t>
  </si>
  <si>
    <t>Plentiful Dead</t>
  </si>
  <si>
    <t>Priest of Kalnor</t>
  </si>
  <si>
    <t>Priestess of Angeline</t>
  </si>
  <si>
    <t>Psionic Assault</t>
  </si>
  <si>
    <t>Pyromancer</t>
  </si>
  <si>
    <t>Pyrosaur</t>
  </si>
  <si>
    <t>Quell</t>
  </si>
  <si>
    <t>Rabble Rouser</t>
  </si>
  <si>
    <t>Rage</t>
  </si>
  <si>
    <t>Raging T-Rex</t>
  </si>
  <si>
    <t>Rain of Fire</t>
  </si>
  <si>
    <t>Rally the People</t>
  </si>
  <si>
    <t>Rampaging Wurm</t>
  </si>
  <si>
    <t>Raxxa's Curse</t>
  </si>
  <si>
    <t>Raxxa's Displeasure</t>
  </si>
  <si>
    <t>Raxxa's Enforcer</t>
  </si>
  <si>
    <t>Raxxa, Demon Tyrant</t>
  </si>
  <si>
    <t>Reap or Sow</t>
  </si>
  <si>
    <t>Reaper</t>
  </si>
  <si>
    <t>Rescue Griffin</t>
  </si>
  <si>
    <t>Reset</t>
  </si>
  <si>
    <t>Resurrection</t>
  </si>
  <si>
    <t>Reusable Knowledge</t>
  </si>
  <si>
    <t>Revolt</t>
  </si>
  <si>
    <t>Rift Summoner</t>
  </si>
  <si>
    <t>Ritual Sacrifice</t>
  </si>
  <si>
    <t>Royal Escort</t>
  </si>
  <si>
    <t>Run Riot</t>
  </si>
  <si>
    <t>Rybas, Canopy Sniper</t>
  </si>
  <si>
    <t>Saren, Night Stalker</t>
  </si>
  <si>
    <t>Savage Uprising</t>
  </si>
  <si>
    <t>Scara's Gift</t>
  </si>
  <si>
    <t>Scara's Will</t>
  </si>
  <si>
    <t>Scara, Weaver of Sorrow</t>
  </si>
  <si>
    <t>Scarred Cultist</t>
  </si>
  <si>
    <t>Scarred Priestess</t>
  </si>
  <si>
    <t>Scarros, Hound of Draka</t>
  </si>
  <si>
    <t>Scrap Golem</t>
  </si>
  <si>
    <t>Sea Hydra</t>
  </si>
  <si>
    <t>Sea Titan</t>
  </si>
  <si>
    <t>Searing Blast</t>
  </si>
  <si>
    <t>Second Wind</t>
  </si>
  <si>
    <t>Secret Legion</t>
  </si>
  <si>
    <t>Shadow Imp</t>
  </si>
  <si>
    <t>Silver Dragon</t>
  </si>
  <si>
    <t>Silver Wing Guardian</t>
  </si>
  <si>
    <t>Silver Wing Lancer</t>
  </si>
  <si>
    <t>Silver Wing Savior</t>
  </si>
  <si>
    <t>Siren's Song</t>
  </si>
  <si>
    <t>Smash and Burn</t>
  </si>
  <si>
    <t>Soul Hunter</t>
  </si>
  <si>
    <t>Spawning Demon</t>
  </si>
  <si>
    <t>Spike Trap</t>
  </si>
  <si>
    <t>Spite</t>
  </si>
  <si>
    <t>Spore Beast</t>
  </si>
  <si>
    <t>Stampeding Einiosaurus</t>
  </si>
  <si>
    <t>Stand Alone</t>
  </si>
  <si>
    <t>Standard Bearer</t>
  </si>
  <si>
    <t>Steed of Zaltessa</t>
  </si>
  <si>
    <t>Steel Golem</t>
  </si>
  <si>
    <t>Steel Titan</t>
  </si>
  <si>
    <t>Strafing Dragon</t>
  </si>
  <si>
    <t>Succubus</t>
  </si>
  <si>
    <t>Surprise Attack</t>
  </si>
  <si>
    <t>Teleport</t>
  </si>
  <si>
    <t>Temporal Enforcer</t>
  </si>
  <si>
    <t>Temporal Shift</t>
  </si>
  <si>
    <t>The Gudgeon</t>
  </si>
  <si>
    <t>The People's Champion</t>
  </si>
  <si>
    <t>The Risen</t>
  </si>
  <si>
    <t>Thought Plucker</t>
  </si>
  <si>
    <t>Thrasher Demon</t>
  </si>
  <si>
    <t>Thundarus</t>
  </si>
  <si>
    <t>Time Bender</t>
  </si>
  <si>
    <t>Time Master</t>
  </si>
  <si>
    <t>Time Walker</t>
  </si>
  <si>
    <t>Transform</t>
  </si>
  <si>
    <t>Triceratops</t>
  </si>
  <si>
    <t>Trihorror</t>
  </si>
  <si>
    <t>Turn</t>
  </si>
  <si>
    <t>Unquenchable Thirst</t>
  </si>
  <si>
    <t>Urgent Messengers</t>
  </si>
  <si>
    <t>Vampire Lord</t>
  </si>
  <si>
    <t>Vanishing</t>
  </si>
  <si>
    <t>Velden, Frost Titan</t>
  </si>
  <si>
    <t>Village Protector</t>
  </si>
  <si>
    <t>Vital Mission</t>
  </si>
  <si>
    <t>War Machine</t>
  </si>
  <si>
    <t>Warrior Angel</t>
  </si>
  <si>
    <t>Warrior Golem</t>
  </si>
  <si>
    <t>Watchful Gargoyle</t>
  </si>
  <si>
    <t>Wave of Transformation</t>
  </si>
  <si>
    <t>White Dragon</t>
  </si>
  <si>
    <t>White Knight</t>
  </si>
  <si>
    <t>Winds of Change</t>
  </si>
  <si>
    <t>Winged Death</t>
  </si>
  <si>
    <t>Winter Fairy</t>
  </si>
  <si>
    <t>Wither</t>
  </si>
  <si>
    <t>Wolf Companion</t>
  </si>
  <si>
    <t>Wolf Token</t>
  </si>
  <si>
    <t>Wolf's Call</t>
  </si>
  <si>
    <t>Wolf's Bite</t>
  </si>
  <si>
    <t>Word of Summoning</t>
  </si>
  <si>
    <t>Wurm Hatchling</t>
  </si>
  <si>
    <t>Zaltessa, the Huntress</t>
  </si>
  <si>
    <t>Zannos, Corpse Lord</t>
  </si>
  <si>
    <t>Zealous Necromancer</t>
  </si>
  <si>
    <t>Zombie Apocalypse</t>
  </si>
  <si>
    <t>Zombie Token</t>
  </si>
  <si>
    <t>WILD</t>
  </si>
  <si>
    <t>SAGE</t>
  </si>
  <si>
    <t>GOOD</t>
  </si>
  <si>
    <t>EVIL</t>
  </si>
  <si>
    <t>EVENT</t>
  </si>
  <si>
    <t>CHAMPION</t>
  </si>
  <si>
    <t>DEITY</t>
  </si>
  <si>
    <t>TOKEN CHAMPION</t>
  </si>
  <si>
    <t>Deal 5 damage to a target.</t>
  </si>
  <si>
    <t>Blitz ◆ Unblockable</t>
  </si>
  <si>
    <t>Put three human tokens into play. Your human champions gain blitz this turn. Your good champions get +2 {offense} this turn. Draw a card.</t>
  </si>
  <si>
    <t>Banish target player's discard pile.</t>
  </si>
  <si>
    <t>Draw two cards.</t>
  </si>
  <si>
    <t>Airborne ◆ Ambush</t>
  </si>
  <si>
    <t>Target champion gains airborne, +2 {offense} and +2 {defense} this turn.</t>
  </si>
  <si>
    <t>Gain 10 health.</t>
  </si>
  <si>
    <t>{1}: Put a human token into play expended, then target champion and all other champions with the same name gain unbreakable, untargetable, and unbanishable this turn.</t>
  </si>
  <si>
    <t>Banish this card and any number of cards from your discard pile.</t>
  </si>
  <si>
    <t>Airborne ◆ Blitz ◆ Righteous</t>
  </si>
  <si>
    <t>Banish target champion.</t>
  </si>
  <si>
    <t>Your champions gain breakthrough, +3 {offense} and +3 {defense} this turn.</t>
  </si>
  <si>
    <t>Blitz ◆ Breakthrough</t>
  </si>
  <si>
    <t>Each opposing champion loses its powers and abilities this turn. (For example, they would lose airborne.)</t>
  </si>
  <si>
    <t>Ambush ◆ Blitz</t>
  </si>
  <si>
    <t>Unblockable by champions with {offense} less than this card’s {offense}.</t>
  </si>
  <si>
    <t>Put a human token into play.</t>
  </si>
  <si>
    <t>Ambush ◆ Unblockable</t>
  </si>
  <si>
    <t>Put two human tokens into play. Banish target champion with less {defense} than or equal to the number of humans you have in play.</t>
  </si>
  <si>
    <t>Loyalty X → For each card revealed, gain 2 health.</t>
  </si>
  <si>
    <t>Deal 12 damage to target champion.</t>
  </si>
  <si>
    <t>Airborne ◆ Blitz</t>
  </si>
  <si>
    <t>Tribute → Recycle</t>
  </si>
  <si>
    <t>Deal 3 damage to target champion.</t>
  </si>
  <si>
    <t>Tribute → You may return target {1} champion card from your discard pile to your hand.</t>
  </si>
  <si>
    <t>Ambush ◆ Untargetable</t>
  </si>
  <si>
    <t>Loyalty 2 → Blitz</t>
  </si>
  <si>
    <t>If it is your turn, put 3 demon tokens into play. Otherwise, put 2 demon tokens into play.</t>
  </si>
  <si>
    <t>“With this blood, I summon you.”</t>
  </si>
  <si>
    <t>Break all champions. For each champion broken this way, its controller puts a demon token into play. Demons have blitz this turn.</t>
  </si>
  <si>
    <t>Deal 9 damage to target champion.</t>
  </si>
  <si>
    <t>Ambush ◆ Airborne</t>
  </si>
  <si>
    <t>Deal 5 damage to each champion and player.</t>
  </si>
  <si>
    <t>This card can't gain powers or abilities.</t>
  </si>
  <si>
    <t>Airborne ◆ Ambush ◆ Untargetable</t>
  </si>
  <si>
    <t>Airborne ◆ Ambush ◆ Blitz</t>
  </si>
  <si>
    <t>If it is your turn, break target damaged champion.</t>
  </si>
  <si>
    <t>Deal 3 damage to a target.</t>
  </si>
  <si>
    <t>{wild} → Deal 3 damage to a target.</t>
  </si>
  <si>
    <t>Tribute → Draw a card.</t>
  </si>
  <si>
    <t>Deal 7 damage to each opposing player.</t>
  </si>
  <si>
    <t>Deal 2 damage to a target.</t>
  </si>
  <si>
    <t>Deal 8 damage to a target.</t>
  </si>
  <si>
    <t>Deal 2 damage to each champion and player.</t>
  </si>
  <si>
    <t>Target champion gets +2 {offense} this turn.</t>
  </si>
  <si>
    <t>Deal 5 damage to each of up to two targets.</t>
  </si>
  <si>
    <t>Discard a card. Draw a card.</t>
  </si>
  <si>
    <t>Target champion gets -10 {offense} this turn.</t>
  </si>
  <si>
    <t>At the start of your turn → Either gain 10 health, or deal 6 damage to a target.</t>
  </si>
  <si>
    <t>{1}: Return target champion to its owner’s hand. If you are its owner, you may play an event from your hand without paying its cost. Otherwise, that player banishes a card from their hand.</t>
  </si>
  <si>
    <t>Loyalty 2 → Blitz</t>
  </si>
  <si>
    <t>Target champion gets +4 {offense} and +4 {defense} this turn.</t>
  </si>
  <si>
    <t>Airborne ◆ Blitz</t>
  </si>
  <si>
    <t>Ambush ◆ Blitz ◆ Breakthrough</t>
  </si>
  <si>
    <t>Airborne ◆ Ambush ◆ Blitz</t>
  </si>
  <si>
    <t>Deal 4 damage to each attacking champion without airborne.</t>
  </si>
  <si>
    <t>Return target attacking champion to its owner's hand. If it was attacking you and was unblocked, its controller draws a card.</t>
  </si>
  <si>
    <t>Gain 1 health for each champion card in target player's discard pile. Banish that discard pile.</t>
  </si>
  <si>
    <t>Tribute → Draw a card.</t>
  </si>
  <si>
    <t>At the start of your turn → Either expend all opposing champions, or put six human tokens into play and they gain blitz this turn.</t>
  </si>
  <si>
    <t>Airborne ◆ Righteous</t>
  </si>
  <si>
    <t>Blitz ◆ Breakthrough</t>
  </si>
  <si>
    <t>Small for a giant . I said he was small for a giant .</t>
  </si>
  <si>
    <t>They are the talons of the Silver Wing's claw.</t>
  </si>
  <si>
    <t>Put three wolf tokens into play.</t>
  </si>
  <si>
    <t>Ambush ◆ Airborne</t>
  </si>
  <si>
    <t>Airborne ◆ Ambush</t>
  </si>
  <si>
    <t>Tribute and/or {evil} → You may pay 1 health. If you do, put a demon token into play.</t>
  </si>
  <si>
    <t>Banish two cards from your discard pile. If they are both sage, draw two cards. Otherwise, draw a card.</t>
  </si>
  <si>
    <t>Put four human tokens into play.</t>
  </si>
  <si>
    <t>Breakthrough ◆ Blitz</t>
  </si>
  <si>
    <t>Target champion gains unbreakable and untargetable this turn.</t>
  </si>
  <si>
    <t>Ambush ◆ Blitz</t>
  </si>
  <si>
    <t>Tribute → Deal 13 damage to target champion.</t>
  </si>
  <si>
    <t>Tribute → Put two zombie tokens into play.</t>
  </si>
  <si>
    <t>Deal 1 damage to target champion. It gains breakthrough and +4 {offense} this turn.</t>
  </si>
  <si>
    <t>{1}: Put two +1 {offense} +1 {defense} counters on each of your champions. They gain blitz and breakthrough this turn.</t>
  </si>
  <si>
    <t>Deal 6 damage divided any way you choose to up to six targets.</t>
  </si>
  <si>
    <t>Deal 5 damage to target champion.</t>
  </si>
  <si>
    <t>At the start of your turn → Either return target champion to its owner’s hand and that player discards a card, or put two zombie tokens into play and gain 4 health.</t>
  </si>
  <si>
    <t>If an opponent causes you to discard this card, put it into play instead.</t>
  </si>
  <si>
    <t>Put five human tokens into play.</t>
  </si>
  <si>
    <t>Loyalty 2 → Put three zombie tokens into play.</t>
  </si>
  <si>
    <t>Break target champion. Each player puts a zombie token into play.</t>
  </si>
  <si>
    <t>Blitz ◆ Unbanishable</t>
  </si>
  <si>
    <t>Tribute → Recycle</t>
  </si>
  <si>
    <t>Tribute → You may banish target champion.</t>
  </si>
  <si>
    <t>Your other human champions have +1 {offense}.</t>
  </si>
  <si>
    <t>Deal 1 damage to target player and to each champion they control. Draw a card.</t>
  </si>
  <si>
    <t>Put three zombie tokens into play.</t>
  </si>
  <si>
    <t>Put a zombie token into play.</t>
  </si>
  <si>
    <t>Tribute → Gain 4 health.</t>
  </si>
  <si>
    <t>Target player discards two cards at the end of the turn.</t>
  </si>
  <si>
    <t>Banish all {0} champions. Draw a card.</t>
  </si>
  <si>
    <t>Target champion gains breakthrough, +4 {offense} and +4 {defense} this turn.</t>
  </si>
  <si>
    <t>Loyalty 2 → Draw two cards.</t>
  </si>
  <si>
    <t>Put a human token into play. Your champions get +1 {offense} this turn.</t>
  </si>
  <si>
    <t>Put a demon token into play, then break target {0} champion.</t>
  </si>
  <si>
    <t>Opposing champions have -3 {offense}.</t>
  </si>
  <si>
    <t>Loyalty 2 → Deal 2 damage to each opposing champion.</t>
  </si>
  <si>
    <t>Put four zombie tokens into play.</t>
  </si>
  <si>
    <t>Tribute and/or {evil} → You may break target champion. If you do, its controller puts a demon token into play.</t>
  </si>
  <si>
    <t>Draw a card, then you may return target event from your discard pile to hand.</t>
  </si>
  <si>
    <t>Deal 5 damage to target player. Draw a card.</t>
  </si>
  <si>
    <t>Deal 2 damage to target player. Gain 2 health.</t>
  </si>
  <si>
    <t>{1}: Put a champion from any discard pile into play under your control.</t>
  </si>
  <si>
    <t>Loyalty 2 → Return target {1} champion card from your discard pile to your hand.</t>
  </si>
  <si>
    <t>If this card entered play from your hand, it has Loyalty 2 → Blitz.</t>
  </si>
  <si>
    <t>Deal 7 damage to a target.</t>
  </si>
  <si>
    <t>Gain 5 health.</t>
  </si>
  <si>
    <t>Ambush ◆ Blitz ◆ Unblockable</t>
  </si>
  <si>
    <t>Airborne ◆ Ambush ◆ Righteous</t>
  </si>
  <si>
    <t>If it is your turn, gain control of target {0} champion. Expend that champion.</t>
  </si>
  <si>
    <t>Target champion gets +5 {offense} and +5 {defense} this turn. Draw two cards.</t>
  </si>
  <si>
    <t>When this card is broken → Deal 5 damage to target player.</t>
  </si>
  <si>
    <t>Deal 5 damage to each attacking champion.</t>
  </si>
  <si>
    <t>Lose any amount of health and deal twice that much damage to target champion.</t>
  </si>
  <si>
    <t>Draw a card.</t>
  </si>
  <si>
    <t>Remove target champion from play, then return it to play (as a new champion) under its owner's control, either expended or prepared with blitz.</t>
  </si>
  <si>
    <t>Remove target champion from play, then return it to play prepared (as a new champion) under its owner’s control. It gains blitz this turn. You may expend that champion. If you do, draw a card.</t>
  </si>
  <si>
    <t>Ambush ◆ Unblockable</t>
  </si>
  <si>
    <t>Return target champion to its owner's hand. That player banishes a card from their hand.</t>
  </si>
  <si>
    <t>Ambush ◆ Unblockable</t>
  </si>
  <si>
    <t>Airborne ◆ Unbanishable</t>
  </si>
  <si>
    <t>Loyalty 2 → Return all other champions to their owner's hands.</t>
  </si>
  <si>
    <t>Gain control of target champion this turn. Prepare it. It has blitz this turn.</t>
  </si>
  <si>
    <t>Banish X evil cards from your discard pile.</t>
  </si>
  <si>
    <t>If it is your turn, return target champion to its owner's hand.</t>
  </si>
  <si>
    <t>Banish target champion. Its controller gains health equal to its offense.</t>
  </si>
  <si>
    <t>Your champions gain breakthrough this turn. Put two +1 {offense} +1 {defense} counters on each of them.</t>
  </si>
  <si>
    <t>Deal 3 damage to target champion and all other champions with the same name.</t>
  </si>
  <si>
    <t>Target champion gets +2 {offense} +2 {defense} this turn.</t>
  </si>
  <si>
    <t>The eyes of the Huntress.</t>
  </si>
  <si>
    <t>Put four wolf tokens into play.</t>
  </si>
  <si>
    <t>Put a wolf token into play.</t>
  </si>
  <si>
    <t>Put a demon token into play.</t>
  </si>
  <si>
    <t>At the start of your turn → Either break target champion, or put four wolf tokens into play and they gain blitz this turn.</t>
  </si>
  <si>
    <t>Loyalty X → For each card revealed, each opponent loses 1 health, you gain 1 health, and you put a zombie token into play.</t>
  </si>
  <si>
    <t>Maligus did promise them life after death.</t>
  </si>
  <si>
    <t>{1}: This card gets +7 {offense} this turn.</t>
  </si>
  <si>
    <t>Loyalty 2 → Break all other champions.</t>
  </si>
  <si>
    <t>Tribute → Gain 5 health.</t>
  </si>
  <si>
    <t>At the start of your turn → You may put another good champion from your discard pile into play.</t>
  </si>
  <si>
    <t>At the start of your turn → Gain 5 health.</t>
  </si>
  <si>
    <t>Tribute → Target champion gains unbreakable and untargetable this turn.</t>
  </si>
  <si>
    <t>{1}: Draw two cards.</t>
  </si>
  <si>
    <t>If it’s your turn, banish target expended champion. If this is the first {1} card you’ve played this turn, gain {1} that may only be used to pay good costs.</t>
  </si>
  <si>
    <t>{good} → Put a human token into play, expended.</t>
  </si>
  <si>
    <t>Tribute → You may pay {1}. If you do, draw a card.</t>
  </si>
  <si>
    <t>If it is your turn, break all champions.</t>
  </si>
  <si>
    <t>For each card banished this way, reveal a card from the top of your deck. Put one of them into your hand and banish the rest.</t>
  </si>
  <si>
    <t>If it is your turn, each player returns all champions in their discard pile to play without triggering loyalty or tribute abilities.</t>
  </si>
  <si>
    <t>Tribute → Banish target champion that dealt damage to you this turn.</t>
  </si>
  <si>
    <t>While this card is expended, you cannot be attacked.</t>
  </si>
  <si>
    <t>The player whose turn it is draws a card.</t>
  </si>
  <si>
    <t>If it is an opponent's turn, draw two cards.</t>
  </si>
  <si>
    <t>Tribute → Your wild champions get +2 {offense} and +2 {defense} this turn.</t>
  </si>
  <si>
    <t>Break target champion. The player whose turn it is puts a zombie token into play.</t>
  </si>
  <si>
    <t>Tribute → Draw a card and deal 2 damage to a target.</t>
  </si>
  <si>
    <t>Tribute → Gain {1}. This may only be used to play wild cards and powers.</t>
  </si>
  <si>
    <t>Loyalty 2 → Draw a card. This card gains unbreakable this turn.</t>
  </si>
  <si>
    <t>Tribute → Target champion gets +3 {offense} this turn.</t>
  </si>
  <si>
    <t>Target champion gains unbreakable and +5 {offense} this turn.</t>
  </si>
  <si>
    <t>Tribute and/or when this card damages an opponent → Your wild champions get +3 {offense} and +3 {defense} this turn.</t>
  </si>
  <si>
    <t>(Attackers with breakthrough may assign excess damage to the defending player equal to their total {offense} minus the total {defense} of all blocking champions.)</t>
  </si>
  <si>
    <t>Champions cannot attack this turn. (The current attack, if any, is unaffected.)</t>
  </si>
  <si>
    <t>Tribute → If you have at least twice your starting health (at least 60 in a normal two-player game), you win the game.</t>
  </si>
  <si>
    <t>Your dinosaur champions get +2 {offense} and +2 {defense} this turn.</t>
  </si>
  <si>
    <t>When this card attacks → You may return target event card from your discard pile to your hand.</t>
  </si>
  <si>
    <t>When you draw a card → Put a +1 {offense} +1 {defense} counter on this card.</t>
  </si>
  <si>
    <t>You may banish all token champions.</t>
  </si>
  <si>
    <t>Gain 3 health.</t>
  </si>
  <si>
    <t>{expend}: Banish target card from any discard pile.</t>
  </si>
  <si>
    <t>{expend}: Banish a card in target player's discard pile. If you banish a champion in this way, gain 3 health.</t>
  </si>
  <si>
    <t>When this card attacks → Your champions get +2 {offense} this turn.</t>
  </si>
  <si>
    <t>Break this card: Draw two cards.</t>
  </si>
  <si>
    <t>{expend}: Break target champion.</t>
  </si>
  <si>
    <t>Unbreakable on your turn.</t>
  </si>
  <si>
    <t>Your other human champions have +1 {offense} and are also evil.</t>
  </si>
  <si>
    <t>Break target {1} champion you control. If you do, break up to two target champions.</t>
  </si>
  <si>
    <t>If it is your turn, break all non-evil champions.</t>
  </si>
  <si>
    <t>{expend}: Put a demon token into play.</t>
  </si>
  <si>
    <t>Your champions gain unblockable and +2 {offense} this turn.</t>
  </si>
  <si>
    <t>Tribute → Put three wolf tokens into play.</t>
  </si>
  <si>
    <t>If it is your turn, banish all champions.</t>
  </si>
  <si>
    <t>Tribute → Put three +1 {offense} +1 {defense} counters on this card.</t>
  </si>
  <si>
    <t>Gain 9 health.</t>
  </si>
  <si>
    <t>Loyalty 2 → Draw a card.</t>
  </si>
  <si>
    <t>If it is your turn, deal 5 damage to each opposing champion and draw a card.</t>
  </si>
  <si>
    <t>Tribute → Put a wolf token into play.</t>
  </si>
  <si>
    <t>(For example, it can't gain blitz or breakthrough.)</t>
  </si>
  <si>
    <t>Tribute and/or {wild} → Expend target champion.</t>
  </si>
  <si>
    <t>Return target champion to its owner's hand.</t>
  </si>
  <si>
    <t>This card has all alignments, even while it is in your hand, deck, or discard pile. (During deck construction, it is only sage.)</t>
  </si>
  <si>
    <t>Its bite feels real enough.</t>
  </si>
  <si>
    <t>Loyalty 2 and/or when this card attacks → Put a +1 {offense} +1 {defense} counter on this card.</t>
  </si>
  <si>
    <t>{expend}: Reveal the top card of target player's deck. You may play it (paying all costs). If you don't, banish it.</t>
  </si>
  <si>
    <t>Remove all of your attacking or blocking champions from battle and prepare them.</t>
  </si>
  <si>
    <t>Put a champion from any discard pile into play under your control. It gains blitz this turn. Break it at the end of the turn.</t>
  </si>
  <si>
    <t>She controls fire better than her temper.</t>
  </si>
  <si>
    <t>{wild} → Deal 4 damage to target champion.</t>
  </si>
  <si>
    <t>{1}: Deal 3 damage to target player and each champion they control.</t>
  </si>
  <si>
    <t>Deal 7 damage to each champion. Deal damage to each player equal to the number of their champions broken in this way.</t>
  </si>
  <si>
    <t>Each opposing champion gets -5 {offense} this turn. Draw a card.</t>
  </si>
  <si>
    <t>If it is your turn, it also gains unbreakable this turn.</t>
  </si>
  <si>
    <t>{expend}: Deal 2 damage to a target.</t>
  </si>
  <si>
    <t>Sometimes, lightning strikes twice.</t>
  </si>
  <si>
    <t>Tribute → Expend all champions target player controls.</t>
  </si>
  <si>
    <t>{sage} → Expend target champion.</t>
  </si>
  <si>
    <t>{sage} → This card gains unbreakable this turn.</t>
  </si>
  <si>
    <t>Your other good champions get +3 {offense}.</t>
  </si>
  <si>
    <t>Your good champions have righteous.</t>
  </si>
  <si>
    <t>Tribute → Banish target player's discard pile.</t>
  </si>
  <si>
    <t>Tribute → Your dinosaur champions get +3 {offense} and +3 {defense} this turn.</t>
  </si>
  <si>
    <t>Loyalty 2 → Deal 6 damage to a target.</t>
  </si>
  <si>
    <t>Tribute and/or when this attacks → You may banish target card in any discard pile.</t>
  </si>
  <si>
    <t>{good} → Recycle</t>
  </si>
  <si>
    <t>Put two zombie tokens into play expended.</t>
  </si>
  <si>
    <t>If it is your turn, return up to two target champions to their owner's hands and draw a card.</t>
  </si>
  <si>
    <t>Loyalty 2 → Gain control of target champion this turn. It gains blitz this turn.</t>
  </si>
  <si>
    <t>Tribute → Reveal the top three cards of your deck. You may choose a good card among them and put it into your hand. Banish the rest.</t>
  </si>
  <si>
    <t>Tribute → Reveal the top three cards of your deck. You may choose a wild card among them and put it into your hand. Banish the rest.</t>
  </si>
  <si>
    <t>Tribute → Reveal the top three cards of your deck. You may choose an evil card among them and put it into your hand. Banish the rest.</t>
  </si>
  <si>
    <t>Target a champion. You may deal 2 damage to it for each wolf you have in play.</t>
  </si>
  <si>
    <t>Tribute → You may break target champion with 2 {defense} or less.</t>
  </si>
  <si>
    <t>Deal 9 damage to each champion.</t>
  </si>
  <si>
    <t>Loyalty 2 → Expend all champions target player controls.</t>
  </si>
  <si>
    <t>Banish all non-token champions. If it's an opponent's turn, they draw a card.</t>
  </si>
  <si>
    <t>Break target champion. The player whose turn it is puts a demon token into play.</t>
  </si>
  <si>
    <t>Your human tokens gain blitz, unbreakable, and +1 {offense} this turn.</t>
  </si>
  <si>
    <t>Loyalty 2 → Draw a card.</t>
  </si>
  <si>
    <t>Your other wild champions have +1 {offense} and +1 {defense}.</t>
  </si>
  <si>
    <t>Draw a card. Your {0} champions gain righteous, +3 {offense} and +3 {defense} this turn.</t>
  </si>
  <si>
    <t>Opponents cannot gain health.</t>
  </si>
  <si>
    <t>{sage} → Recycle</t>
  </si>
  <si>
    <t>Your wolf tokens have blitz, +1 {offense} and +1 {defense}.</t>
  </si>
  <si>
    <t>Tribute → Draw a card. Each opponent discards a card.</t>
  </si>
  <si>
    <t>Tribute → You may banish target evil token champion.</t>
  </si>
  <si>
    <t>(Tribute means when this card comes into play, you gain the effect.)</t>
  </si>
  <si>
    <t>{evil} → Put a zombie token into play. Your zombie tokens gain blitz, +1 {offense} and +1 {defense} this turn.</t>
  </si>
  <si>
    <t>Target champion gets +5 {offense} and +5 {defense} this turn. If this is the first {1} card you’ve played this turn, gain {1} that may only be used to pay for wild costs.</t>
  </si>
  <si>
    <t>{wild} → Deal 1 damage to a target.</t>
  </si>
  <si>
    <t>Play an event from your discard pile without paying its cost, then banish it and this card.</t>
  </si>
  <si>
    <t>They plucked men right off the walls, until Markus issued every man a bow.</t>
  </si>
  <si>
    <t>Tribute and/or {good} → This card gains unbreakable and +8 {offense} this turn.</t>
  </si>
  <si>
    <t>(Cards with ambush may be played any time you can play an event.)</t>
  </si>
  <si>
    <t>If a champion is attacking alone, banish it.</t>
  </si>
  <si>
    <t>Tribute → You may banish up to three target token champions.</t>
  </si>
  <si>
    <t>Banish all champions.</t>
  </si>
  <si>
    <t>{sage} → Prepare this card.</t>
  </si>
  <si>
    <t>When this card attacks or blocks → This card gains unbreakable this turn.</t>
  </si>
  <si>
    <t>Loyalty 2 → Break target champion.</t>
  </si>
  <si>
    <t>Tribute → You may return target event card from your discard pile to your hand.</t>
  </si>
  <si>
    <t>Target champion gains unbreakable and +10 {offense} this turn.</t>
  </si>
  <si>
    <t>Tribute → Reveal the top 5 cards of your deck. You may choose a champion card among them and put it into play. Banish the rest.</t>
  </si>
  <si>
    <t>{expend}: Break target champion, then put a zombie token into play under your control.</t>
  </si>
  <si>
    <t>At the start of your turn → You may draw a card.</t>
  </si>
  <si>
    <t>"So that's why Draka hasn't claimed this forest..." - Sergeant Coons</t>
  </si>
  <si>
    <t>{expend}: Banish target card from any discard pile. If that card is a champion, put a zombie token into play.</t>
  </si>
  <si>
    <t>{expend}: Banish target card from any discard pile. If that card is a champion, you put a zombie token into play.</t>
  </si>
  <si>
    <t>{expend}: Put target champion from any discard pile into play under your control.</t>
  </si>
  <si>
    <t>If it is your turn, banish all champions, then, starting with you, each player may put a champion from their hand into play.</t>
  </si>
  <si>
    <t>If it is your turn, banish all champions and then (starting with you) each player may put a champion from their hand into play.</t>
  </si>
  <si>
    <t>Break target champion. The player whose turn it is may return a champion card from their discard pile to their hand.</t>
  </si>
  <si>
    <t>Tribute and/or {good} → Draw a card.</t>
  </si>
  <si>
    <t>Ogres' skill at battle is matched only by their love of coin.</t>
  </si>
  <si>
    <t>Tribute → You may return target {1} event card from your discard pile to your hand.</t>
  </si>
  <si>
    <t>"None shall pass."</t>
  </si>
  <si>
    <t>Tribute and/or {good} → Put a human token into play.</t>
  </si>
  <si>
    <t>This turn, your zombie tokens gain blitz and "When this card is broken → Deal 2 damage to target player."</t>
  </si>
  <si>
    <t>Loyalty 2 → Target champion gains unbreakable and untargetable this turn.</t>
  </si>
  <si>
    <t>{good} → Gain 3 health.</t>
  </si>
  <si>
    <t>Tribute → Deal 4 damage to a target.</t>
  </si>
  <si>
    <t>Tribute and/or when this card attacks → Deal 2 damage to each opposing champion and player.</t>
  </si>
  <si>
    <t>If it is your turn, banish all {1} champions.</t>
  </si>
  <si>
    <t>{expend}: Put a human token into play, then double the number of your human tokens.</t>
  </si>
  <si>
    <t>This card must attack each turn if able.</t>
  </si>
  <si>
    <t>Choose three targets. Deal 3 damage to the first, 4 damage to the second, and 5 damage to the third.</t>
  </si>
  <si>
    <t>(Blitz champions may attack or use expend powers the turn they enter play.)</t>
  </si>
  <si>
    <t>If it is your turn, break all non-demon champions.</t>
  </si>
  <si>
    <t>Tribute → Deal 3 damage to each opposing champion.</t>
  </si>
  <si>
    <t>Tribute → Put two demon tokens into play.</t>
  </si>
  <si>
    <t>When you near the walls of Covenant, you come under their protection.</t>
  </si>
  <si>
    <t>Return each champion to its owner's hand.</t>
  </si>
  <si>
    <t>Target a champion card in your discard pile that was broken this turn. Return it to play.</t>
  </si>
  <si>
    <t>It isn't surprising that he keeps using the same spells, given how effective they are.</t>
  </si>
  <si>
    <t>It has blitz this turn.</t>
  </si>
  <si>
    <t>Loyalty 2 → Put a demon token into play.</t>
  </si>
  <si>
    <t>Break target champion. The player whose turn it is gains health equal to its {defense}.</t>
  </si>
  <si>
    <t>Tribute and/or {good} → Gain 3 health.</t>
  </si>
  <si>
    <t>If it is your turn, you may break target champion and your evil champions get +3 {offense} and +3 {defense} this turn.</t>
  </si>
  <si>
    <t>{expend}: Deal 3 damage to a target.</t>
  </si>
  <si>
    <t>Unbreakable on your turn.</t>
  </si>
  <si>
    <t>Deal 9 damage to each {1} champion.</t>
  </si>
  <si>
    <t>If it is your turn, target player breaks a champion they control if able. If this is the first {1} card you’ve played this turn, gain {1} that may only be used to pay evil costs.</t>
  </si>
  <si>
    <t>{evil} → You may pay 1 health. If you do, put a zombie token into play, expended.</t>
  </si>
  <si>
    <t>They show their devotion with each mark on their skin.</t>
  </si>
  <si>
    <t>{evil} → Prepare this card.</t>
  </si>
  <si>
    <t>Loyalty X → For each card revealed, you may return a target opposing champion to its owner's hand.</t>
  </si>
  <si>
    <t>{expend}, Banish a card from your discard pile: Put a token champion into play that is a copy of this card.</t>
  </si>
  <si>
    <t>{expend}, Banish a card from your discard pile: Put a scrap token into play.</t>
  </si>
  <si>
    <t>At the end of each turn → Put a +1 {offense} +1 {defense} counter on this card for each point of damage it took this turn.</t>
  </si>
  <si>
    <t>Tribute → Return target champion to its owner's hand.</t>
  </si>
  <si>
    <t>Any player damaged by this card cannot gain health this turn.</t>
  </si>
  <si>
    <t>Put six human tokens into play.</t>
  </si>
  <si>
    <t>{sage} → You may return this card to your hand.</t>
  </si>
  <si>
    <t>Tribute → Draw a card. You may banish up to three target token champions.</t>
  </si>
  <si>
    <t>Unblockable by champions with {offense} less than this card’s {offense}.</t>
  </si>
  <si>
    <t>Tribute → You may return a good card from your discard pile to your hand.</t>
  </si>
  <si>
    <t>{evil} → You may pay 1 health. If you do, put a demon token into play.</t>
  </si>
  <si>
    <t>“I’d get out of the way if I were you!”</t>
  </si>
  <si>
    <t>Starting with you, each player chooses a champion they control. Break all other champions.</t>
  </si>
  <si>
    <t>Tribute → Put 2 human tokens into play.</t>
  </si>
  <si>
    <t>Loyalty 2 → Deal 5 damage to target player.</t>
  </si>
  <si>
    <t>Loyalty 2 → Deal 5 damage to a target.</t>
  </si>
  <si>
    <t>You may put a champion from your hand into play.</t>
  </si>
  <si>
    <t>Loyalty 2 → You may return target champion to its owner's hand.</t>
  </si>
  <si>
    <t>Tribute → Draw two cards.</t>
  </si>
  <si>
    <t>Tribute and/or {good} → Put two human tokens into play.</t>
  </si>
  <si>
    <t>Your evil champions gain blitz, +1 {offense} and +1 {defense} this turn.</t>
  </si>
  <si>
    <t>Tribute → Target opponent discards a card and you draw a card.</t>
  </si>
  <si>
    <t>Break any champion damaged by this card.</t>
  </si>
  <si>
    <t>Your other dragons have +5 {offense} and +5 {defense}.</t>
  </si>
  <si>
    <t>{expend}: Draw a card.</t>
  </si>
  <si>
    <t>("Loyalty 2" means when this card comes into play, if you reveal two cards of the same alignment as this card, you gain the effect.)</t>
  </si>
  <si>
    <t>Transform target champion into a wolf token.</t>
  </si>
  <si>
    <t>When this card is broken → Put three demon tokens into play.</t>
  </si>
  <si>
    <t>If it is your turn, gain control of target champion.</t>
  </si>
  <si>
    <t>Deal X+1 damage to target champion.</t>
  </si>
  <si>
    <t>Put two human tokens into play.</t>
  </si>
  <si>
    <t>If you were the champion's controller, draw two cards.</t>
  </si>
  <si>
    <t>Tribute → Banish all opposing {0} champions.</t>
  </si>
  <si>
    <t>When this card attacks → You may banish target evil token champion.</t>
  </si>
  <si>
    <t>When this card goes into your discard pile from anywhere → Recycle.</t>
  </si>
  <si>
    <t>Transform each champion into a wolf token.</t>
  </si>
  <si>
    <t>Tribute → If you played a {1} good card this turn, recycle.</t>
  </si>
  <si>
    <t>Target champion gains breakthrough this turn. Put five +1 {offense} +1 {defense} counters on it. Draw a card.</t>
  </si>
  <si>
    <t>Tribute and/or when this card damages a player → Each opponent must break a champion they control if able.</t>
  </si>
  <si>
    <t>Champions damaged by this card get -3 {offense} this turn.</t>
  </si>
  <si>
    <t>Your wolf champions gain blitz this turn.</t>
  </si>
  <si>
    <t>Deal 2 damage to target champion.</t>
  </si>
  <si>
    <t>{wild} → Put two +1 {offense} +1 {defense} counters on this card.</t>
  </si>
  <si>
    <t>Break all champions, then each player puts a zombie token into play for each champion in their discard pile.</t>
  </si>
  <si>
    <t>(Airborne champions can only be blocked by other airborne champions.)</t>
  </si>
  <si>
    <t>Loyalty 2 → Gain 5 health.</t>
  </si>
  <si>
    <t>{sage} → Deal 2 damage to a target.</t>
  </si>
  <si>
    <t>"Yum."</t>
  </si>
  <si>
    <t>"Follow me!"</t>
  </si>
  <si>
    <t>{expend}: Put a human token into play.</t>
  </si>
  <si>
    <t>When a wolf you control is broken → This card gains +3 {offense} and +3 {defense} this turn.</t>
  </si>
  <si>
    <t>{expend}, Remove a counter from this card: Draw a card.</t>
  </si>
  <si>
    <t>Draka does not negotiate.</t>
  </si>
  <si>
    <t>When this card attacks → Deal 3 damage to each of the defending player's champions.</t>
  </si>
  <si>
    <t>When another champion is broken → If this card is in play, you gain 2 health and each opponent loses 2 health.</t>
  </si>
  <si>
    <t>{expend}: Transform target champion into a wolf token. (Put it on the bottom of its owner's deck. Its controller puts a wolf token into play.)</t>
  </si>
  <si>
    <t>Remove two counters from this card: Gain control of target champion.</t>
  </si>
  <si>
    <t>When this champion attacks or blocks → One of your human champions may gain airborne this turn and attack or block with this card.</t>
  </si>
  <si>
    <t>"Well done." - Shahara, fire shaman</t>
  </si>
  <si>
    <t>Deal 7 damage to target champion.</t>
  </si>
  <si>
    <t>Each opposing champion gets -10 {offense} this turn.</t>
  </si>
  <si>
    <t>The player whose turn it is puts two human tokens into play.</t>
  </si>
  <si>
    <t>When the city is under siege by demons, you need answers fast.</t>
  </si>
  <si>
    <t>Winter has come.</t>
  </si>
  <si>
    <t>If it is your turn, return target champion to its owner’s hand. If this is the first {1} card you’ve played this turn, gain {1} that may only be used to pay sage costs.</t>
  </si>
  <si>
    <t>“I could build something to stop it, but why?” - Gareth</t>
  </si>
  <si>
    <t>{expend}: Put three human tokens into play.</t>
  </si>
  <si>
    <t>(When a righteous champion deals damage, its controller gains that much health.)</t>
  </si>
  <si>
    <t>Even dragons avoid flying too close.</t>
  </si>
  <si>
    <t>Angeline is the patron of warriors and angels. Her chosen hand is both.</t>
  </si>
  <si>
    <t>Your other good champions have +2 {offense}.</t>
  </si>
  <si>
    <t>{expend}: Deal 2 damage to each of up to two targets.</t>
  </si>
  <si>
    <t>{expend}: Banish target champion.</t>
  </si>
  <si>
    <t>{expend}: Deal 4 damage to a target.</t>
  </si>
  <si>
    <t>You may play wild champions as if they had ambush.</t>
  </si>
  <si>
    <t>Some say woodreaders read the future, others say they shape it.</t>
  </si>
  <si>
    <t>{expend}: Banish a card from target player's discard pile.</t>
  </si>
  <si>
    <t>Tribute → Put two wolf tokens into play.</t>
  </si>
  <si>
    <t>When this card is blocked → Transform each blocking non-wolf champion into a wolf token.</t>
  </si>
  <si>
    <t>Helion's servant; your nightmare.</t>
  </si>
  <si>
    <t>This card must be blocked if able.</t>
  </si>
  <si>
    <t>If it is an opponent's turn, that player puts four human tokens into play.</t>
  </si>
  <si>
    <t>{expend): Deal 2 damage to each of up to two targets.</t>
  </si>
  <si>
    <t>{expend}: Put two wolf tokens into play.</t>
  </si>
  <si>
    <t>{1}: Deal 4 damage to a target.</t>
  </si>
  <si>
    <t>Your demon tokens have +2 {offense} and +2 {defense}.</t>
  </si>
  <si>
    <t>Your good champions get +2 {offense} this turn.</t>
  </si>
  <si>
    <t>{expend}, Break a champion you control: Put two demon tokens into play.</t>
  </si>
  <si>
    <t>Your champions not named Royal Escort have untargetable.</t>
  </si>
  <si>
    <t>The forest’s first line of defense.</t>
  </si>
  <si>
    <t>"Raxxa attacks the city at dawn. We attack the survivors at dusk!"</t>
  </si>
  <si>
    <t>{expend}, Break a champion you control: Break target champion.</t>
  </si>
  <si>
    <t>Tidal waves signal their approach.</t>
  </si>
  <si>
    <t>"Pledge your sword to Angeline and she will grant you strength."</t>
  </si>
  <si>
    <t>Your human champions gain blitz this turn.</t>
  </si>
  <si>
    <t>Those who serve Angeline also serve those under her protection.</t>
  </si>
  <si>
    <t>(To recycle, you may banish two cards from your discard pile. If you do, draw a card.)</t>
  </si>
  <si>
    <t>{expend}: Remove another target champion from combat. (It remains expended or flipped.)</t>
  </si>
  <si>
    <t>When this card deals damage to a player → They cannot gain health this turn.</t>
  </si>
  <si>
    <t>(While in play, untargetable cards cannot be selected as a "target" by any player.)</t>
  </si>
  <si>
    <t>{sage} → You may return target {0} champion to its owner's hand.</t>
  </si>
  <si>
    <t>Some doors should not be opened.</t>
  </si>
  <si>
    <t>You are untargetable.</t>
  </si>
  <si>
    <t>When this card damages a player → That player discards a card and you draw a card.</t>
  </si>
  <si>
    <t>When this card attacks → Put two +1 {offense} +1 {defense} counters on it.</t>
  </si>
  <si>
    <t>Dragon Lord of the North.</t>
  </si>
  <si>
    <t>{expend}: Banish target {0} champion.</t>
  </si>
  <si>
    <t>{expend}: Gain {1}.</t>
  </si>
  <si>
    <t>(Put it on the bottom of its owner’s deck. Its controller puts a wolf token into play.)</t>
  </si>
  <si>
    <t>Gain X+1 health.</t>
  </si>
  <si>
    <t>"Good news never comes this fast." - Markus, Watch Captain</t>
  </si>
  <si>
    <t>When this card deals damage → Put two +1 {offense} +1 {defense} counters on this card.</t>
  </si>
  <si>
    <t>(This card received errata in November 2015.)</t>
  </si>
  <si>
    <t>{expend}: Break target evil champion.</t>
  </si>
  <si>
    <t>When this card damages an opponent and/or is broken → Draw a card.</t>
  </si>
  <si>
    <t>When another non-zombie champion is broken → If this card is still in play, put a zombie token into play.</t>
  </si>
  <si>
    <t>{expend}: Put two human tokens into play.</t>
  </si>
  <si>
    <t>{expend}: Banish target good champion.</t>
  </si>
  <si>
    <t>(This card received clarifying errata on October 15th 2015.)</t>
  </si>
  <si>
    <t>{expend}: Return target champion to its owner's hand.</t>
  </si>
  <si>
    <t>{wild} → Recall</t>
  </si>
  <si>
    <t>{1}: Recall</t>
  </si>
  <si>
    <t>{good} → Recall</t>
  </si>
  <si>
    <t>Break a champion you control: Recall</t>
  </si>
  <si>
    <t>{evil} → You may break a champion you control. If you do, Recall.</t>
  </si>
  <si>
    <t>{evil} → You may banish this card from your discard pile. If you do, put three zombie tokens into play.</t>
  </si>
  <si>
    <t>{good} → You may banish this card from your discard pile. If you do, put five human tokens into play.</t>
  </si>
  <si>
    <t>{evil} → You may pay 1 health. If you do, recall.</t>
  </si>
  <si>
    <t>{sage} → Recall</t>
  </si>
  <si>
    <t>{evil} → You may banish two other cards in your discard pile. If you do, Recall.</t>
  </si>
  <si>
    <t>{1}: Recall</t>
  </si>
  <si>
    <t>{wild} → You may banish this card from your discard pile. If you do, deal 6 damage to target champion.</t>
  </si>
  <si>
    <t>If this card is in your discard pile at the start of your turn → Return it to play.</t>
  </si>
  <si>
    <t>When this card leaves your discard pile → Deal 2 damage each opponent.</t>
  </si>
  <si>
    <t>When this card leaves your discard pile → Draw a card.</t>
  </si>
  <si>
    <t>(Recall means return this card to your hand from your discard pile.)</t>
  </si>
  <si>
    <t>When you recall this card → Lose 1 health.</t>
  </si>
  <si>
    <t>When this card leaves your discard pile → Put a demon token into play.</t>
  </si>
  <si>
    <t>When this card leaves your discard pile → Put a wolf token into play.</t>
  </si>
  <si>
    <t>None</t>
  </si>
  <si>
    <t>HUMAN</t>
  </si>
  <si>
    <t>ANGEL</t>
  </si>
  <si>
    <t>Goddess</t>
  </si>
  <si>
    <t>DINOSAUR</t>
  </si>
  <si>
    <t>MINOTAUR</t>
  </si>
  <si>
    <t>ZOMBIE</t>
  </si>
  <si>
    <t>DRAGON</t>
  </si>
  <si>
    <t>ELF</t>
  </si>
  <si>
    <t>WURM</t>
  </si>
  <si>
    <t>TROLL</t>
  </si>
  <si>
    <t>BIRD</t>
  </si>
  <si>
    <t>HUMAN MAGE</t>
  </si>
  <si>
    <t>CONSTRUCT</t>
  </si>
  <si>
    <t>VAMPIRE KNIGHT</t>
  </si>
  <si>
    <t>DEVIL</t>
  </si>
  <si>
    <t>DEMON</t>
  </si>
  <si>
    <t>DEMON TOKEN</t>
  </si>
  <si>
    <t>WOLF</t>
  </si>
  <si>
    <t>DJINN</t>
  </si>
  <si>
    <t>DRAGON TYRANT</t>
  </si>
  <si>
    <t>VAMPIRE</t>
  </si>
  <si>
    <t>PLANT</t>
  </si>
  <si>
    <t>DRAGON SPIRIT</t>
  </si>
  <si>
    <t>FAIRY</t>
  </si>
  <si>
    <t>PEGASUS</t>
  </si>
  <si>
    <t>SPIRIT</t>
  </si>
  <si>
    <t>GIANT</t>
  </si>
  <si>
    <t>Elder God</t>
  </si>
  <si>
    <t>God</t>
  </si>
  <si>
    <t>Elder Goddess</t>
  </si>
  <si>
    <t>TYRANT</t>
  </si>
  <si>
    <t>HUMAN TYRANT</t>
  </si>
  <si>
    <t>BEASTMAN</t>
  </si>
  <si>
    <t>HUMAN TOKEN</t>
  </si>
  <si>
    <t>HUMAN KNIGHT</t>
  </si>
  <si>
    <t>GIANT APE</t>
  </si>
  <si>
    <t>UNICORN</t>
  </si>
  <si>
    <t>OGRE</t>
  </si>
  <si>
    <t>DINOSAUR DRAGON</t>
  </si>
  <si>
    <t>DEMON TYRANT</t>
  </si>
  <si>
    <t>GRIFFIN</t>
  </si>
  <si>
    <t>HOUND</t>
  </si>
  <si>
    <t>HYDRA</t>
  </si>
  <si>
    <t>TITAN</t>
  </si>
  <si>
    <t>IMP</t>
  </si>
  <si>
    <t>HUMAN WIZARD</t>
  </si>
  <si>
    <t>GARGOYLE</t>
  </si>
  <si>
    <t>WOLF TOKEN</t>
  </si>
  <si>
    <t>ZOMBIE TOKEN</t>
  </si>
  <si>
    <t>Common</t>
  </si>
  <si>
    <t>Rare</t>
  </si>
  <si>
    <t>Jaan-Paul van Eeden</t>
  </si>
  <si>
    <t>Helder Almeida</t>
  </si>
  <si>
    <t>Apsara</t>
  </si>
  <si>
    <t>Antonis Papantoniou</t>
  </si>
  <si>
    <t>L.Sean</t>
  </si>
  <si>
    <t>Sarah McCulloch</t>
  </si>
  <si>
    <t>LEG Giordano</t>
  </si>
  <si>
    <t>Michele Frigo</t>
  </si>
  <si>
    <t>Andrey Palyanov</t>
  </si>
  <si>
    <t>David Gaillet</t>
  </si>
  <si>
    <t>Souveraine</t>
  </si>
  <si>
    <t>Grant Griffin</t>
  </si>
  <si>
    <t>Jaime Tayag</t>
  </si>
  <si>
    <t>Johnny Morrow</t>
  </si>
  <si>
    <t>Biagio D'Alessandro</t>
  </si>
  <si>
    <t>GiaLer Liew</t>
  </si>
  <si>
    <t>Hinkle/Silva Art</t>
  </si>
  <si>
    <t>Dimas Pamungkas</t>
  </si>
  <si>
    <t>Odysseas Stamoglou</t>
  </si>
  <si>
    <t>Michael J Williams</t>
  </si>
  <si>
    <t>Shen Fei</t>
  </si>
  <si>
    <t>Trevor Smith</t>
  </si>
  <si>
    <t>L. Sean</t>
  </si>
  <si>
    <t>David Nash</t>
  </si>
  <si>
    <t>Alexandre Honore</t>
  </si>
  <si>
    <t>Bramasta Aji</t>
  </si>
  <si>
    <t>Ksenia Kozhevnikova</t>
  </si>
  <si>
    <t>Michele Parisi</t>
  </si>
  <si>
    <t>Stephanie Böhm</t>
  </si>
  <si>
    <t>Ina Wong</t>
  </si>
  <si>
    <t>Melvin Chan</t>
  </si>
  <si>
    <t>Agri Karuniawan</t>
  </si>
  <si>
    <t>Gabriel Cassata</t>
  </si>
  <si>
    <t>Jean Paul van Eeden</t>
  </si>
  <si>
    <t>Dylan Safford</t>
  </si>
  <si>
    <t>Takashi Tan</t>
  </si>
  <si>
    <t>Olivier Bernard</t>
  </si>
  <si>
    <t>Daniel Dussault</t>
  </si>
  <si>
    <t>Gialer Liew</t>
  </si>
  <si>
    <t>Grzegorz Pedrycz</t>
  </si>
  <si>
    <t>Monztre</t>
  </si>
  <si>
    <t>Daniel Warren</t>
  </si>
  <si>
    <t>Dhennis Balontong</t>
  </si>
  <si>
    <t>Rainer Petter</t>
  </si>
  <si>
    <t>Christian Schob</t>
  </si>
  <si>
    <t>Nichole Balsley</t>
  </si>
  <si>
    <t>Ørjan Svendsen</t>
  </si>
  <si>
    <t>Jamie Tayag</t>
  </si>
  <si>
    <t>Evan SN</t>
  </si>
  <si>
    <t>Jean Baptiste Andrier</t>
  </si>
  <si>
    <t>Anna Lakisova</t>
  </si>
  <si>
    <t>Andres Agostini</t>
  </si>
  <si>
    <t>Lordigan Pedro Sena</t>
  </si>
  <si>
    <t>Jawad Tariq</t>
  </si>
  <si>
    <t>La Capitana</t>
  </si>
  <si>
    <t>Kickstarter Promo</t>
  </si>
  <si>
    <t>Pantheon: Helena vs Zaltessa</t>
  </si>
  <si>
    <t>Base Set</t>
  </si>
  <si>
    <t>Uprising: Velden's Wrath</t>
  </si>
  <si>
    <t>Pantheon: Angeline vs Scara</t>
  </si>
  <si>
    <t>Pantheon: Furios vs Maligus</t>
  </si>
  <si>
    <t>Tyrants: Helion's Deceit</t>
  </si>
  <si>
    <t>Tyrants: Markus' Command</t>
  </si>
  <si>
    <t>Uprising: Will of Zannos</t>
  </si>
  <si>
    <t>Tyrants: Draka's Rage</t>
  </si>
  <si>
    <t>Pantheon: Gareth vs Lashnok</t>
  </si>
  <si>
    <t>Uprising: Flames of Scarros</t>
  </si>
  <si>
    <t>Uprising: Kark's Edict</t>
  </si>
  <si>
    <t>Season 1 Promo</t>
  </si>
  <si>
    <t>Tyrants: Raxxa's Revenge</t>
  </si>
  <si>
    <t>http://www.epiccardgame.com/wp-content/uploads/2015/09/aftershock-215x300.jpg</t>
  </si>
  <si>
    <t>https://www.epiccardgame.com/wp-content/uploads/2017/11/PNH-EN-06-alchemist-assassin.jpg</t>
  </si>
  <si>
    <t>https://www.epiccardgame.com/wp-content/uploads/2017/11/PNH-EN-03-ambush-party.jpg</t>
  </si>
  <si>
    <t>http://www.epiccardgame.com/wp-content/uploads/2015/09/amnesia-215x300.jpg</t>
  </si>
  <si>
    <t>http://www.epiccardgame.com/wp-content/uploads/2015/09/ancient_chant-215x300.jpg</t>
  </si>
  <si>
    <t>http://www.epiccardgame.com/wp-content/uploads/2015/09/angel_of_death-215x300.jpg</t>
  </si>
  <si>
    <t>http://www.epiccardgame.com/wp-content/uploads/2015/09/angel_of_light-215x300.jpg</t>
  </si>
  <si>
    <t>http://www.epiccardgame.com/wp-content/uploads/2015/09/angel_of_mercy-215x300.jpg</t>
  </si>
  <si>
    <t>https://www.epiccardgame.com/wp-content/uploads/2017/11/UPV-EN-angel-of-the-gate.jpg</t>
  </si>
  <si>
    <t>http://www.epiccardgame.com/wp-content/uploads/2015/09/angelic_protector-215x300.jpg</t>
  </si>
  <si>
    <t>https://www.epiccardgame.com/wp-content/uploads/2017/11/PNA-EN-03-angeline-s-favor.jpg</t>
  </si>
  <si>
    <t>https://www.epiccardgame.com/wp-content/uploads/2017/11/PNF-EN-06-angeline-s-will.jpg</t>
  </si>
  <si>
    <t>https://www.epiccardgame.com/wp-content/uploads/2017/11/PNA-EN-01-angeline.jpg</t>
  </si>
  <si>
    <t>http://www.epiccardgame.com/wp-content/uploads/2016/03/ankylosaurus-214x300.jpg</t>
  </si>
  <si>
    <t>http://www.epiccardgame.com/wp-content/uploads/2015/09/apocalypse-215x300.jpg</t>
  </si>
  <si>
    <t>http://www.epiccardgame.com/wp-content/uploads/2016/03/arcane_research-214x300.jpg</t>
  </si>
  <si>
    <t>http://www.epiccardgame.com/wp-content/uploads/2015/09/army_of_the_apocalypse-215x300.jpg</t>
  </si>
  <si>
    <t>https://www.epiccardgame.com/wp-content/uploads/2017/11/UPZ-EN-avenger-of-covenant.jpg</t>
  </si>
  <si>
    <t>http://www.epiccardgame.com/wp-content/uploads/2015/09/avenging_angel-215x300.jpg</t>
  </si>
  <si>
    <t>http://www.epiccardgame.com/wp-content/uploads/2015/09/banishment-215x300.jpg</t>
  </si>
  <si>
    <t>http://www.epiccardgame.com/wp-content/uploads/2016/03/battle_cry-214x300.jpg</t>
  </si>
  <si>
    <t>http://www.epiccardgame.com/wp-content/uploads/2015/09/bellowing_minotaur-215x300.jpg</t>
  </si>
  <si>
    <t>http://www.epiccardgame.com/wp-content/uploads/2015/09/bitten-215x300.jpg</t>
  </si>
  <si>
    <t>http://www.epiccardgame.com/wp-content/uploads/2016/03/blind_faith-214x300.jpg</t>
  </si>
  <si>
    <t>http://www.epiccardgame.com/wp-content/uploads/2015/09/blue_dragon-215x300.jpg</t>
  </si>
  <si>
    <t>https://www.epiccardgame.com/wp-content/uploads/2017/11/UPZ-EN-bodyguard.jpg</t>
  </si>
  <si>
    <t>http://www.epiccardgame.com/wp-content/uploads/2016/03/brachiosaurus-214x300.jpg</t>
  </si>
  <si>
    <t>https://www.epiccardgame.com/wp-content/uploads/2017/11/PNG-EN-11-brak-fist-of-lashnok.jpg</t>
  </si>
  <si>
    <t>https://www.epiccardgame.com/wp-content/uploads/2017/11/UPS-EN-brand-rebel-fighter.jpg</t>
  </si>
  <si>
    <t>http://www.epiccardgame.com/wp-content/uploads/2015/09/brave_squire-215x300.jpg</t>
  </si>
  <si>
    <t>https://www.epiccardgame.com/wp-content/uploads/2017/11/PNH-EN-11-bruger-the-pathfinder.jpg</t>
  </si>
  <si>
    <t>http://www.epiccardgame.com/wp-content/uploads/2015/09/burrowing_wurm-215x300.jpg</t>
  </si>
  <si>
    <t>https://www.epiccardgame.com/wp-content/uploads/2017/11/PNH-EN-04-cast-out.jpg</t>
  </si>
  <si>
    <t>http://www.epiccardgame.com/wp-content/uploads/2015/09/cave_troll-215x300.jpg</t>
  </si>
  <si>
    <t>http://www.epiccardgame.com/wp-content/uploads/2015/09/ceasefire-215x300.jpg</t>
  </si>
  <si>
    <t>https://www.epiccardgame.com/wp-content/uploads/2017/11/UPK-EN-chamberlain-kark.jpg</t>
  </si>
  <si>
    <t>http://www.epiccardgame.com/wp-content/uploads/2015/09/chomp-215x300.jpg</t>
  </si>
  <si>
    <t>https://www.epiccardgame.com/wp-content/uploads/2017/11/UPZ-EN-citadel-raven.jpg</t>
  </si>
  <si>
    <t>https://www.epiccardgame.com/wp-content/uploads/2017/11/UPK-EN-citadel-scholar.jpg</t>
  </si>
  <si>
    <t>http://www.epiccardgame.com/wp-content/uploads/2015/09/cleansing_light-215x300.jpg</t>
  </si>
  <si>
    <t>https://www.epiccardgame.com/wp-content/uploads/2017/11/UPK-EN-consume.jpg</t>
  </si>
  <si>
    <t>http://www.epiccardgame.com/wp-content/uploads/2015/09/corpse_taker-215x300.jpg</t>
  </si>
  <si>
    <t>https://www.epiccardgame.com/wp-content/uploads/2017/11/UPZ-EN-corpsemonger.jpg</t>
  </si>
  <si>
    <t>http://www.epiccardgame.com/wp-content/uploads/2015/09/courageous_soul-215x300.jpg</t>
  </si>
  <si>
    <t>http://www.epiccardgame.com/wp-content/uploads/2015/09/crystal_golem-215x300.jpg</t>
  </si>
  <si>
    <t>http://www.epiccardgame.com/wp-content/uploads/2015/09/dark_assassin-215x300.jpg</t>
  </si>
  <si>
    <t>http://www.epiccardgame.com/wp-content/uploads/2015/09/dark_knight-215x300.jpg</t>
  </si>
  <si>
    <t>http://www.epiccardgame.com/wp-content/uploads/2015/09/dark_leader-215x300.jpg</t>
  </si>
  <si>
    <t>http://www.epiccardgame.com/wp-content/uploads/2016/03/dark_offering-214x300.jpg</t>
  </si>
  <si>
    <t>https://www.epiccardgame.com/wp-content/uploads/2017/11/PNF-EN-14-dark-one-s-fury.jpg</t>
  </si>
  <si>
    <t>http://www.epiccardgame.com/wp-content/uploads/2015/09/dark_prince-215x300.jpg</t>
  </si>
  <si>
    <t>http://www.epiccardgame.com/wp-content/uploads/2015/09/deadly_raid-215x300.jpg</t>
  </si>
  <si>
    <t>http://www.epiccardgame.com/wp-content/uploads/2015/09/demon_breach-215x300.jpg</t>
  </si>
  <si>
    <t>https://www.epiccardgame.com/wp-content/uploads/2017/11/PNG-EN-17-demon-token.jpg</t>
  </si>
  <si>
    <t>https://www.epiccardgame.com/wp-content/uploads/2017/11/UPV-EN-demonic-rising.jpg</t>
  </si>
  <si>
    <t>https://www.epiccardgame.com/wp-content/uploads/2017/11/UPV-EN-den-mother.jpg</t>
  </si>
  <si>
    <t>https://www.epiccardgame.com/wp-content/uploads/2017/11/PNH-EN-14-dirge-of-scara.jpg</t>
  </si>
  <si>
    <t>http://www.epiccardgame.com/wp-content/uploads/2015/09/divine_judgment-215x300.jpg</t>
  </si>
  <si>
    <t>http://www.epiccardgame.com/wp-content/uploads/2015/09/djinn_of_the_sands-215x300.jpg</t>
  </si>
  <si>
    <t>http://www.epiccardgame.com/wp-content/uploads/2015/09/drain_essence-215x300.jpg</t>
  </si>
  <si>
    <t>http://www.epiccardgame.com/wp-content/uploads/2016/03/drakas_enforcer-214x300.jpg</t>
  </si>
  <si>
    <t>http://www.epiccardgame.com/wp-content/uploads/2016/03/drakas_fire-214x300.jpg</t>
  </si>
  <si>
    <t>http://www.epiccardgame.com/wp-content/uploads/2016/03/draka_dragon_tyrant-214x300.jpg</t>
  </si>
  <si>
    <t>http://www.epiccardgame.com/wp-content/uploads/2015/09/drinker_of_blood-215x300.jpg</t>
  </si>
  <si>
    <t>http://www.epiccardgame.com/wp-content/uploads/2016/03/elara_the_lycomancer-214x300.jpg</t>
  </si>
  <si>
    <t>http://www.epiccardgame.com/wp-content/uploads/2015/09/elder_greatwurm-215x300.jpg</t>
  </si>
  <si>
    <t>https://www.epiccardgame.com/wp-content/uploads/2017/11/UPZ-EN-entangling-vines.jpg</t>
  </si>
  <si>
    <t>http://www.epiccardgame.com/wp-content/uploads/2015/09/erase-215x300.jpg</t>
  </si>
  <si>
    <t>https://www.epiccardgame.com/wp-content/uploads/2017/11/UPV-EN-erratic-research.jpg</t>
  </si>
  <si>
    <t>https://www.epiccardgame.com/wp-content/uploads/2017/11/PNF-EN-11-erwin-architect-of-war.jpg</t>
  </si>
  <si>
    <t>https://www.epiccardgame.com/wp-content/uploads/2017/11/PNF-EN-12-ethereal-dragon.jpg</t>
  </si>
  <si>
    <t>https://www.epiccardgame.com/wp-content/uploads/2017/11/PNG-EN-03-fairy-entrancer.jpg</t>
  </si>
  <si>
    <t>https://www.epiccardgame.com/wp-content/uploads/2017/11/UPK-EN-fairy-trickster.jpg</t>
  </si>
  <si>
    <t>http://www.epiccardgame.com/wp-content/uploads/2015/09/faithful_pegasus-215x300.jpg</t>
  </si>
  <si>
    <t>http://www.epiccardgame.com/wp-content/uploads/2016/03/feeding_frenzy-214x300.jpg</t>
  </si>
  <si>
    <t>http://www.epiccardgame.com/wp-content/uploads/2015/09/feint-215x300.jpg</t>
  </si>
  <si>
    <t>https://www.epiccardgame.com/wp-content/uploads/2017/11/PNF-EN-03-fiery-demise.jpg</t>
  </si>
  <si>
    <t>http://www.epiccardgame.com/wp-content/uploads/2015/09/final_task-215x300.jpg</t>
  </si>
  <si>
    <t>http://www.epiccardgame.com/wp-content/uploads/2015/09/fire_shaman-215x300.jpg</t>
  </si>
  <si>
    <t>http://www.epiccardgame.com/wp-content/uploads/2016/03/fire_spirit-214x300.jpg</t>
  </si>
  <si>
    <t>http://www.epiccardgame.com/wp-content/uploads/2015/09/fireball-215x300.jpg</t>
  </si>
  <si>
    <t>https://www.epiccardgame.com/wp-content/uploads/2017/11/UPK-EN-fires-of-rebellion.jpg</t>
  </si>
  <si>
    <t>https://www.epiccardgame.com/wp-content/uploads/2017/11/UPV-EN-flame-spike.jpg</t>
  </si>
  <si>
    <t>http://www.epiccardgame.com/wp-content/uploads/2015/09/flame_strike-215x300.jpg</t>
  </si>
  <si>
    <t>https://www.epiccardgame.com/wp-content/uploads/2017/11/PNA-EN-14-flames-of-furios.jpg</t>
  </si>
  <si>
    <t>http://www.epiccardgame.com/wp-content/uploads/2015/09/flash_fire-215x300.jpg</t>
  </si>
  <si>
    <t>http://www.epiccardgame.com/wp-content/uploads/2015/09/forbidden_research-215x300.jpg</t>
  </si>
  <si>
    <t>https://www.epiccardgame.com/wp-content/uploads/2017/11/PNG-EN-06-forbidden-research.jpg</t>
  </si>
  <si>
    <t>https://www.epiccardgame.com/wp-content/uploads/2017/11/UPS-EN-force-field.jpg</t>
  </si>
  <si>
    <t>https://www.epiccardgame.com/wp-content/uploads/2017/11/PNA-EN-06-force-lance.jpg</t>
  </si>
  <si>
    <t>http://www.epiccardgame.com/wp-content/uploads/2016/03/forced_exile-214x300.jpg</t>
  </si>
  <si>
    <t>http://www.epiccardgame.com/wp-content/uploads/2015/09/forcemage_apprentice-215x300.jpg</t>
  </si>
  <si>
    <t>http://www.epiccardgame.com/wp-content/uploads/2015/09/forked_lightning-215x300.jpg</t>
  </si>
  <si>
    <t>https://www.epiccardgame.com/wp-content/uploads/2017/11/UPV-EN-frantic-digging.jpg</t>
  </si>
  <si>
    <t>http://www.epiccardgame.com/wp-content/uploads/2015/09/frost_giant-215x300.jpg</t>
  </si>
  <si>
    <t>http://www.epiccardgame.com/wp-content/uploads/2016/03/fumble-214x300.jpg</t>
  </si>
  <si>
    <t>https://www.epiccardgame.com/wp-content/uploads/2017/11/PNF-EN-01-furios.jpg</t>
  </si>
  <si>
    <t>https://www.epiccardgame.com/wp-content/uploads/2017/11/PNH-EN-07-gareth-s-will.jpg</t>
  </si>
  <si>
    <t>https://www.epiccardgame.com/wp-content/uploads/2017/11/PNG-EN-01-gareth.jpg</t>
  </si>
  <si>
    <t>https://www.epiccardgame.com/wp-content/uploads/2017/11/PNG-EN-04-gareth-s-juggernaut.jpg</t>
  </si>
  <si>
    <t>https://www.epiccardgame.com/wp-content/uploads/2017/11/UPZ-EN-gladius-the-defender.jpg</t>
  </si>
  <si>
    <t>https://www.epiccardgame.com/wp-content/uploads/2017/11/UPS-EN-go-wild.jpg</t>
  </si>
  <si>
    <t>http://www.epiccardgame.com/wp-content/uploads/2015/09/gold_dragon-215x300.jpg</t>
  </si>
  <si>
    <t>https://www.epiccardgame.com/wp-content/uploads/2017/11/UPK-EN-grave-demon.jpg</t>
  </si>
  <si>
    <t>http://www.epiccardgame.com/wp-content/uploads/2016/03/great_horned_lizard-214x300.jpg</t>
  </si>
  <si>
    <t>https://www.epiccardgame.com/wp-content/uploads/2017/11/PNF-EN-04-greater-lightning-wurm.jpg</t>
  </si>
  <si>
    <t>http://www.epiccardgame.com/wp-content/uploads/2015/09/guilt_demon-215x300.jpg</t>
  </si>
  <si>
    <t>https://www.epiccardgame.com/wp-content/uploads/2017/11/PNG-EN-14-hand-of-angeline.jpg</t>
  </si>
  <si>
    <t>http://www.epiccardgame.com/wp-content/uploads/2016/03/hands_from_below-214x300.jpg</t>
  </si>
  <si>
    <t>http://www.epiccardgame.com/wp-content/uploads/2015/09/hasty_retreat-215x300.jpg</t>
  </si>
  <si>
    <t>http://www.epiccardgame.com/wp-content/uploads/2016/03/heinous_feast-214x300.jpg</t>
  </si>
  <si>
    <t>https://www.epiccardgame.com/wp-content/uploads/2017/11/PNH-EN-05-helena-s-chosen.jpg</t>
  </si>
  <si>
    <t>https://www.epiccardgame.com/wp-content/uploads/2017/11/PNH-EN-01-helena.jpg</t>
  </si>
  <si>
    <t>http://www.epiccardgame.com/wp-content/uploads/2016/03/helions_fury-214x300.jpg</t>
  </si>
  <si>
    <t>http://www.epiccardgame.com/wp-content/uploads/2016/03/helion_the_dominator-214x300.jpg</t>
  </si>
  <si>
    <t>https://www.epiccardgame.com/wp-content/uploads/2017/11/PNF-EN-07-herald-of-angeline.jpg</t>
  </si>
  <si>
    <t>https://www.epiccardgame.com/wp-content/uploads/2017/11/PNH-EN-12-herald-of-lashnok.jpg</t>
  </si>
  <si>
    <t>https://www.epiccardgame.com/wp-content/uploads/2017/11/PNA-EN-11-herald-of-scara.jpg</t>
  </si>
  <si>
    <t>http://www.epiccardgame.com/wp-content/uploads/2015/09/high_king-215x300.jpg</t>
  </si>
  <si>
    <t>http://www.epiccardgame.com/wp-content/uploads/2015/09/hill_giant-215x300.jpg</t>
  </si>
  <si>
    <t>https://www.epiccardgame.com/wp-content/uploads/2017/11/PNG-EN-18-human-token-back.jpg</t>
  </si>
  <si>
    <t>https://www.epiccardgame.com/wp-content/uploads/2017/11/UPS-EN-hunting-pack.jpg</t>
  </si>
  <si>
    <t>http://www.epiccardgame.com/wp-content/uploads/2015/09/hunting_pterosaur-215x300.jpg</t>
  </si>
  <si>
    <t>https://www.epiccardgame.com/wp-content/uploads/2017/11/PNH-EN-13-hunting-pterosaur.jpg</t>
  </si>
  <si>
    <t>http://www.epiccardgame.com/wp-content/uploads/2015/09/hunting_raptors-215x300.jpg</t>
  </si>
  <si>
    <t>http://www.epiccardgame.com/wp-content/uploads/2015/09/hurricane-215x300.jpg</t>
  </si>
  <si>
    <t>http://www.epiccardgame.com/wp-content/uploads/2015/09/ice_drake-215x300.jpg</t>
  </si>
  <si>
    <t>http://www.epiccardgame.com/wp-content/uploads/2015/09/infernal_gatekeeper-215x300.jpg</t>
  </si>
  <si>
    <t>http://www.epiccardgame.com/wp-content/uploads/2015/09/inheritance_of_the_meek-215x300.jpg</t>
  </si>
  <si>
    <t>http://www.epiccardgame.com/wp-content/uploads/2015/09/inner_demon-215x300.jpg</t>
  </si>
  <si>
    <t>http://www.epiccardgame.com/wp-content/uploads/2015/09/inner_peace-215x300.jpg</t>
  </si>
  <si>
    <t>http://www.epiccardgame.com/wp-content/uploads/2015/09/inspiration-215x300.jpg</t>
  </si>
  <si>
    <t>http://www.epiccardgame.com/wp-content/uploads/2016/03/insurgency-214x300.jpg</t>
  </si>
  <si>
    <t>http://www.epiccardgame.com/wp-content/uploads/2015/09/juggernaut-215x300.jpg</t>
  </si>
  <si>
    <t>http://www.epiccardgame.com/wp-content/uploads/2015/09/jungle_queen-215x300.jpg</t>
  </si>
  <si>
    <t>https://www.epiccardgame.com/wp-content/uploads/2017/11/UPK-EN-justice-prevails.jpg</t>
  </si>
  <si>
    <t>https://www.epiccardgame.com/wp-content/uploads/2017/11/PNF-EN-05-kalani-woodreader.jpg</t>
  </si>
  <si>
    <t>http://www.epiccardgame.com/wp-content/uploads/2015/09/kalnor_s_blessing-215x300.jpg</t>
  </si>
  <si>
    <t>http://www.epiccardgame.com/wp-content/uploads/2015/09/keeper_of_secrets-215x300.jpg</t>
  </si>
  <si>
    <t>https://www.epiccardgame.com/wp-content/uploads/2017/11/PNA-EN-15-keira-wolf-caller.jpg</t>
  </si>
  <si>
    <t>https://www.epiccardgame.com/wp-content/uploads/2017/11/UPK-EN-knight-of-elara.jpg</t>
  </si>
  <si>
    <t>http://www.epiccardgame.com/wp-content/uploads/2016/03/knight_of_shadows-214x300.jpg</t>
  </si>
  <si>
    <t>http://www.epiccardgame.com/wp-content/uploads/2015/09/knight_of_the_dawn-215x300.jpg</t>
  </si>
  <si>
    <t>https://www.epiccardgame.com/wp-content/uploads/2017/11/PNF-EN-08-knight-of-the-dawn.jpg</t>
  </si>
  <si>
    <t>http://www.epiccardgame.com/wp-content/uploads/2015/09/kong-215x300.jpg</t>
  </si>
  <si>
    <t>https://www.epiccardgame.com/wp-content/uploads/2017/11/PNF-EN-15-krieg-dark-one-s-chosen.jpg</t>
  </si>
  <si>
    <t>http://www.epiccardgame.com/wp-content/uploads/2015/09/lash-215x300.jpg</t>
  </si>
  <si>
    <t>https://www.epiccardgame.com/wp-content/uploads/2017/11/PNG-EN-12-lashnok-s-will.jpg</t>
  </si>
  <si>
    <t>https://www.epiccardgame.com/wp-content/uploads/2017/11/PNG-EN-09-lashnok.jpg</t>
  </si>
  <si>
    <t>http://www.epiccardgame.com/wp-content/uploads/2016/03/lesson_learned-214x300.jpg</t>
  </si>
  <si>
    <t>http://www.epiccardgame.com/wp-content/uploads/2015/09/lightning_storm-215x300.jpg</t>
  </si>
  <si>
    <t>http://www.epiccardgame.com/wp-content/uploads/2016/03/lightning_strike-214x300.jpg</t>
  </si>
  <si>
    <t>https://www.epiccardgame.com/wp-content/uploads/2017/11/UPS-EN-little-devil.jpg</t>
  </si>
  <si>
    <t>http://www.epiccardgame.com/wp-content/uploads/2015/09/lord_of_the_arena-215x300.jpg</t>
  </si>
  <si>
    <t>http://www.epiccardgame.com/wp-content/uploads/2015/09/lurking_giant-215x300.jpg</t>
  </si>
  <si>
    <t>http://www.epiccardgame.com/wp-content/uploads/2015/09/lying_in_wait-215x300.jpg</t>
  </si>
  <si>
    <t>https://www.epiccardgame.com/wp-content/uploads/2017/11/PNF-EN-09-maligus.jpg</t>
  </si>
  <si>
    <t>http://www.epiccardgame.com/wp-content/uploads/2016/03/markus_watch_captain-214x300.jpg</t>
  </si>
  <si>
    <t>https://www.epiccardgame.com/wp-content/uploads/2017/11/UPK-EN-martial-law.jpg</t>
  </si>
  <si>
    <t>https://www.epiccardgame.com/wp-content/uploads/2017/11/PNG-EN-05-master-forcemage.jpg</t>
  </si>
  <si>
    <t>https://www.epiccardgame.com/wp-content/uploads/2017/11/UPS-EN-master-zo.jpg</t>
  </si>
  <si>
    <t>http://www.epiccardgame.com/wp-content/uploads/2015/09/medusa-215x300.jpg</t>
  </si>
  <si>
    <t>http://www.epiccardgame.com/wp-content/uploads/2015/09/memory_spirit-215x300.jpg</t>
  </si>
  <si>
    <t>http://www.epiccardgame.com/wp-content/uploads/2015/09/mighty_blow-215x300.jpg</t>
  </si>
  <si>
    <t>http://www.epiccardgame.com/wp-content/uploads/2016/03/mist_guide_herald-214x300.jpg</t>
  </si>
  <si>
    <t>http://www.epiccardgame.com/wp-content/uploads/2015/09/murderous_necromancer-215x300.jpg</t>
  </si>
  <si>
    <t>http://www.epiccardgame.com/wp-content/uploads/2015/09/muse-215x300.jpg</t>
  </si>
  <si>
    <t>https://www.epiccardgame.com/wp-content/uploads/2017/11/PNH-EN-08-mystic-researcher.jpg</t>
  </si>
  <si>
    <t>https://www.epiccardgame.com/wp-content/uploads/2017/11/UPK-EN-mythic-monster.jpg</t>
  </si>
  <si>
    <t>http://www.epiccardgame.com/wp-content/uploads/2015/09/necromancer_apprentice-215x300.jpg</t>
  </si>
  <si>
    <t>https://www.epiccardgame.com/wp-content/uploads/2017/11/PNH-EN-15-necromancer-apprentice.jpg</t>
  </si>
  <si>
    <t>http://www.epiccardgame.com/wp-content/uploads/2015/09/necromancer_lord-215x300.jpg</t>
  </si>
  <si>
    <t>http://www.epiccardgame.com/wp-content/uploads/2016/03/necrovirus-214x300.jpg</t>
  </si>
  <si>
    <t>http://www.epiccardgame.com/wp-content/uploads/2015/09/new_dawn-215x300.jpg</t>
  </si>
  <si>
    <t>https://www.epiccardgame.com/wp-content/uploads/2017/11/PNG-EN-15-new-dawn.jpg</t>
  </si>
  <si>
    <t>https://www.epiccardgame.com/wp-content/uploads/2017/11/UPS-EN-no-escape.jpg</t>
  </si>
  <si>
    <t>http://www.epiccardgame.com/wp-content/uploads/2016/03/noble_martyr-214x300.jpg</t>
  </si>
  <si>
    <t>http://www.epiccardgame.com/wp-content/uploads/2015/09/noble_unicorn-215x300.jpg</t>
  </si>
  <si>
    <t>http://www.epiccardgame.com/wp-content/uploads/2015/09/ogre_mercenary-215x300.jpg</t>
  </si>
  <si>
    <t>http://www.epiccardgame.com/wp-content/uploads/2015/09/owl_familiar-215x300.jpg</t>
  </si>
  <si>
    <t>http://www.epiccardgame.com/wp-content/uploads/2015/09/pack_alpha-215x300.jpg</t>
  </si>
  <si>
    <t>http://www.epiccardgame.com/wp-content/uploads/2015/09/palace_guard-215x300.jpg</t>
  </si>
  <si>
    <t>http://www.epiccardgame.com/wp-content/uploads/2016/03/paros_rebel_leader-214x300.jpg</t>
  </si>
  <si>
    <t>http://www.epiccardgame.com/wp-content/uploads/2015/09/plague-215x300.jpg</t>
  </si>
  <si>
    <t>https://www.epiccardgame.com/wp-content/uploads/2017/11/UPZ-EN-plague-zombies.jpg</t>
  </si>
  <si>
    <t>http://www.epiccardgame.com/wp-content/uploads/2015/09/plentiful_dead-215x300.jpg</t>
  </si>
  <si>
    <t>http://www.epiccardgame.com/wp-content/uploads/2015/09/priest_of_kalnor-215x300.jpg</t>
  </si>
  <si>
    <t>http://www.epiccardgame.com/wp-content/uploads/2015/09/priestess_of_angeline-215x300.jpg</t>
  </si>
  <si>
    <t>http://www.epiccardgame.com/wp-content/uploads/2015/09/psionic_assault-215x300.jpg</t>
  </si>
  <si>
    <t>http://www.epiccardgame.com/wp-content/uploads/2015/09/pyromancer-215x300.jpg</t>
  </si>
  <si>
    <t>https://www.epiccardgame.com/wp-content/uploads/2017/11/UPZ-EN-pyrosaur.jpg</t>
  </si>
  <si>
    <t>http://www.epiccardgame.com/wp-content/uploads/2016/03/quell-214x300.jpg</t>
  </si>
  <si>
    <t>http://www.epiccardgame.com/wp-content/uploads/2016/03/rabble_rouser-214x300.jpg</t>
  </si>
  <si>
    <t>http://www.epiccardgame.com/wp-content/uploads/2015/09/rage-215x300.jpg</t>
  </si>
  <si>
    <t>http://www.epiccardgame.com/wp-content/uploads/2015/09/raging_t_rex-215x300.jpg</t>
  </si>
  <si>
    <t>http://www.epiccardgame.com/wp-content/uploads/2015/09/rain_of_fire-215x300.jpg</t>
  </si>
  <si>
    <t>http://www.epiccardgame.com/wp-content/uploads/2015/09/rally_the_people-215x300.jpg</t>
  </si>
  <si>
    <t>http://www.epiccardgame.com/wp-content/uploads/2015/09/rampaging_wurm-215x300.jpg</t>
  </si>
  <si>
    <t>http://www.epiccardgame.com/wp-content/uploads/2016/03/raxxas_curse-214x300.jpg</t>
  </si>
  <si>
    <t>http://www.epiccardgame.com/wp-content/uploads/2016/03/raxxas_displeasure-214x300.jpg</t>
  </si>
  <si>
    <t>https://www.epiccardgame.com/wp-content/uploads/2017/11/UPV-EN-raxxa-s-enforcer.jpg</t>
  </si>
  <si>
    <t>http://www.epiccardgame.com/wp-content/uploads/2016/03/raxxa_demon_tyrant-214x300.jpg</t>
  </si>
  <si>
    <t>http://www.epiccardgame.com/wp-content/uploads/2016/03/reap_or_sow-214x300.jpg</t>
  </si>
  <si>
    <t>http://www.epiccardgame.com/wp-content/uploads/2016/03/reaper-214x300.jpg</t>
  </si>
  <si>
    <t>https://www.epiccardgame.com/wp-content/uploads/2017/11/UPV-EN-rescue-griffin.jpg</t>
  </si>
  <si>
    <t>https://www.epiccardgame.com/wp-content/uploads/2017/11/UPS-EN-reset.jpg</t>
  </si>
  <si>
    <t>http://www.epiccardgame.com/wp-content/uploads/2015/09/resurrection-215x300.jpg</t>
  </si>
  <si>
    <t>https://www.epiccardgame.com/wp-content/uploads/2017/11/UPZ-EN-reusable-knowledge.jpg</t>
  </si>
  <si>
    <t>http://www.epiccardgame.com/wp-content/uploads/2016/03/revolt-214x300.jpg</t>
  </si>
  <si>
    <t>https://www.epiccardgame.com/wp-content/uploads/2017/11/UPV-EN-rift-summoner.jpg</t>
  </si>
  <si>
    <t>http://www.epiccardgame.com/wp-content/uploads/2015/09/ritual_sacrifice-215x300.jpg</t>
  </si>
  <si>
    <t>http://www.epiccardgame.com/wp-content/uploads/2016/03/royal_escort-214x300.jpg</t>
  </si>
  <si>
    <t>https://www.epiccardgame.com/wp-content/uploads/2017/11/PNG-EN-07-run-riot.jpg</t>
  </si>
  <si>
    <t>https://www.epiccardgame.com/wp-content/uploads/2017/11/PNG-EN-13-rybas-canopy-sniper.jpg</t>
  </si>
  <si>
    <t>https://www.epiccardgame.com/wp-content/uploads/2017/11/UPS-EN-saren-night-stalker.jpg</t>
  </si>
  <si>
    <t>https://www.epiccardgame.com/wp-content/uploads/2017/11/UPZ-EN-savage-uprising.jpg</t>
  </si>
  <si>
    <t>https://www.epiccardgame.com/wp-content/uploads/2017/11/PNF-EN-16-scara-s-gift.jpg</t>
  </si>
  <si>
    <t>https://www.epiccardgame.com/wp-content/uploads/2017/11/PNA-EN-12-scara-s-will.jpg</t>
  </si>
  <si>
    <t>https://www.epiccardgame.com/wp-content/uploads/2017/11/PNA-EN-09-scara.jpg</t>
  </si>
  <si>
    <t>https://www.epiccardgame.com/wp-content/uploads/2017/11/PNA-EN-13-scarred-cultist.jpg</t>
  </si>
  <si>
    <t>https://www.epiccardgame.com/wp-content/uploads/2017/11/PNG-EN-08-scarred-priestess.jpg</t>
  </si>
  <si>
    <t>https://www.epiccardgame.com/wp-content/uploads/2017/11/UPS-EN-scarros-hound-of-draka.jpg</t>
  </si>
  <si>
    <t>http://www.epiccardgame.com/wp-content/uploads/2015/09/scrap_golem-215x300.jpg</t>
  </si>
  <si>
    <t>https://www.epiccardgame.com/wp-content/uploads/2017/11/PNF-EN-13-scrap-golem.jpg</t>
  </si>
  <si>
    <t>http://www.epiccardgame.com/wp-content/uploads/2015/09/sea_hydra-215x300.jpg</t>
  </si>
  <si>
    <t>http://www.epiccardgame.com/wp-content/uploads/2015/09/sea_titan-215x300.jpg</t>
  </si>
  <si>
    <t>http://www.epiccardgame.com/wp-content/uploads/2015/09/searing_blast-215x300.jpg</t>
  </si>
  <si>
    <t>http://www.epiccardgame.com/wp-content/uploads/2016/03/second_wind-214x300.jpg</t>
  </si>
  <si>
    <t>http://www.epiccardgame.com/wp-content/uploads/2015/09/secret_legion-215x300.jpg</t>
  </si>
  <si>
    <t>http://www.epiccardgame.com/wp-content/uploads/2016/03/shadow_imp-214x300.jpg</t>
  </si>
  <si>
    <t>https://www.epiccardgame.com/wp-content/uploads/2017/11/UPS-EN-silver-dragon.jpg</t>
  </si>
  <si>
    <t>https://www.epiccardgame.com/wp-content/uploads/2017/11/PNA-EN-04-silver-wing-guardian.jpg</t>
  </si>
  <si>
    <t>https://www.epiccardgame.com/wp-content/uploads/2017/11/PNA-EN-05-silver-wing-lancer.jpg</t>
  </si>
  <si>
    <t>https://www.epiccardgame.com/wp-content/uploads/2017/11/PNG-EN-16-silver-wing-savior.jpg</t>
  </si>
  <si>
    <t>https://www.epiccardgame.com/wp-content/uploads/2017/11/UPZ-EN-siren-s-song.jpg</t>
  </si>
  <si>
    <t>http://www.epiccardgame.com/wp-content/uploads/2016/03/smash_and_burn-214x300.jpg</t>
  </si>
  <si>
    <t>http://www.epiccardgame.com/wp-content/uploads/2015/09/soul_hunter-215x300.jpg</t>
  </si>
  <si>
    <t>http://www.epiccardgame.com/wp-content/uploads/2016/03/spawning_demon-214x300.jpg</t>
  </si>
  <si>
    <t>http://www.epiccardgame.com/wp-content/uploads/2015/09/spike_trap-215x300.jpg</t>
  </si>
  <si>
    <t>http://www.epiccardgame.com/wp-content/uploads/2015/09/spite-215x300.jpg</t>
  </si>
  <si>
    <t>https://www.epiccardgame.com/wp-content/uploads/2017/11/UPK-EN-spore-beast.jpg</t>
  </si>
  <si>
    <t>https://www.epiccardgame.com/wp-content/uploads/2017/11/PNA-EN-16-stampeding-einiosaurus.jpg</t>
  </si>
  <si>
    <t>http://www.epiccardgame.com/wp-content/uploads/2015/09/stand_alone-215x300.jpg</t>
  </si>
  <si>
    <t>http://www.epiccardgame.com/wp-content/uploads/2015/09/standard_bearer-215x300.jpg</t>
  </si>
  <si>
    <t>https://www.epiccardgame.com/wp-content/uploads/2017/11/PNH-EN-16-steed-of-zaltessa.jpg</t>
  </si>
  <si>
    <t>http://www.epiccardgame.com/wp-content/uploads/2015/09/steel_golem-215x300.jpg</t>
  </si>
  <si>
    <t>https://www.epiccardgame.com/wp-content/uploads/2017/11/PNA-EN-07-steel-titan.jpg</t>
  </si>
  <si>
    <t>http://www.epiccardgame.com/wp-content/uploads/2015/09/strafing_dragon-215x300.jpg</t>
  </si>
  <si>
    <t>http://www.epiccardgame.com/wp-content/uploads/2015/09/succubus-215x300.jpg</t>
  </si>
  <si>
    <t>http://www.epiccardgame.com/wp-content/uploads/2015/09/surprise_attack-215x300.jpg</t>
  </si>
  <si>
    <t>http://www.epiccardgame.com/wp-content/uploads/2015/09/teleport-215x300.jpg</t>
  </si>
  <si>
    <t>https://www.epiccardgame.com/wp-content/uploads/2017/11/PNA-EN-08-teleport.jpg</t>
  </si>
  <si>
    <t>http://www.epiccardgame.com/wp-content/uploads/2016/03/temporal_enforcer-214x300.jpg</t>
  </si>
  <si>
    <t>http://www.epiccardgame.com/wp-content/uploads/2016/03/temporal_shift-214x300.jpg</t>
  </si>
  <si>
    <t>http://www.epiccardgame.com/wp-content/uploads/2016/03/the_gudgeon-214x300.jpg</t>
  </si>
  <si>
    <t>http://www.epiccardgame.com/wp-content/uploads/2015/09/the_people_s_champion-215x300.jpg</t>
  </si>
  <si>
    <t>http://www.epiccardgame.com/wp-content/uploads/2015/09/the_risen-215x300.jpg</t>
  </si>
  <si>
    <t>http://www.epiccardgame.com/wp-content/uploads/2015/09/thought_plucker-215x300.jpg</t>
  </si>
  <si>
    <t>http://www.epiccardgame.com/wp-content/uploads/2015/09/thrasher_demon-215x300.jpg</t>
  </si>
  <si>
    <t>http://www.epiccardgame.com/wp-content/uploads/2015/09/thundarus-215x300.jpg</t>
  </si>
  <si>
    <t>http://www.epiccardgame.com/wp-content/uploads/2015/09/time_bender-215x300.jpg</t>
  </si>
  <si>
    <t>http://www.epiccardgame.com/wp-content/uploads/2015/09/time_master-215x300.jpg</t>
  </si>
  <si>
    <t>http://www.epiccardgame.com/wp-content/uploads/2015/09/time_walker-215x300.jpg</t>
  </si>
  <si>
    <t>http://www.epiccardgame.com/wp-content/uploads/2015/09/transform-215x300.jpg</t>
  </si>
  <si>
    <t>http://www.epiccardgame.com/wp-content/uploads/2015/09/triceratops-215x300.jpg</t>
  </si>
  <si>
    <t>http://www.epiccardgame.com/wp-content/uploads/2015/09/trihorror-215x300.jpg</t>
  </si>
  <si>
    <t>http://www.epiccardgame.com/wp-content/uploads/2015/09/turn-215x300.jpg</t>
  </si>
  <si>
    <t>http://www.epiccardgame.com/wp-content/uploads/2015/09/unquenchable_thirst-215x300.jpg</t>
  </si>
  <si>
    <t>http://www.epiccardgame.com/wp-content/uploads/2016/03/urgent_messengers-214x300.jpg</t>
  </si>
  <si>
    <t>http://www.epiccardgame.com/wp-content/uploads/2015/09/vampire_lord-215x300.jpg</t>
  </si>
  <si>
    <t>http://www.epiccardgame.com/wp-content/uploads/2016/03/vanishing-214x300.jpg</t>
  </si>
  <si>
    <t>https://www.epiccardgame.com/wp-content/uploads/2017/11/UPV-EN-velden-frost-titan.jpg</t>
  </si>
  <si>
    <t>https://www.epiccardgame.com/wp-content/uploads/2017/11/UPV-EN-village-protector.jpg</t>
  </si>
  <si>
    <t>http://www.epiccardgame.com/wp-content/uploads/2015/09/vital_mission-215x300.jpg</t>
  </si>
  <si>
    <t>https://www.epiccardgame.com/wp-content/uploads/2017/11/UPS-EN-war-machine.jpg</t>
  </si>
  <si>
    <t>http://www.epiccardgame.com/wp-content/uploads/2015/09/warrior_angel-215x300.jpg</t>
  </si>
  <si>
    <t>http://www.epiccardgame.com/wp-content/uploads/2015/09/warrior_golem-215x300.jpg</t>
  </si>
  <si>
    <t>http://www.epiccardgame.com/wp-content/uploads/2015/09/watchful_gargoyle-215x300.jpg</t>
  </si>
  <si>
    <t>http://www.epiccardgame.com/wp-content/uploads/2015/09/wave_of_transformation-215x300.jpg</t>
  </si>
  <si>
    <t>http://www.epiccardgame.com/wp-content/uploads/2015/09/white_dragon-215x300.jpg</t>
  </si>
  <si>
    <t>http://www.epiccardgame.com/wp-content/uploads/2015/09/white_knight-215x300.jpg</t>
  </si>
  <si>
    <t>https://www.epiccardgame.com/wp-content/uploads/2017/11/UPV-EN-winds-of-change.jpg</t>
  </si>
  <si>
    <t>https://www.epiccardgame.com/wp-content/uploads/2017/11/UPK-EN-winged-death.jpg</t>
  </si>
  <si>
    <t>http://www.epiccardgame.com/wp-content/uploads/2015/09/winter_fairy-215x300.jpg</t>
  </si>
  <si>
    <t>http://www.epiccardgame.com/wp-content/uploads/2015/09/wither-215x300.jpg</t>
  </si>
  <si>
    <t>http://www.epiccardgame.com/wp-content/uploads/2015/09/wolf_companion-215x300.jpg</t>
  </si>
  <si>
    <t>https://www.epiccardgame.com/wp-content/uploads/2017/11/PNA-EN-17-wolf-token.jpg</t>
  </si>
  <si>
    <t>http://www.epiccardgame.com/wp-content/uploads/2015/09/wolf_s_call-215x300.jpg</t>
  </si>
  <si>
    <t>http://www.epiccardgame.com/wp-content/uploads/2016/03/wolfs_bite-214x300.jpg</t>
  </si>
  <si>
    <t>http://www.epiccardgame.com/wp-content/uploads/2015/09/word_of_summoning-215x300.jpg</t>
  </si>
  <si>
    <t>http://www.epiccardgame.com/wp-content/uploads/2015/09/wurm_hatchling-215x300.jpg</t>
  </si>
  <si>
    <t>https://www.epiccardgame.com/wp-content/uploads/2017/11/PNH-EN-09-zaltessa.jpg</t>
  </si>
  <si>
    <t>https://www.epiccardgame.com/wp-content/uploads/2017/11/UPZ-EN-zannos-corpse-lord.jpg</t>
  </si>
  <si>
    <t>http://www.epiccardgame.com/wp-content/uploads/2016/03/zealous_necromancer-214x300.jpg</t>
  </si>
  <si>
    <t>http://www.epiccardgame.com/wp-content/uploads/2015/09/zombie_apocalypse-215x300.jpg</t>
  </si>
  <si>
    <t>https://www.epiccardgame.com/wp-content/uploads/2017/11/PNA-EN-18-zombie-token-back.jpg</t>
  </si>
  <si>
    <t>Primary Alignment</t>
  </si>
  <si>
    <t>Secondary Alignment</t>
  </si>
  <si>
    <t>Index</t>
  </si>
  <si>
    <t>Primary Align</t>
  </si>
  <si>
    <t>Secondary Align</t>
  </si>
  <si>
    <t>Result</t>
  </si>
  <si>
    <t>Match List</t>
  </si>
  <si>
    <t>SHOW ALL</t>
  </si>
  <si>
    <t>EVIL AND GOOD</t>
  </si>
  <si>
    <t>EVIL AND SAGE</t>
  </si>
  <si>
    <t>EVIL AND WILD</t>
  </si>
  <si>
    <t>GOOD AND SAGE</t>
  </si>
  <si>
    <t>GOOD AND WILD</t>
  </si>
  <si>
    <t>SAGE AND WILD</t>
  </si>
  <si>
    <t>Thumbnail</t>
  </si>
  <si>
    <t>URL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</si>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</sst>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1" applyAlignment="1" applyProtection="1"/>
    <xf numFmtId="0" fontId="1" fillId="0" borderId="0" xfId="0" applyFont="1" applyBorder="1" applyAlignment="1">
      <alignment horizontal="center" vertical="top"/>
    </xf>
    <xf numFmtId="0" fontId="1" fillId="0" borderId="1" xfId="0" applyFont="1" applyFill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49" fontId="0" fillId="0" borderId="0" xfId="0" applyNumberFormat="1"/>
    <xf numFmtId="49" fontId="1" fillId="0" borderId="2" xfId="0" applyNumberFormat="1" applyFont="1" applyBorder="1" applyAlignment="1">
      <alignment horizontal="center" vertical="top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1" fillId="0" borderId="0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top"/>
    </xf>
    <xf numFmtId="0" fontId="0" fillId="0" borderId="9" xfId="0" applyBorder="1"/>
    <xf numFmtId="0" fontId="0" fillId="2" borderId="0" xfId="0" applyFill="1"/>
    <xf numFmtId="0" fontId="1" fillId="0" borderId="10" xfId="0" applyFont="1" applyBorder="1" applyAlignment="1">
      <alignment horizontal="center" vertical="top"/>
    </xf>
    <xf numFmtId="0" fontId="1" fillId="0" borderId="10" xfId="0" applyFont="1" applyFill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11" xfId="0" applyBorder="1"/>
    <xf numFmtId="0" fontId="1" fillId="0" borderId="12" xfId="0" applyFont="1" applyFill="1" applyBorder="1" applyAlignment="1">
      <alignment horizontal="center" vertical="top"/>
    </xf>
    <xf numFmtId="1" fontId="0" fillId="0" borderId="11" xfId="0" applyNumberFormat="1" applyBorder="1"/>
    <xf numFmtId="0" fontId="1" fillId="0" borderId="9" xfId="0" applyFont="1" applyFill="1" applyBorder="1" applyAlignment="1">
      <alignment horizontal="center" vertical="top"/>
    </xf>
    <xf numFmtId="0" fontId="0" fillId="3" borderId="9" xfId="0" applyFill="1" applyBorder="1"/>
    <xf numFmtId="0" fontId="2" fillId="2" borderId="0" xfId="1" applyFill="1" applyAlignment="1" applyProtection="1"/>
    <xf numFmtId="0" fontId="0" fillId="2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4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www.epiccardgame.com/wp-content/uploads/2015/09/epic_logo_tm.png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571500</xdr:colOff>
      <xdr:row>1</xdr:row>
      <xdr:rowOff>158750</xdr:rowOff>
    </xdr:from>
    <xdr:to>
      <xdr:col>62</xdr:col>
      <xdr:colOff>423334</xdr:colOff>
      <xdr:row>4</xdr:row>
      <xdr:rowOff>126999</xdr:rowOff>
    </xdr:to>
    <xdr:sp macro="" textlink="">
      <xdr:nvSpPr>
        <xdr:cNvPr id="4939" name="Rectangle 4938">
          <a:extLst>
            <a:ext uri="{FF2B5EF4-FFF2-40B4-BE49-F238E27FC236}">
              <a16:creationId xmlns:a16="http://schemas.microsoft.com/office/drawing/2014/main" id="{00000000-0008-0000-0000-00004B130000}"/>
            </a:ext>
          </a:extLst>
        </xdr:cNvPr>
        <xdr:cNvSpPr/>
      </xdr:nvSpPr>
      <xdr:spPr>
        <a:xfrm>
          <a:off x="10509250" y="349250"/>
          <a:ext cx="1830917" cy="1386416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46</xdr:col>
          <xdr:colOff>1413933</xdr:colOff>
          <xdr:row>2</xdr:row>
          <xdr:rowOff>408517</xdr:rowOff>
        </xdr:from>
        <xdr:ext cx="28575" cy="219075"/>
        <xdr:sp macro="" textlink="">
          <xdr:nvSpPr>
            <xdr:cNvPr id="1041" name="Label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65618</xdr:colOff>
          <xdr:row>2</xdr:row>
          <xdr:rowOff>157691</xdr:rowOff>
        </xdr:from>
        <xdr:to>
          <xdr:col>62</xdr:col>
          <xdr:colOff>250827</xdr:colOff>
          <xdr:row>3</xdr:row>
          <xdr:rowOff>95249</xdr:rowOff>
        </xdr:to>
        <xdr:grpSp>
          <xdr:nvGrpSpPr>
            <xdr:cNvPr id="4915" name="Group 4914">
              <a:extLst>
                <a:ext uri="{FF2B5EF4-FFF2-40B4-BE49-F238E27FC236}">
                  <a16:creationId xmlns:a16="http://schemas.microsoft.com/office/drawing/2014/main" id="{00000000-0008-0000-0000-000033130000}"/>
                </a:ext>
              </a:extLst>
            </xdr:cNvPr>
            <xdr:cNvGrpSpPr/>
          </xdr:nvGrpSpPr>
          <xdr:grpSpPr>
            <a:xfrm>
              <a:off x="11220451" y="549274"/>
              <a:ext cx="1476376" cy="964142"/>
              <a:chOff x="11051117" y="887941"/>
              <a:chExt cx="1476375" cy="964142"/>
            </a:xfrm>
          </xdr:grpSpPr>
          <xdr:sp macro="" textlink="">
            <xdr:nvSpPr>
              <xdr:cNvPr id="1056" name="RefreshButton" hidden="1">
                <a:extLst>
                  <a:ext uri="{63B3BB69-23CF-44E3-9099-C40C66FF867C}">
                    <a14:compatExt spid="_x0000_s1056"/>
                  </a:ext>
                  <a:ext uri="{FF2B5EF4-FFF2-40B4-BE49-F238E27FC236}">
                    <a16:creationId xmlns:a16="http://schemas.microsoft.com/office/drawing/2014/main" id="{00000000-0008-0000-0000-000020040000}"/>
                  </a:ext>
                </a:extLst>
              </xdr:cNvPr>
              <xdr:cNvSpPr/>
            </xdr:nvSpPr>
            <xdr:spPr bwMode="auto">
              <a:xfrm>
                <a:off x="11051117" y="887941"/>
                <a:ext cx="1462617" cy="4106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7" name="DeleteButton" hidden="1">
                <a:extLst>
                  <a:ext uri="{63B3BB69-23CF-44E3-9099-C40C66FF867C}">
                    <a14:compatExt spid="_x0000_s1057"/>
                  </a:ext>
                  <a:ext uri="{FF2B5EF4-FFF2-40B4-BE49-F238E27FC236}">
                    <a16:creationId xmlns:a16="http://schemas.microsoft.com/office/drawing/2014/main" id="{00000000-0008-0000-0000-000021040000}"/>
                  </a:ext>
                </a:extLst>
              </xdr:cNvPr>
              <xdr:cNvSpPr/>
            </xdr:nvSpPr>
            <xdr:spPr bwMode="auto">
              <a:xfrm>
                <a:off x="11053233" y="1565275"/>
                <a:ext cx="1474259" cy="2868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80433</xdr:colOff>
          <xdr:row>3</xdr:row>
          <xdr:rowOff>67733</xdr:rowOff>
        </xdr:from>
        <xdr:to>
          <xdr:col>51</xdr:col>
          <xdr:colOff>718608</xdr:colOff>
          <xdr:row>5</xdr:row>
          <xdr:rowOff>104775</xdr:rowOff>
        </xdr:to>
        <xdr:grpSp>
          <xdr:nvGrpSpPr>
            <xdr:cNvPr id="4914" name="Group 4913">
              <a:extLst>
                <a:ext uri="{FF2B5EF4-FFF2-40B4-BE49-F238E27FC236}">
                  <a16:creationId xmlns:a16="http://schemas.microsoft.com/office/drawing/2014/main" id="{00000000-0008-0000-0000-000032130000}"/>
                </a:ext>
              </a:extLst>
            </xdr:cNvPr>
            <xdr:cNvGrpSpPr/>
          </xdr:nvGrpSpPr>
          <xdr:grpSpPr>
            <a:xfrm>
              <a:off x="6568016" y="1485900"/>
              <a:ext cx="3209925" cy="428625"/>
              <a:chOff x="5477931" y="1686987"/>
              <a:chExt cx="3209925" cy="428625"/>
            </a:xfrm>
          </xdr:grpSpPr>
          <xdr:sp macro="" textlink="">
            <xdr:nvSpPr>
              <xdr:cNvPr id="1054" name="EvilCheckBox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5477931" y="1696512"/>
                <a:ext cx="647700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5" name="GoodCheckBox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00000000-0008-0000-0000-00001F040000}"/>
                  </a:ext>
                </a:extLst>
              </xdr:cNvPr>
              <xdr:cNvSpPr/>
            </xdr:nvSpPr>
            <xdr:spPr bwMode="auto">
              <a:xfrm>
                <a:off x="6344706" y="1706037"/>
                <a:ext cx="609600" cy="4095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8" name="SageCheckBox" hidden="1">
                <a:extLst>
                  <a:ext uri="{63B3BB69-23CF-44E3-9099-C40C66FF867C}">
                    <a14:compatExt spid="_x0000_s1058"/>
                  </a:ext>
                  <a:ext uri="{FF2B5EF4-FFF2-40B4-BE49-F238E27FC236}">
                    <a16:creationId xmlns:a16="http://schemas.microsoft.com/office/drawing/2014/main" id="{00000000-0008-0000-0000-000022040000}"/>
                  </a:ext>
                </a:extLst>
              </xdr:cNvPr>
              <xdr:cNvSpPr/>
            </xdr:nvSpPr>
            <xdr:spPr bwMode="auto">
              <a:xfrm>
                <a:off x="7173381" y="1706037"/>
                <a:ext cx="609600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9" name="WildCheckBox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000-000023040000}"/>
                  </a:ext>
                </a:extLst>
              </xdr:cNvPr>
              <xdr:cNvSpPr/>
            </xdr:nvSpPr>
            <xdr:spPr bwMode="auto">
              <a:xfrm>
                <a:off x="7983006" y="1686987"/>
                <a:ext cx="704850" cy="4286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47</xdr:col>
      <xdr:colOff>1037167</xdr:colOff>
      <xdr:row>1</xdr:row>
      <xdr:rowOff>84667</xdr:rowOff>
    </xdr:from>
    <xdr:to>
      <xdr:col>52</xdr:col>
      <xdr:colOff>459873</xdr:colOff>
      <xdr:row>2</xdr:row>
      <xdr:rowOff>518560</xdr:rowOff>
    </xdr:to>
    <xdr:grpSp>
      <xdr:nvGrpSpPr>
        <xdr:cNvPr id="4913" name="Group 4912">
          <a:extLst>
            <a:ext uri="{FF2B5EF4-FFF2-40B4-BE49-F238E27FC236}">
              <a16:creationId xmlns:a16="http://schemas.microsoft.com/office/drawing/2014/main" id="{00000000-0008-0000-0000-000031130000}"/>
            </a:ext>
          </a:extLst>
        </xdr:cNvPr>
        <xdr:cNvGrpSpPr/>
      </xdr:nvGrpSpPr>
      <xdr:grpSpPr>
        <a:xfrm>
          <a:off x="5947834" y="275167"/>
          <a:ext cx="4312206" cy="634976"/>
          <a:chOff x="5418667" y="941917"/>
          <a:chExt cx="4312206" cy="63497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3" name="SelectBox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000-00001D040000}"/>
                  </a:ext>
                </a:extLst>
              </xdr:cNvPr>
              <xdr:cNvSpPr/>
            </xdr:nvSpPr>
            <xdr:spPr bwMode="auto">
              <a:xfrm>
                <a:off x="7168092" y="1006475"/>
                <a:ext cx="1512359" cy="29633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11" name="TextBox 4910">
            <a:extLst>
              <a:ext uri="{FF2B5EF4-FFF2-40B4-BE49-F238E27FC236}">
                <a16:creationId xmlns:a16="http://schemas.microsoft.com/office/drawing/2014/main" id="{00000000-0008-0000-0000-00002F130000}"/>
              </a:ext>
            </a:extLst>
          </xdr:cNvPr>
          <xdr:cNvSpPr txBox="1"/>
        </xdr:nvSpPr>
        <xdr:spPr>
          <a:xfrm>
            <a:off x="5842000" y="941917"/>
            <a:ext cx="1333955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/>
              <a:t>Text</a:t>
            </a:r>
            <a:r>
              <a:rPr lang="en-US" sz="1800" baseline="0"/>
              <a:t> Search:</a:t>
            </a:r>
            <a:endParaRPr lang="en-US" sz="1800"/>
          </a:p>
        </xdr:txBody>
      </xdr:sp>
      <xdr:sp macro="" textlink="">
        <xdr:nvSpPr>
          <xdr:cNvPr id="4912" name="TextBox 4911">
            <a:extLst>
              <a:ext uri="{FF2B5EF4-FFF2-40B4-BE49-F238E27FC236}">
                <a16:creationId xmlns:a16="http://schemas.microsoft.com/office/drawing/2014/main" id="{00000000-0008-0000-0000-000030130000}"/>
              </a:ext>
            </a:extLst>
          </xdr:cNvPr>
          <xdr:cNvSpPr txBox="1"/>
        </xdr:nvSpPr>
        <xdr:spPr>
          <a:xfrm>
            <a:off x="5418667" y="1312333"/>
            <a:ext cx="431220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i="1"/>
              <a:t>Note: </a:t>
            </a:r>
            <a:r>
              <a:rPr lang="en-US" sz="1100"/>
              <a:t>This search box searches all card information</a:t>
            </a:r>
            <a:r>
              <a:rPr lang="en-US" sz="1100" baseline="0"/>
              <a:t> for the entered text.</a:t>
            </a:r>
            <a:endParaRPr lang="en-US" sz="1100"/>
          </a:p>
        </xdr:txBody>
      </xdr:sp>
    </xdr:grpSp>
    <xdr:clientData/>
  </xdr:twoCellAnchor>
  <xdr:oneCellAnchor>
    <xdr:from>
      <xdr:col>49</xdr:col>
      <xdr:colOff>455083</xdr:colOff>
      <xdr:row>2</xdr:row>
      <xdr:rowOff>709084</xdr:rowOff>
    </xdr:from>
    <xdr:ext cx="1688732" cy="374141"/>
    <xdr:sp macro="" textlink="">
      <xdr:nvSpPr>
        <xdr:cNvPr id="4916" name="TextBox 4915">
          <a:extLst>
            <a:ext uri="{FF2B5EF4-FFF2-40B4-BE49-F238E27FC236}">
              <a16:creationId xmlns:a16="http://schemas.microsoft.com/office/drawing/2014/main" id="{00000000-0008-0000-0000-000034130000}"/>
            </a:ext>
          </a:extLst>
        </xdr:cNvPr>
        <xdr:cNvSpPr txBox="1"/>
      </xdr:nvSpPr>
      <xdr:spPr>
        <a:xfrm>
          <a:off x="6879166" y="1100667"/>
          <a:ext cx="1688732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Alignment</a:t>
          </a:r>
          <a:r>
            <a:rPr lang="en-US" sz="1800" baseline="0"/>
            <a:t> Filter</a:t>
          </a:r>
          <a:endParaRPr lang="en-US" sz="1800"/>
        </a:p>
      </xdr:txBody>
    </xdr:sp>
    <xdr:clientData/>
  </xdr:oneCellAnchor>
  <xdr:oneCellAnchor>
    <xdr:from>
      <xdr:col>46</xdr:col>
      <xdr:colOff>486834</xdr:colOff>
      <xdr:row>2</xdr:row>
      <xdr:rowOff>941917</xdr:rowOff>
    </xdr:from>
    <xdr:ext cx="1936556" cy="446212"/>
    <xdr:sp macro="" textlink="">
      <xdr:nvSpPr>
        <xdr:cNvPr id="4937" name="TextBox 4936">
          <a:extLst>
            <a:ext uri="{FF2B5EF4-FFF2-40B4-BE49-F238E27FC236}">
              <a16:creationId xmlns:a16="http://schemas.microsoft.com/office/drawing/2014/main" id="{00000000-0008-0000-0000-000049130000}"/>
            </a:ext>
          </a:extLst>
        </xdr:cNvPr>
        <xdr:cNvSpPr txBox="1"/>
      </xdr:nvSpPr>
      <xdr:spPr>
        <a:xfrm>
          <a:off x="2010834" y="1333500"/>
          <a:ext cx="1936556" cy="4462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400">
              <a:latin typeface="Times New Roman" panose="02020603050405020304" pitchFamily="18" charset="0"/>
              <a:cs typeface="Times New Roman" panose="02020603050405020304" pitchFamily="18" charset="0"/>
            </a:rPr>
            <a:t>Card</a:t>
          </a:r>
          <a:r>
            <a:rPr lang="en-US" sz="2400" baseline="0">
              <a:latin typeface="Times New Roman" panose="02020603050405020304" pitchFamily="18" charset="0"/>
              <a:cs typeface="Times New Roman" panose="02020603050405020304" pitchFamily="18" charset="0"/>
            </a:rPr>
            <a:t> Explorer</a:t>
          </a:r>
          <a:endParaRPr lang="en-US" sz="2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63</xdr:col>
      <xdr:colOff>306917</xdr:colOff>
      <xdr:row>0</xdr:row>
      <xdr:rowOff>179917</xdr:rowOff>
    </xdr:from>
    <xdr:ext cx="2830840" cy="1986826"/>
    <xdr:sp macro="" textlink="">
      <xdr:nvSpPr>
        <xdr:cNvPr id="4940" name="TextBox 4939">
          <a:extLst>
            <a:ext uri="{FF2B5EF4-FFF2-40B4-BE49-F238E27FC236}">
              <a16:creationId xmlns:a16="http://schemas.microsoft.com/office/drawing/2014/main" id="{00000000-0008-0000-0000-00004C130000}"/>
            </a:ext>
          </a:extLst>
        </xdr:cNvPr>
        <xdr:cNvSpPr txBox="1"/>
      </xdr:nvSpPr>
      <xdr:spPr>
        <a:xfrm>
          <a:off x="13356167" y="179917"/>
          <a:ext cx="2830840" cy="198682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For</a:t>
          </a:r>
          <a:r>
            <a:rPr lang="en-US" sz="1100" baseline="0"/>
            <a:t> best results, narrow your text criteria first </a:t>
          </a:r>
        </a:p>
        <a:p>
          <a:r>
            <a:rPr lang="en-US" sz="1100" baseline="0"/>
            <a:t>(optional), alignment second (optional), then </a:t>
          </a:r>
        </a:p>
        <a:p>
          <a:r>
            <a:rPr lang="en-US" sz="1100" baseline="0"/>
            <a:t>press the refresh pictures button to load card </a:t>
          </a:r>
        </a:p>
        <a:p>
          <a:r>
            <a:rPr lang="en-US" sz="1100" baseline="0"/>
            <a:t>art/text.</a:t>
          </a:r>
        </a:p>
        <a:p>
          <a:endParaRPr lang="en-US" sz="1100" baseline="0"/>
        </a:p>
        <a:p>
          <a:r>
            <a:rPr lang="en-US" sz="1100" baseline="0"/>
            <a:t>Large searches may take time to process so</a:t>
          </a:r>
        </a:p>
        <a:p>
          <a:r>
            <a:rPr lang="en-US" sz="1100" baseline="0"/>
            <a:t>be patient!</a:t>
          </a:r>
        </a:p>
        <a:p>
          <a:endParaRPr lang="en-US" sz="1100" baseline="0"/>
        </a:p>
        <a:p>
          <a:r>
            <a:rPr lang="en-US" sz="1100"/>
            <a:t>Be sure to use the</a:t>
          </a:r>
          <a:r>
            <a:rPr lang="en-US" sz="1100" baseline="0"/>
            <a:t> Delete Pictures button</a:t>
          </a:r>
        </a:p>
        <a:p>
          <a:r>
            <a:rPr lang="en-US" sz="1100" baseline="0"/>
            <a:t>between searches to clear old card art before </a:t>
          </a:r>
        </a:p>
        <a:p>
          <a:r>
            <a:rPr lang="en-US" sz="1100" baseline="0"/>
            <a:t>refreshing card art/text.</a:t>
          </a:r>
          <a:endParaRPr lang="en-US" sz="1100"/>
        </a:p>
      </xdr:txBody>
    </xdr:sp>
    <xdr:clientData/>
  </xdr:oneCellAnchor>
  <xdr:oneCellAnchor>
    <xdr:from>
      <xdr:col>0</xdr:col>
      <xdr:colOff>0</xdr:colOff>
      <xdr:row>2</xdr:row>
      <xdr:rowOff>306917</xdr:rowOff>
    </xdr:from>
    <xdr:ext cx="1841500" cy="1492249"/>
    <xdr:sp macro="" textlink="">
      <xdr:nvSpPr>
        <xdr:cNvPr id="4941" name="TextBox 4940">
          <a:extLst>
            <a:ext uri="{FF2B5EF4-FFF2-40B4-BE49-F238E27FC236}">
              <a16:creationId xmlns:a16="http://schemas.microsoft.com/office/drawing/2014/main" id="{00000000-0008-0000-0000-00004D130000}"/>
            </a:ext>
          </a:extLst>
        </xdr:cNvPr>
        <xdr:cNvSpPr txBox="1"/>
      </xdr:nvSpPr>
      <xdr:spPr>
        <a:xfrm>
          <a:off x="0" y="698500"/>
          <a:ext cx="1841500" cy="14922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Epic Card Explorer 0.6</a:t>
          </a:r>
        </a:p>
        <a:p>
          <a:r>
            <a:rPr lang="en-US" sz="1100"/>
            <a:t>KS release - Pantheon</a:t>
          </a:r>
        </a:p>
        <a:p>
          <a:endParaRPr lang="en-US" sz="1100"/>
        </a:p>
        <a:p>
          <a:r>
            <a:rPr lang="en-US" sz="1100"/>
            <a:t>Macros must be enabled for this tool to function.</a:t>
          </a:r>
        </a:p>
        <a:p>
          <a:endParaRPr lang="en-US" sz="1100"/>
        </a:p>
        <a:p>
          <a:r>
            <a:rPr lang="en-US" sz="1100" i="1"/>
            <a:t>All information referenced</a:t>
          </a:r>
          <a:r>
            <a:rPr lang="en-US" sz="1100" i="1" baseline="0"/>
            <a:t> by this tool as well as the </a:t>
          </a:r>
          <a:r>
            <a:rPr lang="en-US" sz="1100" i="1"/>
            <a:t>Epic card game</a:t>
          </a:r>
          <a:r>
            <a:rPr lang="en-US" sz="1100" i="1" baseline="0"/>
            <a:t> are </a:t>
          </a:r>
          <a:r>
            <a:rPr lang="en-US" sz="1100" i="1"/>
            <a:t>©2015-2018 White Wizard Games, LLC</a:t>
          </a:r>
          <a:endParaRPr lang="en-US" sz="1100" i="1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oneCellAnchor>
  <xdr:twoCellAnchor editAs="oneCell">
    <xdr:from>
      <xdr:col>46</xdr:col>
      <xdr:colOff>251354</xdr:colOff>
      <xdr:row>2</xdr:row>
      <xdr:rowOff>0</xdr:rowOff>
    </xdr:from>
    <xdr:to>
      <xdr:col>46</xdr:col>
      <xdr:colOff>2598900</xdr:colOff>
      <xdr:row>3</xdr:row>
      <xdr:rowOff>0</xdr:rowOff>
    </xdr:to>
    <xdr:pic>
      <xdr:nvPicPr>
        <xdr:cNvPr id="5158" name="Picture 5157">
          <a:extLst>
            <a:ext uri="{FF2B5EF4-FFF2-40B4-BE49-F238E27FC236}">
              <a16:creationId xmlns:a16="http://schemas.microsoft.com/office/drawing/2014/main" id="{00000000-0008-0000-0000-000026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99229" y="390525"/>
          <a:ext cx="2347546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3BD589-A331-45C9-BC0A-767624674149}" name="Table1" displayName="Table1" ref="AV8:BM304" headerRowDxfId="39" dataDxfId="37" headerRowBorderDxfId="38" tableBorderDxfId="36">
  <tableColumns count="18">
    <tableColumn id="2" xr3:uid="{D17BE06D-D92D-4576-9303-0ECCAD813AF4}" name="Name" dataDxfId="35" totalsRowDxfId="34">
      <calculatedColumnFormula>IF(IFERROR(INDEX($A$9:$W$304,$AS9,COLUMNS($AV8:AV$9)),"")=0,"",IFERROR(INDEX($A$9:$W$304,$AS9,COLUMNS($AV8:AV$9)),""))</calculatedColumnFormula>
    </tableColumn>
    <tableColumn id="3" xr3:uid="{5461BBB1-0BF7-4ECF-8107-93CC8C432ECC}" name="Cost" dataDxfId="33" totalsRowDxfId="32">
      <calculatedColumnFormula>IFERROR(INDEX($A$9:$W$304,$AS9,COLUMNS($AV8:AW$9)),"")</calculatedColumnFormula>
    </tableColumn>
    <tableColumn id="4" xr3:uid="{09B55E6C-24CE-4347-A281-8D8116306741}" name="Primary Align" dataDxfId="31" totalsRowDxfId="30">
      <calculatedColumnFormula>IF(IFERROR(INDEX($A$9:$X$304,$AS9,COLUMNS($AV8:AX$9)),"")=0,"",IFERROR(INDEX($A$9:$X$304,$AS9,COLUMNS($AV8:AX$9)),""))</calculatedColumnFormula>
    </tableColumn>
    <tableColumn id="5" xr3:uid="{CABBFEB2-8FCF-499C-9B8C-92787A3197C3}" name="Secondary Align" dataDxfId="29" totalsRowDxfId="28">
      <calculatedColumnFormula>IF(IFERROR(INDEX($A$9:$X$304,$AS9,COLUMNS($AV8:AY$9)),"")=0,"",IFERROR(INDEX($A$9:$X$304,$AS9,COLUMNS($AV8:AY$9)),""))</calculatedColumnFormula>
    </tableColumn>
    <tableColumn id="6" xr3:uid="{781CD16C-64F7-4144-B215-17BD0FE23431}" name="Type" dataDxfId="27" totalsRowDxfId="26">
      <calculatedColumnFormula>IF(IFERROR(INDEX($A$9:$X$304,$AS9,COLUMNS($AV8:AZ$9)),"")=0,"",IFERROR(INDEX($A$9:$X$304,$AS9,COLUMNS($AV8:AZ$9)),""))</calculatedColumnFormula>
    </tableColumn>
    <tableColumn id="7" xr3:uid="{9D31439B-3E2C-4B19-9987-DE18D75EB1AD}" name="Offense" dataDxfId="25" totalsRowDxfId="24">
      <calculatedColumnFormula>IF(IFERROR(INDEX($A$9:$X$304,$AS9,COLUMNS($AV8:BA$9)),"")=0,"",IFERROR(INDEX($A$9:$X$304,$AS9,COLUMNS($AV8:BA$9)),""))</calculatedColumnFormula>
    </tableColumn>
    <tableColumn id="8" xr3:uid="{81A9FD59-968F-40FF-8ED2-9423DD60794F}" name="Defense" dataDxfId="23" totalsRowDxfId="22">
      <calculatedColumnFormula>IF(IFERROR(INDEX($A$9:$X$304,$AS9,COLUMNS($AV8:BB$9)),"")=0,"",IFERROR(INDEX($A$9:$X$304,$AS9,COLUMNS($AV8:BB$9)),""))</calculatedColumnFormula>
    </tableColumn>
    <tableColumn id="9" xr3:uid="{9871ABEA-1E9F-4BF4-B078-D58204E4F741}" name="Rules_Text" dataDxfId="21" totalsRowDxfId="20">
      <calculatedColumnFormula>IF(IFERROR(INDEX($A$9:$X$304,$AS9,COLUMNS($AV8:BC$9)),"")=0,"",IFERROR(INDEX($A$9:$X$304,$AS9,COLUMNS($AV8:BC$9)),""))</calculatedColumnFormula>
    </tableColumn>
    <tableColumn id="10" xr3:uid="{B3711DDD-A6BC-41AB-ABDD-12280585B080}" name="Rules_Text_2" dataDxfId="19" totalsRowDxfId="18">
      <calculatedColumnFormula>IF(IFERROR(INDEX($A$9:$X$304,$AS9,COLUMNS($AV8:BD$9)),"")=0,"",IFERROR(INDEX($A$9:$X$304,$AS9,COLUMNS($AV8:BD$9)),""))</calculatedColumnFormula>
    </tableColumn>
    <tableColumn id="11" xr3:uid="{A3527F2B-5C91-4FF1-8547-408B1230B9F7}" name="Rules_Text_3" dataDxfId="17" totalsRowDxfId="16">
      <calculatedColumnFormula>IF(IFERROR(INDEX($A$9:$X$304,$AS9,COLUMNS($AV8:BE$9)),"")=0,"",IFERROR(INDEX($A$9:$X$304,$AS9,COLUMNS($AV8:BE$9)),""))</calculatedColumnFormula>
    </tableColumn>
    <tableColumn id="12" xr3:uid="{BDDD466E-D9EB-4EAD-A78F-51FE0269A9C3}" name="Rules_Text_4" dataDxfId="15" totalsRowDxfId="14">
      <calculatedColumnFormula>IF(IFERROR(INDEX($A$9:$X$304,$AS9,COLUMNS($AV8:BF$9)),"")=0,"",IFERROR(INDEX($A$9:$X$304,$AS9,COLUMNS($AV8:BF$9)),""))</calculatedColumnFormula>
    </tableColumn>
    <tableColumn id="13" xr3:uid="{7876CEE4-BC31-4556-AF5D-92C4888464DB}" name="Discard_Text" dataDxfId="13" totalsRowDxfId="12">
      <calculatedColumnFormula>IF(IFERROR(INDEX($A$9:$X$304,$AS9,COLUMNS($AV8:BG$9)),"")=0,"",IFERROR(INDEX($A$9:$X$304,$AS9,COLUMNS($AV8:BG$9)),""))</calculatedColumnFormula>
    </tableColumn>
    <tableColumn id="14" xr3:uid="{D9C2A239-1BF7-4964-8D8D-6095B6BE01FD}" name="Discard_Text_2" dataDxfId="11" totalsRowDxfId="10">
      <calculatedColumnFormula>IF(IFERROR(INDEX($A$9:$X$304,$AS9,COLUMNS($AV8:BH$9)),"")=0,"",IFERROR(INDEX($A$9:$X$304,$AS9,COLUMNS($AV8:BH$9)),""))</calculatedColumnFormula>
    </tableColumn>
    <tableColumn id="15" xr3:uid="{4184A892-6A6F-4041-BB35-5F4223BE6CE1}" name="Discard_Text_3" dataDxfId="9" totalsRowDxfId="8">
      <calculatedColumnFormula>IF(IFERROR(INDEX($A$9:$X$304,$AS9,COLUMNS($AV8:BI$9)),"")=0,"",IFERROR(INDEX($A$9:$X$304,$AS9,COLUMNS($AV8:BI$9)),""))</calculatedColumnFormula>
    </tableColumn>
    <tableColumn id="16" xr3:uid="{4345F8D5-FE3B-48B4-B3B1-2DA6580B5F0C}" name="Subtype" dataDxfId="7" totalsRowDxfId="6">
      <calculatedColumnFormula>IF(IFERROR(INDEX($A$9:$X$304,$AS9,COLUMNS($AV8:BJ$9)),"")=0,"",IFERROR(INDEX($A$9:$X$304,$AS9,COLUMNS($AV8:BJ$9)),""))</calculatedColumnFormula>
    </tableColumn>
    <tableColumn id="17" xr3:uid="{428F859B-07A7-469E-B2EF-A3D0E4A43D09}" name="Rarity" dataDxfId="5" totalsRowDxfId="4">
      <calculatedColumnFormula>IF(IFERROR(INDEX($A$9:$X$304,$AS9,COLUMNS($AV8:BK$9)),"")=0,"",IFERROR(INDEX($A$9:$X$304,$AS9,COLUMNS($AV8:BK$9)),""))</calculatedColumnFormula>
    </tableColumn>
    <tableColumn id="18" xr3:uid="{627ACDC5-57A6-4765-A668-0BBFA1575802}" name="Artist_Name" dataDxfId="3" totalsRowDxfId="2">
      <calculatedColumnFormula>IF(IFERROR(INDEX($A$9:$X$304,$AS9,COLUMNS($AV8:BL$9)),"")=0,"",IFERROR(INDEX($A$9:$X$304,$AS9,COLUMNS($AV8:BL$9)),""))</calculatedColumnFormula>
    </tableColumn>
    <tableColumn id="19" xr3:uid="{B6CFE219-50DA-4001-8A50-F3A232901019}" name="Set_Name" totalsRowFunction="count" dataDxfId="1" totalsRowDxfId="0">
      <calculatedColumnFormula>IF(IFERROR(INDEX($A$9:$X$304,$AS9,COLUMNS($AV8:BM$9)),"")=0,"",IFERROR(INDEX($A$9:$X$304,$AS9,COLUMNS($AV8:BM$9)),""))</calculatedColumnFormula>
    </tableColumn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epiccardgame.com/wp-content/uploads/2017/11/PNH-EN-12-herald-of-lashnok.jpg" TargetMode="External"/><Relationship Id="rId299" Type="http://schemas.openxmlformats.org/officeDocument/2006/relationships/vmlDrawing" Target="../drawings/vmlDrawing1.vml"/><Relationship Id="rId303" Type="http://schemas.openxmlformats.org/officeDocument/2006/relationships/image" Target="../media/image2.emf"/><Relationship Id="rId21" Type="http://schemas.openxmlformats.org/officeDocument/2006/relationships/hyperlink" Target="http://www.epiccardgame.com/wp-content/uploads/2016/03/battle_cry-214x300.jpg" TargetMode="External"/><Relationship Id="rId42" Type="http://schemas.openxmlformats.org/officeDocument/2006/relationships/hyperlink" Target="http://www.epiccardgame.com/wp-content/uploads/2015/09/corpse_taker-215x300.jpg" TargetMode="External"/><Relationship Id="rId63" Type="http://schemas.openxmlformats.org/officeDocument/2006/relationships/hyperlink" Target="http://www.epiccardgame.com/wp-content/uploads/2016/03/draka_dragon_tyrant-214x300.jpg" TargetMode="External"/><Relationship Id="rId84" Type="http://schemas.openxmlformats.org/officeDocument/2006/relationships/hyperlink" Target="http://www.epiccardgame.com/wp-content/uploads/2015/09/flame_strike-215x300.jpg" TargetMode="External"/><Relationship Id="rId138" Type="http://schemas.openxmlformats.org/officeDocument/2006/relationships/hyperlink" Target="http://www.epiccardgame.com/wp-content/uploads/2015/09/kalnor_s_blessing-215x300.jpg" TargetMode="External"/><Relationship Id="rId159" Type="http://schemas.openxmlformats.org/officeDocument/2006/relationships/hyperlink" Target="https://www.epiccardgame.com/wp-content/uploads/2017/11/UPK-EN-martial-law.jpg" TargetMode="External"/><Relationship Id="rId170" Type="http://schemas.openxmlformats.org/officeDocument/2006/relationships/hyperlink" Target="http://www.epiccardgame.com/wp-content/uploads/2015/09/necromancer_apprentice-215x300.jpg" TargetMode="External"/><Relationship Id="rId191" Type="http://schemas.openxmlformats.org/officeDocument/2006/relationships/hyperlink" Target="https://www.epiccardgame.com/wp-content/uploads/2017/11/UPZ-EN-pyrosaur.jpg" TargetMode="External"/><Relationship Id="rId205" Type="http://schemas.openxmlformats.org/officeDocument/2006/relationships/hyperlink" Target="https://www.epiccardgame.com/wp-content/uploads/2017/11/UPV-EN-rescue-griffin.jpg" TargetMode="External"/><Relationship Id="rId226" Type="http://schemas.openxmlformats.org/officeDocument/2006/relationships/hyperlink" Target="http://www.epiccardgame.com/wp-content/uploads/2015/09/sea_titan-215x300.jpg" TargetMode="External"/><Relationship Id="rId247" Type="http://schemas.openxmlformats.org/officeDocument/2006/relationships/hyperlink" Target="https://www.epiccardgame.com/wp-content/uploads/2017/11/PNA-EN-07-steel-titan.jpg" TargetMode="External"/><Relationship Id="rId107" Type="http://schemas.openxmlformats.org/officeDocument/2006/relationships/hyperlink" Target="http://www.epiccardgame.com/wp-content/uploads/2015/09/guilt_demon-215x300.jpg" TargetMode="External"/><Relationship Id="rId268" Type="http://schemas.openxmlformats.org/officeDocument/2006/relationships/hyperlink" Target="http://www.epiccardgame.com/wp-content/uploads/2015/09/unquenchable_thirst-215x300.jpg" TargetMode="External"/><Relationship Id="rId289" Type="http://schemas.openxmlformats.org/officeDocument/2006/relationships/hyperlink" Target="http://www.epiccardgame.com/wp-content/uploads/2016/03/wolfs_bite-214x300.jpg" TargetMode="External"/><Relationship Id="rId11" Type="http://schemas.openxmlformats.org/officeDocument/2006/relationships/hyperlink" Target="https://www.epiccardgame.com/wp-content/uploads/2017/11/PNA-EN-03-angeline-s-favor.jpg" TargetMode="External"/><Relationship Id="rId32" Type="http://schemas.openxmlformats.org/officeDocument/2006/relationships/hyperlink" Target="http://www.epiccardgame.com/wp-content/uploads/2015/09/burrowing_wurm-215x300.jpg" TargetMode="External"/><Relationship Id="rId53" Type="http://schemas.openxmlformats.org/officeDocument/2006/relationships/hyperlink" Target="http://www.epiccardgame.com/wp-content/uploads/2015/09/demon_breach-215x300.jpg" TargetMode="External"/><Relationship Id="rId74" Type="http://schemas.openxmlformats.org/officeDocument/2006/relationships/hyperlink" Target="http://www.epiccardgame.com/wp-content/uploads/2015/09/faithful_pegasus-215x300.jpg" TargetMode="External"/><Relationship Id="rId128" Type="http://schemas.openxmlformats.org/officeDocument/2006/relationships/hyperlink" Target="http://www.epiccardgame.com/wp-content/uploads/2015/09/infernal_gatekeeper-215x300.jpg" TargetMode="External"/><Relationship Id="rId149" Type="http://schemas.openxmlformats.org/officeDocument/2006/relationships/hyperlink" Target="https://www.epiccardgame.com/wp-content/uploads/2017/11/PNG-EN-09-lashnok.jpg" TargetMode="External"/><Relationship Id="rId314" Type="http://schemas.openxmlformats.org/officeDocument/2006/relationships/ctrlProp" Target="../ctrlProps/ctrlProp1.xml"/><Relationship Id="rId5" Type="http://schemas.openxmlformats.org/officeDocument/2006/relationships/hyperlink" Target="http://www.epiccardgame.com/wp-content/uploads/2015/09/ancient_chant-215x300.jpg" TargetMode="External"/><Relationship Id="rId95" Type="http://schemas.openxmlformats.org/officeDocument/2006/relationships/hyperlink" Target="http://www.epiccardgame.com/wp-content/uploads/2015/09/frost_giant-215x300.jpg" TargetMode="External"/><Relationship Id="rId160" Type="http://schemas.openxmlformats.org/officeDocument/2006/relationships/hyperlink" Target="https://www.epiccardgame.com/wp-content/uploads/2017/11/PNG-EN-05-master-forcemage.jpg" TargetMode="External"/><Relationship Id="rId181" Type="http://schemas.openxmlformats.org/officeDocument/2006/relationships/hyperlink" Target="http://www.epiccardgame.com/wp-content/uploads/2015/09/pack_alpha-215x300.jpg" TargetMode="External"/><Relationship Id="rId216" Type="http://schemas.openxmlformats.org/officeDocument/2006/relationships/hyperlink" Target="https://www.epiccardgame.com/wp-content/uploads/2017/11/UPZ-EN-savage-uprising.jpg" TargetMode="External"/><Relationship Id="rId237" Type="http://schemas.openxmlformats.org/officeDocument/2006/relationships/hyperlink" Target="http://www.epiccardgame.com/wp-content/uploads/2015/09/soul_hunter-215x300.jpg" TargetMode="External"/><Relationship Id="rId258" Type="http://schemas.openxmlformats.org/officeDocument/2006/relationships/hyperlink" Target="http://www.epiccardgame.com/wp-content/uploads/2015/09/thought_plucker-215x300.jpg" TargetMode="External"/><Relationship Id="rId279" Type="http://schemas.openxmlformats.org/officeDocument/2006/relationships/hyperlink" Target="http://www.epiccardgame.com/wp-content/uploads/2015/09/wave_of_transformation-215x300.jpg" TargetMode="External"/><Relationship Id="rId22" Type="http://schemas.openxmlformats.org/officeDocument/2006/relationships/hyperlink" Target="http://www.epiccardgame.com/wp-content/uploads/2015/09/bellowing_minotaur-215x300.jpg" TargetMode="External"/><Relationship Id="rId43" Type="http://schemas.openxmlformats.org/officeDocument/2006/relationships/hyperlink" Target="https://www.epiccardgame.com/wp-content/uploads/2017/11/UPZ-EN-corpsemonger.jpg" TargetMode="External"/><Relationship Id="rId64" Type="http://schemas.openxmlformats.org/officeDocument/2006/relationships/hyperlink" Target="http://www.epiccardgame.com/wp-content/uploads/2015/09/drinker_of_blood-215x300.jpg" TargetMode="External"/><Relationship Id="rId118" Type="http://schemas.openxmlformats.org/officeDocument/2006/relationships/hyperlink" Target="https://www.epiccardgame.com/wp-content/uploads/2017/11/PNA-EN-11-herald-of-scara.jpg" TargetMode="External"/><Relationship Id="rId139" Type="http://schemas.openxmlformats.org/officeDocument/2006/relationships/hyperlink" Target="http://www.epiccardgame.com/wp-content/uploads/2015/09/keeper_of_secrets-215x300.jpg" TargetMode="External"/><Relationship Id="rId290" Type="http://schemas.openxmlformats.org/officeDocument/2006/relationships/hyperlink" Target="http://www.epiccardgame.com/wp-content/uploads/2015/09/word_of_summoning-215x300.jpg" TargetMode="External"/><Relationship Id="rId304" Type="http://schemas.openxmlformats.org/officeDocument/2006/relationships/control" Target="../activeX/activeX3.xml"/><Relationship Id="rId85" Type="http://schemas.openxmlformats.org/officeDocument/2006/relationships/hyperlink" Target="https://www.epiccardgame.com/wp-content/uploads/2017/11/PNA-EN-14-flames-of-furios.jpg" TargetMode="External"/><Relationship Id="rId150" Type="http://schemas.openxmlformats.org/officeDocument/2006/relationships/hyperlink" Target="http://www.epiccardgame.com/wp-content/uploads/2016/03/lesson_learned-214x300.jpg" TargetMode="External"/><Relationship Id="rId171" Type="http://schemas.openxmlformats.org/officeDocument/2006/relationships/hyperlink" Target="https://www.epiccardgame.com/wp-content/uploads/2017/11/PNH-EN-15-necromancer-apprentice.jpg" TargetMode="External"/><Relationship Id="rId192" Type="http://schemas.openxmlformats.org/officeDocument/2006/relationships/hyperlink" Target="http://www.epiccardgame.com/wp-content/uploads/2016/03/quell-214x300.jpg" TargetMode="External"/><Relationship Id="rId206" Type="http://schemas.openxmlformats.org/officeDocument/2006/relationships/hyperlink" Target="https://www.epiccardgame.com/wp-content/uploads/2017/11/UPS-EN-reset.jpg" TargetMode="External"/><Relationship Id="rId227" Type="http://schemas.openxmlformats.org/officeDocument/2006/relationships/hyperlink" Target="http://www.epiccardgame.com/wp-content/uploads/2015/09/searing_blast-215x300.jpg" TargetMode="External"/><Relationship Id="rId248" Type="http://schemas.openxmlformats.org/officeDocument/2006/relationships/hyperlink" Target="http://www.epiccardgame.com/wp-content/uploads/2015/09/strafing_dragon-215x300.jpg" TargetMode="External"/><Relationship Id="rId269" Type="http://schemas.openxmlformats.org/officeDocument/2006/relationships/hyperlink" Target="http://www.epiccardgame.com/wp-content/uploads/2016/03/urgent_messengers-214x300.jpg" TargetMode="External"/><Relationship Id="rId12" Type="http://schemas.openxmlformats.org/officeDocument/2006/relationships/hyperlink" Target="https://www.epiccardgame.com/wp-content/uploads/2017/11/PNF-EN-06-angeline-s-will.jpg" TargetMode="External"/><Relationship Id="rId33" Type="http://schemas.openxmlformats.org/officeDocument/2006/relationships/hyperlink" Target="https://www.epiccardgame.com/wp-content/uploads/2017/11/PNH-EN-04-cast-out.jpg" TargetMode="External"/><Relationship Id="rId108" Type="http://schemas.openxmlformats.org/officeDocument/2006/relationships/hyperlink" Target="https://www.epiccardgame.com/wp-content/uploads/2017/11/PNG-EN-14-hand-of-angeline.jpg" TargetMode="External"/><Relationship Id="rId129" Type="http://schemas.openxmlformats.org/officeDocument/2006/relationships/hyperlink" Target="http://www.epiccardgame.com/wp-content/uploads/2015/09/inheritance_of_the_meek-215x300.jpg" TargetMode="External"/><Relationship Id="rId280" Type="http://schemas.openxmlformats.org/officeDocument/2006/relationships/hyperlink" Target="http://www.epiccardgame.com/wp-content/uploads/2015/09/white_dragon-215x300.jpg" TargetMode="External"/><Relationship Id="rId315" Type="http://schemas.openxmlformats.org/officeDocument/2006/relationships/table" Target="../tables/table1.xml"/><Relationship Id="rId54" Type="http://schemas.openxmlformats.org/officeDocument/2006/relationships/hyperlink" Target="https://www.epiccardgame.com/wp-content/uploads/2017/11/PNG-EN-17-demon-token.jpg" TargetMode="External"/><Relationship Id="rId75" Type="http://schemas.openxmlformats.org/officeDocument/2006/relationships/hyperlink" Target="http://www.epiccardgame.com/wp-content/uploads/2016/03/feeding_frenzy-214x300.jpg" TargetMode="External"/><Relationship Id="rId96" Type="http://schemas.openxmlformats.org/officeDocument/2006/relationships/hyperlink" Target="http://www.epiccardgame.com/wp-content/uploads/2016/03/fumble-214x300.jpg" TargetMode="External"/><Relationship Id="rId140" Type="http://schemas.openxmlformats.org/officeDocument/2006/relationships/hyperlink" Target="https://www.epiccardgame.com/wp-content/uploads/2017/11/PNA-EN-15-keira-wolf-caller.jpg" TargetMode="External"/><Relationship Id="rId161" Type="http://schemas.openxmlformats.org/officeDocument/2006/relationships/hyperlink" Target="https://www.epiccardgame.com/wp-content/uploads/2017/11/UPS-EN-master-zo.jpg" TargetMode="External"/><Relationship Id="rId182" Type="http://schemas.openxmlformats.org/officeDocument/2006/relationships/hyperlink" Target="http://www.epiccardgame.com/wp-content/uploads/2015/09/palace_guard-215x300.jpg" TargetMode="External"/><Relationship Id="rId217" Type="http://schemas.openxmlformats.org/officeDocument/2006/relationships/hyperlink" Target="https://www.epiccardgame.com/wp-content/uploads/2017/11/PNF-EN-16-scara-s-gift.jpg" TargetMode="External"/><Relationship Id="rId6" Type="http://schemas.openxmlformats.org/officeDocument/2006/relationships/hyperlink" Target="http://www.epiccardgame.com/wp-content/uploads/2015/09/angel_of_death-215x300.jpg" TargetMode="External"/><Relationship Id="rId238" Type="http://schemas.openxmlformats.org/officeDocument/2006/relationships/hyperlink" Target="http://www.epiccardgame.com/wp-content/uploads/2016/03/spawning_demon-214x300.jpg" TargetMode="External"/><Relationship Id="rId259" Type="http://schemas.openxmlformats.org/officeDocument/2006/relationships/hyperlink" Target="http://www.epiccardgame.com/wp-content/uploads/2015/09/thrasher_demon-215x300.jpg" TargetMode="External"/><Relationship Id="rId23" Type="http://schemas.openxmlformats.org/officeDocument/2006/relationships/hyperlink" Target="http://www.epiccardgame.com/wp-content/uploads/2015/09/bitten-215x300.jpg" TargetMode="External"/><Relationship Id="rId119" Type="http://schemas.openxmlformats.org/officeDocument/2006/relationships/hyperlink" Target="http://www.epiccardgame.com/wp-content/uploads/2015/09/high_king-215x300.jpg" TargetMode="External"/><Relationship Id="rId270" Type="http://schemas.openxmlformats.org/officeDocument/2006/relationships/hyperlink" Target="http://www.epiccardgame.com/wp-content/uploads/2015/09/vampire_lord-215x300.jpg" TargetMode="External"/><Relationship Id="rId291" Type="http://schemas.openxmlformats.org/officeDocument/2006/relationships/hyperlink" Target="http://www.epiccardgame.com/wp-content/uploads/2015/09/wurm_hatchling-215x300.jpg" TargetMode="External"/><Relationship Id="rId305" Type="http://schemas.openxmlformats.org/officeDocument/2006/relationships/image" Target="../media/image3.emf"/><Relationship Id="rId44" Type="http://schemas.openxmlformats.org/officeDocument/2006/relationships/hyperlink" Target="http://www.epiccardgame.com/wp-content/uploads/2015/09/courageous_soul-215x300.jpg" TargetMode="External"/><Relationship Id="rId65" Type="http://schemas.openxmlformats.org/officeDocument/2006/relationships/hyperlink" Target="http://www.epiccardgame.com/wp-content/uploads/2016/03/elara_the_lycomancer-214x300.jpg" TargetMode="External"/><Relationship Id="rId86" Type="http://schemas.openxmlformats.org/officeDocument/2006/relationships/hyperlink" Target="http://www.epiccardgame.com/wp-content/uploads/2015/09/flash_fire-215x300.jpg" TargetMode="External"/><Relationship Id="rId130" Type="http://schemas.openxmlformats.org/officeDocument/2006/relationships/hyperlink" Target="http://www.epiccardgame.com/wp-content/uploads/2015/09/inner_demon-215x300.jpg" TargetMode="External"/><Relationship Id="rId151" Type="http://schemas.openxmlformats.org/officeDocument/2006/relationships/hyperlink" Target="http://www.epiccardgame.com/wp-content/uploads/2015/09/lightning_storm-215x300.jpg" TargetMode="External"/><Relationship Id="rId172" Type="http://schemas.openxmlformats.org/officeDocument/2006/relationships/hyperlink" Target="http://www.epiccardgame.com/wp-content/uploads/2015/09/necromancer_lord-215x300.jpg" TargetMode="External"/><Relationship Id="rId193" Type="http://schemas.openxmlformats.org/officeDocument/2006/relationships/hyperlink" Target="http://www.epiccardgame.com/wp-content/uploads/2016/03/rabble_rouser-214x300.jpg" TargetMode="External"/><Relationship Id="rId207" Type="http://schemas.openxmlformats.org/officeDocument/2006/relationships/hyperlink" Target="http://www.epiccardgame.com/wp-content/uploads/2015/09/resurrection-215x300.jpg" TargetMode="External"/><Relationship Id="rId228" Type="http://schemas.openxmlformats.org/officeDocument/2006/relationships/hyperlink" Target="http://www.epiccardgame.com/wp-content/uploads/2016/03/second_wind-214x300.jpg" TargetMode="External"/><Relationship Id="rId249" Type="http://schemas.openxmlformats.org/officeDocument/2006/relationships/hyperlink" Target="http://www.epiccardgame.com/wp-content/uploads/2015/09/succubus-215x300.jpg" TargetMode="External"/><Relationship Id="rId13" Type="http://schemas.openxmlformats.org/officeDocument/2006/relationships/hyperlink" Target="https://www.epiccardgame.com/wp-content/uploads/2017/11/PNA-EN-01-angeline.jpg" TargetMode="External"/><Relationship Id="rId109" Type="http://schemas.openxmlformats.org/officeDocument/2006/relationships/hyperlink" Target="http://www.epiccardgame.com/wp-content/uploads/2016/03/hands_from_below-214x300.jpg" TargetMode="External"/><Relationship Id="rId260" Type="http://schemas.openxmlformats.org/officeDocument/2006/relationships/hyperlink" Target="http://www.epiccardgame.com/wp-content/uploads/2015/09/thundarus-215x300.jpg" TargetMode="External"/><Relationship Id="rId281" Type="http://schemas.openxmlformats.org/officeDocument/2006/relationships/hyperlink" Target="http://www.epiccardgame.com/wp-content/uploads/2015/09/white_knight-215x300.jpg" TargetMode="External"/><Relationship Id="rId34" Type="http://schemas.openxmlformats.org/officeDocument/2006/relationships/hyperlink" Target="http://www.epiccardgame.com/wp-content/uploads/2015/09/cave_troll-215x300.jpg" TargetMode="External"/><Relationship Id="rId55" Type="http://schemas.openxmlformats.org/officeDocument/2006/relationships/hyperlink" Target="https://www.epiccardgame.com/wp-content/uploads/2017/11/UPV-EN-demonic-rising.jpg" TargetMode="External"/><Relationship Id="rId76" Type="http://schemas.openxmlformats.org/officeDocument/2006/relationships/hyperlink" Target="http://www.epiccardgame.com/wp-content/uploads/2015/09/feint-215x300.jpg" TargetMode="External"/><Relationship Id="rId97" Type="http://schemas.openxmlformats.org/officeDocument/2006/relationships/hyperlink" Target="https://www.epiccardgame.com/wp-content/uploads/2017/11/PNF-EN-01-furios.jpg" TargetMode="External"/><Relationship Id="rId120" Type="http://schemas.openxmlformats.org/officeDocument/2006/relationships/hyperlink" Target="http://www.epiccardgame.com/wp-content/uploads/2015/09/hill_giant-215x300.jpg" TargetMode="External"/><Relationship Id="rId141" Type="http://schemas.openxmlformats.org/officeDocument/2006/relationships/hyperlink" Target="https://www.epiccardgame.com/wp-content/uploads/2017/11/UPK-EN-knight-of-elara.jpg" TargetMode="External"/><Relationship Id="rId7" Type="http://schemas.openxmlformats.org/officeDocument/2006/relationships/hyperlink" Target="http://www.epiccardgame.com/wp-content/uploads/2015/09/angel_of_light-215x300.jpg" TargetMode="External"/><Relationship Id="rId162" Type="http://schemas.openxmlformats.org/officeDocument/2006/relationships/hyperlink" Target="http://www.epiccardgame.com/wp-content/uploads/2015/09/medusa-215x300.jpg" TargetMode="External"/><Relationship Id="rId183" Type="http://schemas.openxmlformats.org/officeDocument/2006/relationships/hyperlink" Target="http://www.epiccardgame.com/wp-content/uploads/2016/03/paros_rebel_leader-214x300.jpg" TargetMode="External"/><Relationship Id="rId218" Type="http://schemas.openxmlformats.org/officeDocument/2006/relationships/hyperlink" Target="https://www.epiccardgame.com/wp-content/uploads/2017/11/PNA-EN-12-scara-s-will.jpg" TargetMode="External"/><Relationship Id="rId239" Type="http://schemas.openxmlformats.org/officeDocument/2006/relationships/hyperlink" Target="http://www.epiccardgame.com/wp-content/uploads/2015/09/spike_trap-215x300.jpg" TargetMode="External"/><Relationship Id="rId250" Type="http://schemas.openxmlformats.org/officeDocument/2006/relationships/hyperlink" Target="http://www.epiccardgame.com/wp-content/uploads/2015/09/surprise_attack-215x300.jpg" TargetMode="External"/><Relationship Id="rId271" Type="http://schemas.openxmlformats.org/officeDocument/2006/relationships/hyperlink" Target="http://www.epiccardgame.com/wp-content/uploads/2016/03/vanishing-214x300.jpg" TargetMode="External"/><Relationship Id="rId292" Type="http://schemas.openxmlformats.org/officeDocument/2006/relationships/hyperlink" Target="https://www.epiccardgame.com/wp-content/uploads/2017/11/PNH-EN-09-zaltessa.jpg" TargetMode="External"/><Relationship Id="rId306" Type="http://schemas.openxmlformats.org/officeDocument/2006/relationships/control" Target="../activeX/activeX4.xml"/><Relationship Id="rId24" Type="http://schemas.openxmlformats.org/officeDocument/2006/relationships/hyperlink" Target="http://www.epiccardgame.com/wp-content/uploads/2016/03/blind_faith-214x300.jpg" TargetMode="External"/><Relationship Id="rId45" Type="http://schemas.openxmlformats.org/officeDocument/2006/relationships/hyperlink" Target="http://www.epiccardgame.com/wp-content/uploads/2015/09/crystal_golem-215x300.jpg" TargetMode="External"/><Relationship Id="rId66" Type="http://schemas.openxmlformats.org/officeDocument/2006/relationships/hyperlink" Target="http://www.epiccardgame.com/wp-content/uploads/2015/09/elder_greatwurm-215x300.jpg" TargetMode="External"/><Relationship Id="rId87" Type="http://schemas.openxmlformats.org/officeDocument/2006/relationships/hyperlink" Target="http://www.epiccardgame.com/wp-content/uploads/2015/09/forbidden_research-215x300.jpg" TargetMode="External"/><Relationship Id="rId110" Type="http://schemas.openxmlformats.org/officeDocument/2006/relationships/hyperlink" Target="http://www.epiccardgame.com/wp-content/uploads/2015/09/hasty_retreat-215x300.jpg" TargetMode="External"/><Relationship Id="rId131" Type="http://schemas.openxmlformats.org/officeDocument/2006/relationships/hyperlink" Target="http://www.epiccardgame.com/wp-content/uploads/2015/09/inner_peace-215x300.jpg" TargetMode="External"/><Relationship Id="rId61" Type="http://schemas.openxmlformats.org/officeDocument/2006/relationships/hyperlink" Target="http://www.epiccardgame.com/wp-content/uploads/2016/03/drakas_enforcer-214x300.jpg" TargetMode="External"/><Relationship Id="rId82" Type="http://schemas.openxmlformats.org/officeDocument/2006/relationships/hyperlink" Target="https://www.epiccardgame.com/wp-content/uploads/2017/11/UPK-EN-fires-of-rebellion.jpg" TargetMode="External"/><Relationship Id="rId152" Type="http://schemas.openxmlformats.org/officeDocument/2006/relationships/hyperlink" Target="http://www.epiccardgame.com/wp-content/uploads/2016/03/lightning_strike-214x300.jpg" TargetMode="External"/><Relationship Id="rId173" Type="http://schemas.openxmlformats.org/officeDocument/2006/relationships/hyperlink" Target="http://www.epiccardgame.com/wp-content/uploads/2016/03/necrovirus-214x300.jpg" TargetMode="External"/><Relationship Id="rId194" Type="http://schemas.openxmlformats.org/officeDocument/2006/relationships/hyperlink" Target="http://www.epiccardgame.com/wp-content/uploads/2015/09/rage-215x300.jpg" TargetMode="External"/><Relationship Id="rId199" Type="http://schemas.openxmlformats.org/officeDocument/2006/relationships/hyperlink" Target="http://www.epiccardgame.com/wp-content/uploads/2016/03/raxxas_curse-214x300.jpg" TargetMode="External"/><Relationship Id="rId203" Type="http://schemas.openxmlformats.org/officeDocument/2006/relationships/hyperlink" Target="http://www.epiccardgame.com/wp-content/uploads/2016/03/reap_or_sow-214x300.jpg" TargetMode="External"/><Relationship Id="rId208" Type="http://schemas.openxmlformats.org/officeDocument/2006/relationships/hyperlink" Target="https://www.epiccardgame.com/wp-content/uploads/2017/11/UPZ-EN-reusable-knowledge.jpg" TargetMode="External"/><Relationship Id="rId229" Type="http://schemas.openxmlformats.org/officeDocument/2006/relationships/hyperlink" Target="http://www.epiccardgame.com/wp-content/uploads/2015/09/secret_legion-215x300.jpg" TargetMode="External"/><Relationship Id="rId19" Type="http://schemas.openxmlformats.org/officeDocument/2006/relationships/hyperlink" Target="http://www.epiccardgame.com/wp-content/uploads/2015/09/avenging_angel-215x300.jpg" TargetMode="External"/><Relationship Id="rId224" Type="http://schemas.openxmlformats.org/officeDocument/2006/relationships/hyperlink" Target="https://www.epiccardgame.com/wp-content/uploads/2017/11/PNF-EN-13-scrap-golem.jpg" TargetMode="External"/><Relationship Id="rId240" Type="http://schemas.openxmlformats.org/officeDocument/2006/relationships/hyperlink" Target="http://www.epiccardgame.com/wp-content/uploads/2015/09/spite-215x300.jpg" TargetMode="External"/><Relationship Id="rId245" Type="http://schemas.openxmlformats.org/officeDocument/2006/relationships/hyperlink" Target="https://www.epiccardgame.com/wp-content/uploads/2017/11/PNH-EN-16-steed-of-zaltessa.jpg" TargetMode="External"/><Relationship Id="rId261" Type="http://schemas.openxmlformats.org/officeDocument/2006/relationships/hyperlink" Target="http://www.epiccardgame.com/wp-content/uploads/2015/09/time_bender-215x300.jpg" TargetMode="External"/><Relationship Id="rId266" Type="http://schemas.openxmlformats.org/officeDocument/2006/relationships/hyperlink" Target="http://www.epiccardgame.com/wp-content/uploads/2015/09/trihorror-215x300.jpg" TargetMode="External"/><Relationship Id="rId287" Type="http://schemas.openxmlformats.org/officeDocument/2006/relationships/hyperlink" Target="https://www.epiccardgame.com/wp-content/uploads/2017/11/PNA-EN-17-wolf-token.jpg" TargetMode="External"/><Relationship Id="rId14" Type="http://schemas.openxmlformats.org/officeDocument/2006/relationships/hyperlink" Target="http://www.epiccardgame.com/wp-content/uploads/2016/03/ankylosaurus-214x300.jpg" TargetMode="External"/><Relationship Id="rId30" Type="http://schemas.openxmlformats.org/officeDocument/2006/relationships/hyperlink" Target="http://www.epiccardgame.com/wp-content/uploads/2015/09/brave_squire-215x300.jpg" TargetMode="External"/><Relationship Id="rId35" Type="http://schemas.openxmlformats.org/officeDocument/2006/relationships/hyperlink" Target="http://www.epiccardgame.com/wp-content/uploads/2015/09/ceasefire-215x300.jpg" TargetMode="External"/><Relationship Id="rId56" Type="http://schemas.openxmlformats.org/officeDocument/2006/relationships/hyperlink" Target="https://www.epiccardgame.com/wp-content/uploads/2017/11/UPV-EN-den-mother.jpg" TargetMode="External"/><Relationship Id="rId77" Type="http://schemas.openxmlformats.org/officeDocument/2006/relationships/hyperlink" Target="https://www.epiccardgame.com/wp-content/uploads/2017/11/PNF-EN-03-fiery-demise.jpg" TargetMode="External"/><Relationship Id="rId100" Type="http://schemas.openxmlformats.org/officeDocument/2006/relationships/hyperlink" Target="https://www.epiccardgame.com/wp-content/uploads/2017/11/PNG-EN-04-gareth-s-juggernaut.jpg" TargetMode="External"/><Relationship Id="rId105" Type="http://schemas.openxmlformats.org/officeDocument/2006/relationships/hyperlink" Target="http://www.epiccardgame.com/wp-content/uploads/2016/03/great_horned_lizard-214x300.jpg" TargetMode="External"/><Relationship Id="rId126" Type="http://schemas.openxmlformats.org/officeDocument/2006/relationships/hyperlink" Target="http://www.epiccardgame.com/wp-content/uploads/2015/09/hurricane-215x300.jpg" TargetMode="External"/><Relationship Id="rId147" Type="http://schemas.openxmlformats.org/officeDocument/2006/relationships/hyperlink" Target="http://www.epiccardgame.com/wp-content/uploads/2015/09/lash-215x300.jpg" TargetMode="External"/><Relationship Id="rId168" Type="http://schemas.openxmlformats.org/officeDocument/2006/relationships/hyperlink" Target="https://www.epiccardgame.com/wp-content/uploads/2017/11/PNH-EN-08-mystic-researcher.jpg" TargetMode="External"/><Relationship Id="rId282" Type="http://schemas.openxmlformats.org/officeDocument/2006/relationships/hyperlink" Target="https://www.epiccardgame.com/wp-content/uploads/2017/11/UPV-EN-winds-of-change.jpg" TargetMode="External"/><Relationship Id="rId312" Type="http://schemas.openxmlformats.org/officeDocument/2006/relationships/control" Target="../activeX/activeX7.xml"/><Relationship Id="rId8" Type="http://schemas.openxmlformats.org/officeDocument/2006/relationships/hyperlink" Target="http://www.epiccardgame.com/wp-content/uploads/2015/09/angel_of_mercy-215x300.jpg" TargetMode="External"/><Relationship Id="rId51" Type="http://schemas.openxmlformats.org/officeDocument/2006/relationships/hyperlink" Target="http://www.epiccardgame.com/wp-content/uploads/2015/09/dark_prince-215x300.jpg" TargetMode="External"/><Relationship Id="rId72" Type="http://schemas.openxmlformats.org/officeDocument/2006/relationships/hyperlink" Target="https://www.epiccardgame.com/wp-content/uploads/2017/11/PNG-EN-03-fairy-entrancer.jpg" TargetMode="External"/><Relationship Id="rId93" Type="http://schemas.openxmlformats.org/officeDocument/2006/relationships/hyperlink" Target="http://www.epiccardgame.com/wp-content/uploads/2015/09/forked_lightning-215x300.jpg" TargetMode="External"/><Relationship Id="rId98" Type="http://schemas.openxmlformats.org/officeDocument/2006/relationships/hyperlink" Target="https://www.epiccardgame.com/wp-content/uploads/2017/11/PNH-EN-07-gareth-s-will.jpg" TargetMode="External"/><Relationship Id="rId121" Type="http://schemas.openxmlformats.org/officeDocument/2006/relationships/hyperlink" Target="https://www.epiccardgame.com/wp-content/uploads/2017/11/PNG-EN-18-human-token-back.jpg" TargetMode="External"/><Relationship Id="rId142" Type="http://schemas.openxmlformats.org/officeDocument/2006/relationships/hyperlink" Target="http://www.epiccardgame.com/wp-content/uploads/2016/03/knight_of_shadows-214x300.jpg" TargetMode="External"/><Relationship Id="rId163" Type="http://schemas.openxmlformats.org/officeDocument/2006/relationships/hyperlink" Target="http://www.epiccardgame.com/wp-content/uploads/2015/09/memory_spirit-215x300.jpg" TargetMode="External"/><Relationship Id="rId184" Type="http://schemas.openxmlformats.org/officeDocument/2006/relationships/hyperlink" Target="http://www.epiccardgame.com/wp-content/uploads/2015/09/plague-215x300.jpg" TargetMode="External"/><Relationship Id="rId189" Type="http://schemas.openxmlformats.org/officeDocument/2006/relationships/hyperlink" Target="http://www.epiccardgame.com/wp-content/uploads/2015/09/psionic_assault-215x300.jpg" TargetMode="External"/><Relationship Id="rId219" Type="http://schemas.openxmlformats.org/officeDocument/2006/relationships/hyperlink" Target="https://www.epiccardgame.com/wp-content/uploads/2017/11/PNA-EN-09-scara.jpg" TargetMode="External"/><Relationship Id="rId3" Type="http://schemas.openxmlformats.org/officeDocument/2006/relationships/hyperlink" Target="https://www.epiccardgame.com/wp-content/uploads/2017/11/PNH-EN-03-ambush-party.jpg" TargetMode="External"/><Relationship Id="rId214" Type="http://schemas.openxmlformats.org/officeDocument/2006/relationships/hyperlink" Target="https://www.epiccardgame.com/wp-content/uploads/2017/11/PNG-EN-13-rybas-canopy-sniper.jpg" TargetMode="External"/><Relationship Id="rId230" Type="http://schemas.openxmlformats.org/officeDocument/2006/relationships/hyperlink" Target="http://www.epiccardgame.com/wp-content/uploads/2016/03/shadow_imp-214x300.jpg" TargetMode="External"/><Relationship Id="rId235" Type="http://schemas.openxmlformats.org/officeDocument/2006/relationships/hyperlink" Target="https://www.epiccardgame.com/wp-content/uploads/2017/11/UPZ-EN-siren-s-song.jpg" TargetMode="External"/><Relationship Id="rId251" Type="http://schemas.openxmlformats.org/officeDocument/2006/relationships/hyperlink" Target="http://www.epiccardgame.com/wp-content/uploads/2015/09/teleport-215x300.jpg" TargetMode="External"/><Relationship Id="rId256" Type="http://schemas.openxmlformats.org/officeDocument/2006/relationships/hyperlink" Target="http://www.epiccardgame.com/wp-content/uploads/2015/09/the_people_s_champion-215x300.jpg" TargetMode="External"/><Relationship Id="rId277" Type="http://schemas.openxmlformats.org/officeDocument/2006/relationships/hyperlink" Target="http://www.epiccardgame.com/wp-content/uploads/2015/09/warrior_golem-215x300.jpg" TargetMode="External"/><Relationship Id="rId298" Type="http://schemas.openxmlformats.org/officeDocument/2006/relationships/drawing" Target="../drawings/drawing1.xml"/><Relationship Id="rId25" Type="http://schemas.openxmlformats.org/officeDocument/2006/relationships/hyperlink" Target="http://www.epiccardgame.com/wp-content/uploads/2015/09/blue_dragon-215x300.jpg" TargetMode="External"/><Relationship Id="rId46" Type="http://schemas.openxmlformats.org/officeDocument/2006/relationships/hyperlink" Target="http://www.epiccardgame.com/wp-content/uploads/2015/09/dark_assassin-215x300.jpg" TargetMode="External"/><Relationship Id="rId67" Type="http://schemas.openxmlformats.org/officeDocument/2006/relationships/hyperlink" Target="https://www.epiccardgame.com/wp-content/uploads/2017/11/UPZ-EN-entangling-vines.jpg" TargetMode="External"/><Relationship Id="rId116" Type="http://schemas.openxmlformats.org/officeDocument/2006/relationships/hyperlink" Target="https://www.epiccardgame.com/wp-content/uploads/2017/11/PNF-EN-07-herald-of-angeline.jpg" TargetMode="External"/><Relationship Id="rId137" Type="http://schemas.openxmlformats.org/officeDocument/2006/relationships/hyperlink" Target="https://www.epiccardgame.com/wp-content/uploads/2017/11/PNF-EN-05-kalani-woodreader.jpg" TargetMode="External"/><Relationship Id="rId158" Type="http://schemas.openxmlformats.org/officeDocument/2006/relationships/hyperlink" Target="http://www.epiccardgame.com/wp-content/uploads/2016/03/markus_watch_captain-214x300.jpg" TargetMode="External"/><Relationship Id="rId272" Type="http://schemas.openxmlformats.org/officeDocument/2006/relationships/hyperlink" Target="https://www.epiccardgame.com/wp-content/uploads/2017/11/UPV-EN-velden-frost-titan.jpg" TargetMode="External"/><Relationship Id="rId293" Type="http://schemas.openxmlformats.org/officeDocument/2006/relationships/hyperlink" Target="https://www.epiccardgame.com/wp-content/uploads/2017/11/UPZ-EN-zannos-corpse-lord.jpg" TargetMode="External"/><Relationship Id="rId302" Type="http://schemas.openxmlformats.org/officeDocument/2006/relationships/control" Target="../activeX/activeX2.xml"/><Relationship Id="rId307" Type="http://schemas.openxmlformats.org/officeDocument/2006/relationships/image" Target="../media/image4.emf"/><Relationship Id="rId20" Type="http://schemas.openxmlformats.org/officeDocument/2006/relationships/hyperlink" Target="http://www.epiccardgame.com/wp-content/uploads/2015/09/banishment-215x300.jpg" TargetMode="External"/><Relationship Id="rId41" Type="http://schemas.openxmlformats.org/officeDocument/2006/relationships/hyperlink" Target="https://www.epiccardgame.com/wp-content/uploads/2017/11/UPK-EN-consume.jpg" TargetMode="External"/><Relationship Id="rId62" Type="http://schemas.openxmlformats.org/officeDocument/2006/relationships/hyperlink" Target="http://www.epiccardgame.com/wp-content/uploads/2016/03/drakas_fire-214x300.jpg" TargetMode="External"/><Relationship Id="rId83" Type="http://schemas.openxmlformats.org/officeDocument/2006/relationships/hyperlink" Target="https://www.epiccardgame.com/wp-content/uploads/2017/11/UPV-EN-flame-spike.jpg" TargetMode="External"/><Relationship Id="rId88" Type="http://schemas.openxmlformats.org/officeDocument/2006/relationships/hyperlink" Target="https://www.epiccardgame.com/wp-content/uploads/2017/11/PNG-EN-06-forbidden-research.jpg" TargetMode="External"/><Relationship Id="rId111" Type="http://schemas.openxmlformats.org/officeDocument/2006/relationships/hyperlink" Target="http://www.epiccardgame.com/wp-content/uploads/2016/03/heinous_feast-214x300.jpg" TargetMode="External"/><Relationship Id="rId132" Type="http://schemas.openxmlformats.org/officeDocument/2006/relationships/hyperlink" Target="http://www.epiccardgame.com/wp-content/uploads/2015/09/inspiration-215x300.jpg" TargetMode="External"/><Relationship Id="rId153" Type="http://schemas.openxmlformats.org/officeDocument/2006/relationships/hyperlink" Target="https://www.epiccardgame.com/wp-content/uploads/2017/11/UPS-EN-little-devil.jpg" TargetMode="External"/><Relationship Id="rId174" Type="http://schemas.openxmlformats.org/officeDocument/2006/relationships/hyperlink" Target="http://www.epiccardgame.com/wp-content/uploads/2015/09/new_dawn-215x300.jpg" TargetMode="External"/><Relationship Id="rId179" Type="http://schemas.openxmlformats.org/officeDocument/2006/relationships/hyperlink" Target="http://www.epiccardgame.com/wp-content/uploads/2015/09/ogre_mercenary-215x300.jpg" TargetMode="External"/><Relationship Id="rId195" Type="http://schemas.openxmlformats.org/officeDocument/2006/relationships/hyperlink" Target="http://www.epiccardgame.com/wp-content/uploads/2015/09/raging_t_rex-215x300.jpg" TargetMode="External"/><Relationship Id="rId209" Type="http://schemas.openxmlformats.org/officeDocument/2006/relationships/hyperlink" Target="http://www.epiccardgame.com/wp-content/uploads/2016/03/revolt-214x300.jpg" TargetMode="External"/><Relationship Id="rId190" Type="http://schemas.openxmlformats.org/officeDocument/2006/relationships/hyperlink" Target="http://www.epiccardgame.com/wp-content/uploads/2015/09/pyromancer-215x300.jpg" TargetMode="External"/><Relationship Id="rId204" Type="http://schemas.openxmlformats.org/officeDocument/2006/relationships/hyperlink" Target="http://www.epiccardgame.com/wp-content/uploads/2016/03/reaper-214x300.jpg" TargetMode="External"/><Relationship Id="rId220" Type="http://schemas.openxmlformats.org/officeDocument/2006/relationships/hyperlink" Target="https://www.epiccardgame.com/wp-content/uploads/2017/11/PNA-EN-13-scarred-cultist.jpg" TargetMode="External"/><Relationship Id="rId225" Type="http://schemas.openxmlformats.org/officeDocument/2006/relationships/hyperlink" Target="http://www.epiccardgame.com/wp-content/uploads/2015/09/sea_hydra-215x300.jpg" TargetMode="External"/><Relationship Id="rId241" Type="http://schemas.openxmlformats.org/officeDocument/2006/relationships/hyperlink" Target="https://www.epiccardgame.com/wp-content/uploads/2017/11/UPK-EN-spore-beast.jpg" TargetMode="External"/><Relationship Id="rId246" Type="http://schemas.openxmlformats.org/officeDocument/2006/relationships/hyperlink" Target="http://www.epiccardgame.com/wp-content/uploads/2015/09/steel_golem-215x300.jpg" TargetMode="External"/><Relationship Id="rId267" Type="http://schemas.openxmlformats.org/officeDocument/2006/relationships/hyperlink" Target="http://www.epiccardgame.com/wp-content/uploads/2015/09/turn-215x300.jpg" TargetMode="External"/><Relationship Id="rId288" Type="http://schemas.openxmlformats.org/officeDocument/2006/relationships/hyperlink" Target="http://www.epiccardgame.com/wp-content/uploads/2015/09/wolf_s_call-215x300.jpg" TargetMode="External"/><Relationship Id="rId15" Type="http://schemas.openxmlformats.org/officeDocument/2006/relationships/hyperlink" Target="http://www.epiccardgame.com/wp-content/uploads/2015/09/apocalypse-215x300.jpg" TargetMode="External"/><Relationship Id="rId36" Type="http://schemas.openxmlformats.org/officeDocument/2006/relationships/hyperlink" Target="https://www.epiccardgame.com/wp-content/uploads/2017/11/UPK-EN-chamberlain-kark.jpg" TargetMode="External"/><Relationship Id="rId57" Type="http://schemas.openxmlformats.org/officeDocument/2006/relationships/hyperlink" Target="https://www.epiccardgame.com/wp-content/uploads/2017/11/PNH-EN-14-dirge-of-scara.jpg" TargetMode="External"/><Relationship Id="rId106" Type="http://schemas.openxmlformats.org/officeDocument/2006/relationships/hyperlink" Target="https://www.epiccardgame.com/wp-content/uploads/2017/11/PNF-EN-04-greater-lightning-wurm.jpg" TargetMode="External"/><Relationship Id="rId127" Type="http://schemas.openxmlformats.org/officeDocument/2006/relationships/hyperlink" Target="http://www.epiccardgame.com/wp-content/uploads/2015/09/ice_drake-215x300.jpg" TargetMode="External"/><Relationship Id="rId262" Type="http://schemas.openxmlformats.org/officeDocument/2006/relationships/hyperlink" Target="http://www.epiccardgame.com/wp-content/uploads/2015/09/time_master-215x300.jpg" TargetMode="External"/><Relationship Id="rId283" Type="http://schemas.openxmlformats.org/officeDocument/2006/relationships/hyperlink" Target="https://www.epiccardgame.com/wp-content/uploads/2017/11/UPK-EN-winged-death.jpg" TargetMode="External"/><Relationship Id="rId313" Type="http://schemas.openxmlformats.org/officeDocument/2006/relationships/image" Target="../media/image7.emf"/><Relationship Id="rId10" Type="http://schemas.openxmlformats.org/officeDocument/2006/relationships/hyperlink" Target="http://www.epiccardgame.com/wp-content/uploads/2015/09/angelic_protector-215x300.jpg" TargetMode="External"/><Relationship Id="rId31" Type="http://schemas.openxmlformats.org/officeDocument/2006/relationships/hyperlink" Target="https://www.epiccardgame.com/wp-content/uploads/2017/11/PNH-EN-11-bruger-the-pathfinder.jpg" TargetMode="External"/><Relationship Id="rId52" Type="http://schemas.openxmlformats.org/officeDocument/2006/relationships/hyperlink" Target="http://www.epiccardgame.com/wp-content/uploads/2015/09/deadly_raid-215x300.jpg" TargetMode="External"/><Relationship Id="rId73" Type="http://schemas.openxmlformats.org/officeDocument/2006/relationships/hyperlink" Target="https://www.epiccardgame.com/wp-content/uploads/2017/11/UPK-EN-fairy-trickster.jpg" TargetMode="External"/><Relationship Id="rId78" Type="http://schemas.openxmlformats.org/officeDocument/2006/relationships/hyperlink" Target="http://www.epiccardgame.com/wp-content/uploads/2015/09/final_task-215x300.jpg" TargetMode="External"/><Relationship Id="rId94" Type="http://schemas.openxmlformats.org/officeDocument/2006/relationships/hyperlink" Target="https://www.epiccardgame.com/wp-content/uploads/2017/11/UPV-EN-frantic-digging.jpg" TargetMode="External"/><Relationship Id="rId99" Type="http://schemas.openxmlformats.org/officeDocument/2006/relationships/hyperlink" Target="https://www.epiccardgame.com/wp-content/uploads/2017/11/PNG-EN-01-gareth.jpg" TargetMode="External"/><Relationship Id="rId101" Type="http://schemas.openxmlformats.org/officeDocument/2006/relationships/hyperlink" Target="https://www.epiccardgame.com/wp-content/uploads/2017/11/UPZ-EN-gladius-the-defender.jpg" TargetMode="External"/><Relationship Id="rId122" Type="http://schemas.openxmlformats.org/officeDocument/2006/relationships/hyperlink" Target="https://www.epiccardgame.com/wp-content/uploads/2017/11/UPS-EN-hunting-pack.jpg" TargetMode="External"/><Relationship Id="rId143" Type="http://schemas.openxmlformats.org/officeDocument/2006/relationships/hyperlink" Target="http://www.epiccardgame.com/wp-content/uploads/2015/09/knight_of_the_dawn-215x300.jpg" TargetMode="External"/><Relationship Id="rId148" Type="http://schemas.openxmlformats.org/officeDocument/2006/relationships/hyperlink" Target="https://www.epiccardgame.com/wp-content/uploads/2017/11/PNG-EN-12-lashnok-s-will.jpg" TargetMode="External"/><Relationship Id="rId164" Type="http://schemas.openxmlformats.org/officeDocument/2006/relationships/hyperlink" Target="http://www.epiccardgame.com/wp-content/uploads/2015/09/mighty_blow-215x300.jpg" TargetMode="External"/><Relationship Id="rId169" Type="http://schemas.openxmlformats.org/officeDocument/2006/relationships/hyperlink" Target="https://www.epiccardgame.com/wp-content/uploads/2017/11/UPK-EN-mythic-monster.jpg" TargetMode="External"/><Relationship Id="rId185" Type="http://schemas.openxmlformats.org/officeDocument/2006/relationships/hyperlink" Target="https://www.epiccardgame.com/wp-content/uploads/2017/11/UPZ-EN-plague-zombies.jpg" TargetMode="External"/><Relationship Id="rId4" Type="http://schemas.openxmlformats.org/officeDocument/2006/relationships/hyperlink" Target="http://www.epiccardgame.com/wp-content/uploads/2015/09/amnesia-215x300.jpg" TargetMode="External"/><Relationship Id="rId9" Type="http://schemas.openxmlformats.org/officeDocument/2006/relationships/hyperlink" Target="https://www.epiccardgame.com/wp-content/uploads/2017/11/UPV-EN-angel-of-the-gate.jpg" TargetMode="External"/><Relationship Id="rId180" Type="http://schemas.openxmlformats.org/officeDocument/2006/relationships/hyperlink" Target="http://www.epiccardgame.com/wp-content/uploads/2015/09/owl_familiar-215x300.jpg" TargetMode="External"/><Relationship Id="rId210" Type="http://schemas.openxmlformats.org/officeDocument/2006/relationships/hyperlink" Target="https://www.epiccardgame.com/wp-content/uploads/2017/11/UPV-EN-rift-summoner.jpg" TargetMode="External"/><Relationship Id="rId215" Type="http://schemas.openxmlformats.org/officeDocument/2006/relationships/hyperlink" Target="https://www.epiccardgame.com/wp-content/uploads/2017/11/UPS-EN-saren-night-stalker.jpg" TargetMode="External"/><Relationship Id="rId236" Type="http://schemas.openxmlformats.org/officeDocument/2006/relationships/hyperlink" Target="http://www.epiccardgame.com/wp-content/uploads/2016/03/smash_and_burn-214x300.jpg" TargetMode="External"/><Relationship Id="rId257" Type="http://schemas.openxmlformats.org/officeDocument/2006/relationships/hyperlink" Target="http://www.epiccardgame.com/wp-content/uploads/2015/09/the_risen-215x300.jpg" TargetMode="External"/><Relationship Id="rId278" Type="http://schemas.openxmlformats.org/officeDocument/2006/relationships/hyperlink" Target="http://www.epiccardgame.com/wp-content/uploads/2015/09/watchful_gargoyle-215x300.jpg" TargetMode="External"/><Relationship Id="rId26" Type="http://schemas.openxmlformats.org/officeDocument/2006/relationships/hyperlink" Target="https://www.epiccardgame.com/wp-content/uploads/2017/11/UPZ-EN-bodyguard.jpg" TargetMode="External"/><Relationship Id="rId231" Type="http://schemas.openxmlformats.org/officeDocument/2006/relationships/hyperlink" Target="https://www.epiccardgame.com/wp-content/uploads/2017/11/UPS-EN-silver-dragon.jpg" TargetMode="External"/><Relationship Id="rId252" Type="http://schemas.openxmlformats.org/officeDocument/2006/relationships/hyperlink" Target="https://www.epiccardgame.com/wp-content/uploads/2017/11/PNA-EN-08-teleport.jpg" TargetMode="External"/><Relationship Id="rId273" Type="http://schemas.openxmlformats.org/officeDocument/2006/relationships/hyperlink" Target="https://www.epiccardgame.com/wp-content/uploads/2017/11/UPV-EN-village-protector.jpg" TargetMode="External"/><Relationship Id="rId294" Type="http://schemas.openxmlformats.org/officeDocument/2006/relationships/hyperlink" Target="http://www.epiccardgame.com/wp-content/uploads/2016/03/zealous_necromancer-214x300.jpg" TargetMode="External"/><Relationship Id="rId308" Type="http://schemas.openxmlformats.org/officeDocument/2006/relationships/control" Target="../activeX/activeX5.xml"/><Relationship Id="rId47" Type="http://schemas.openxmlformats.org/officeDocument/2006/relationships/hyperlink" Target="http://www.epiccardgame.com/wp-content/uploads/2015/09/dark_knight-215x300.jpg" TargetMode="External"/><Relationship Id="rId68" Type="http://schemas.openxmlformats.org/officeDocument/2006/relationships/hyperlink" Target="http://www.epiccardgame.com/wp-content/uploads/2015/09/erase-215x300.jpg" TargetMode="External"/><Relationship Id="rId89" Type="http://schemas.openxmlformats.org/officeDocument/2006/relationships/hyperlink" Target="https://www.epiccardgame.com/wp-content/uploads/2017/11/UPS-EN-force-field.jpg" TargetMode="External"/><Relationship Id="rId112" Type="http://schemas.openxmlformats.org/officeDocument/2006/relationships/hyperlink" Target="https://www.epiccardgame.com/wp-content/uploads/2017/11/PNH-EN-05-helena-s-chosen.jpg" TargetMode="External"/><Relationship Id="rId133" Type="http://schemas.openxmlformats.org/officeDocument/2006/relationships/hyperlink" Target="http://www.epiccardgame.com/wp-content/uploads/2016/03/insurgency-214x300.jpg" TargetMode="External"/><Relationship Id="rId154" Type="http://schemas.openxmlformats.org/officeDocument/2006/relationships/hyperlink" Target="http://www.epiccardgame.com/wp-content/uploads/2015/09/lord_of_the_arena-215x300.jpg" TargetMode="External"/><Relationship Id="rId175" Type="http://schemas.openxmlformats.org/officeDocument/2006/relationships/hyperlink" Target="https://www.epiccardgame.com/wp-content/uploads/2017/11/PNG-EN-15-new-dawn.jpg" TargetMode="External"/><Relationship Id="rId196" Type="http://schemas.openxmlformats.org/officeDocument/2006/relationships/hyperlink" Target="http://www.epiccardgame.com/wp-content/uploads/2015/09/rain_of_fire-215x300.jpg" TargetMode="External"/><Relationship Id="rId200" Type="http://schemas.openxmlformats.org/officeDocument/2006/relationships/hyperlink" Target="http://www.epiccardgame.com/wp-content/uploads/2016/03/raxxas_displeasure-214x300.jpg" TargetMode="External"/><Relationship Id="rId16" Type="http://schemas.openxmlformats.org/officeDocument/2006/relationships/hyperlink" Target="http://www.epiccardgame.com/wp-content/uploads/2016/03/arcane_research-214x300.jpg" TargetMode="External"/><Relationship Id="rId221" Type="http://schemas.openxmlformats.org/officeDocument/2006/relationships/hyperlink" Target="https://www.epiccardgame.com/wp-content/uploads/2017/11/PNG-EN-08-scarred-priestess.jpg" TargetMode="External"/><Relationship Id="rId242" Type="http://schemas.openxmlformats.org/officeDocument/2006/relationships/hyperlink" Target="https://www.epiccardgame.com/wp-content/uploads/2017/11/PNA-EN-16-stampeding-einiosaurus.jpg" TargetMode="External"/><Relationship Id="rId263" Type="http://schemas.openxmlformats.org/officeDocument/2006/relationships/hyperlink" Target="http://www.epiccardgame.com/wp-content/uploads/2015/09/time_walker-215x300.jpg" TargetMode="External"/><Relationship Id="rId284" Type="http://schemas.openxmlformats.org/officeDocument/2006/relationships/hyperlink" Target="http://www.epiccardgame.com/wp-content/uploads/2015/09/winter_fairy-215x300.jpg" TargetMode="External"/><Relationship Id="rId37" Type="http://schemas.openxmlformats.org/officeDocument/2006/relationships/hyperlink" Target="http://www.epiccardgame.com/wp-content/uploads/2015/09/chomp-215x300.jpg" TargetMode="External"/><Relationship Id="rId58" Type="http://schemas.openxmlformats.org/officeDocument/2006/relationships/hyperlink" Target="http://www.epiccardgame.com/wp-content/uploads/2015/09/divine_judgment-215x300.jpg" TargetMode="External"/><Relationship Id="rId79" Type="http://schemas.openxmlformats.org/officeDocument/2006/relationships/hyperlink" Target="http://www.epiccardgame.com/wp-content/uploads/2015/09/fire_shaman-215x300.jpg" TargetMode="External"/><Relationship Id="rId102" Type="http://schemas.openxmlformats.org/officeDocument/2006/relationships/hyperlink" Target="https://www.epiccardgame.com/wp-content/uploads/2017/11/UPS-EN-go-wild.jpg" TargetMode="External"/><Relationship Id="rId123" Type="http://schemas.openxmlformats.org/officeDocument/2006/relationships/hyperlink" Target="http://www.epiccardgame.com/wp-content/uploads/2015/09/hunting_pterosaur-215x300.jpg" TargetMode="External"/><Relationship Id="rId144" Type="http://schemas.openxmlformats.org/officeDocument/2006/relationships/hyperlink" Target="https://www.epiccardgame.com/wp-content/uploads/2017/11/PNF-EN-08-knight-of-the-dawn.jpg" TargetMode="External"/><Relationship Id="rId90" Type="http://schemas.openxmlformats.org/officeDocument/2006/relationships/hyperlink" Target="https://www.epiccardgame.com/wp-content/uploads/2017/11/PNA-EN-06-force-lance.jpg" TargetMode="External"/><Relationship Id="rId165" Type="http://schemas.openxmlformats.org/officeDocument/2006/relationships/hyperlink" Target="http://www.epiccardgame.com/wp-content/uploads/2016/03/mist_guide_herald-214x300.jpg" TargetMode="External"/><Relationship Id="rId186" Type="http://schemas.openxmlformats.org/officeDocument/2006/relationships/hyperlink" Target="http://www.epiccardgame.com/wp-content/uploads/2015/09/plentiful_dead-215x300.jpg" TargetMode="External"/><Relationship Id="rId211" Type="http://schemas.openxmlformats.org/officeDocument/2006/relationships/hyperlink" Target="http://www.epiccardgame.com/wp-content/uploads/2015/09/ritual_sacrifice-215x300.jpg" TargetMode="External"/><Relationship Id="rId232" Type="http://schemas.openxmlformats.org/officeDocument/2006/relationships/hyperlink" Target="https://www.epiccardgame.com/wp-content/uploads/2017/11/PNA-EN-04-silver-wing-guardian.jpg" TargetMode="External"/><Relationship Id="rId253" Type="http://schemas.openxmlformats.org/officeDocument/2006/relationships/hyperlink" Target="http://www.epiccardgame.com/wp-content/uploads/2016/03/temporal_enforcer-214x300.jpg" TargetMode="External"/><Relationship Id="rId274" Type="http://schemas.openxmlformats.org/officeDocument/2006/relationships/hyperlink" Target="http://www.epiccardgame.com/wp-content/uploads/2015/09/vital_mission-215x300.jpg" TargetMode="External"/><Relationship Id="rId295" Type="http://schemas.openxmlformats.org/officeDocument/2006/relationships/hyperlink" Target="http://www.epiccardgame.com/wp-content/uploads/2015/09/zombie_apocalypse-215x300.jpg" TargetMode="External"/><Relationship Id="rId309" Type="http://schemas.openxmlformats.org/officeDocument/2006/relationships/image" Target="../media/image5.emf"/><Relationship Id="rId27" Type="http://schemas.openxmlformats.org/officeDocument/2006/relationships/hyperlink" Target="http://www.epiccardgame.com/wp-content/uploads/2016/03/brachiosaurus-214x300.jpg" TargetMode="External"/><Relationship Id="rId48" Type="http://schemas.openxmlformats.org/officeDocument/2006/relationships/hyperlink" Target="http://www.epiccardgame.com/wp-content/uploads/2015/09/dark_leader-215x300.jpg" TargetMode="External"/><Relationship Id="rId69" Type="http://schemas.openxmlformats.org/officeDocument/2006/relationships/hyperlink" Target="https://www.epiccardgame.com/wp-content/uploads/2017/11/UPV-EN-erratic-research.jpg" TargetMode="External"/><Relationship Id="rId113" Type="http://schemas.openxmlformats.org/officeDocument/2006/relationships/hyperlink" Target="https://www.epiccardgame.com/wp-content/uploads/2017/11/PNH-EN-01-helena.jpg" TargetMode="External"/><Relationship Id="rId134" Type="http://schemas.openxmlformats.org/officeDocument/2006/relationships/hyperlink" Target="http://www.epiccardgame.com/wp-content/uploads/2015/09/juggernaut-215x300.jpg" TargetMode="External"/><Relationship Id="rId80" Type="http://schemas.openxmlformats.org/officeDocument/2006/relationships/hyperlink" Target="http://www.epiccardgame.com/wp-content/uploads/2016/03/fire_spirit-214x300.jpg" TargetMode="External"/><Relationship Id="rId155" Type="http://schemas.openxmlformats.org/officeDocument/2006/relationships/hyperlink" Target="http://www.epiccardgame.com/wp-content/uploads/2015/09/lurking_giant-215x300.jpg" TargetMode="External"/><Relationship Id="rId176" Type="http://schemas.openxmlformats.org/officeDocument/2006/relationships/hyperlink" Target="https://www.epiccardgame.com/wp-content/uploads/2017/11/UPS-EN-no-escape.jpg" TargetMode="External"/><Relationship Id="rId197" Type="http://schemas.openxmlformats.org/officeDocument/2006/relationships/hyperlink" Target="http://www.epiccardgame.com/wp-content/uploads/2015/09/rally_the_people-215x300.jpg" TargetMode="External"/><Relationship Id="rId201" Type="http://schemas.openxmlformats.org/officeDocument/2006/relationships/hyperlink" Target="https://www.epiccardgame.com/wp-content/uploads/2017/11/UPV-EN-raxxa-s-enforcer.jpg" TargetMode="External"/><Relationship Id="rId222" Type="http://schemas.openxmlformats.org/officeDocument/2006/relationships/hyperlink" Target="https://www.epiccardgame.com/wp-content/uploads/2017/11/UPS-EN-scarros-hound-of-draka.jpg" TargetMode="External"/><Relationship Id="rId243" Type="http://schemas.openxmlformats.org/officeDocument/2006/relationships/hyperlink" Target="http://www.epiccardgame.com/wp-content/uploads/2015/09/stand_alone-215x300.jpg" TargetMode="External"/><Relationship Id="rId264" Type="http://schemas.openxmlformats.org/officeDocument/2006/relationships/hyperlink" Target="http://www.epiccardgame.com/wp-content/uploads/2015/09/transform-215x300.jpg" TargetMode="External"/><Relationship Id="rId285" Type="http://schemas.openxmlformats.org/officeDocument/2006/relationships/hyperlink" Target="http://www.epiccardgame.com/wp-content/uploads/2015/09/wither-215x300.jpg" TargetMode="External"/><Relationship Id="rId17" Type="http://schemas.openxmlformats.org/officeDocument/2006/relationships/hyperlink" Target="http://www.epiccardgame.com/wp-content/uploads/2015/09/army_of_the_apocalypse-215x300.jpg" TargetMode="External"/><Relationship Id="rId38" Type="http://schemas.openxmlformats.org/officeDocument/2006/relationships/hyperlink" Target="https://www.epiccardgame.com/wp-content/uploads/2017/11/UPZ-EN-citadel-raven.jpg" TargetMode="External"/><Relationship Id="rId59" Type="http://schemas.openxmlformats.org/officeDocument/2006/relationships/hyperlink" Target="http://www.epiccardgame.com/wp-content/uploads/2015/09/djinn_of_the_sands-215x300.jpg" TargetMode="External"/><Relationship Id="rId103" Type="http://schemas.openxmlformats.org/officeDocument/2006/relationships/hyperlink" Target="http://www.epiccardgame.com/wp-content/uploads/2015/09/gold_dragon-215x300.jpg" TargetMode="External"/><Relationship Id="rId124" Type="http://schemas.openxmlformats.org/officeDocument/2006/relationships/hyperlink" Target="https://www.epiccardgame.com/wp-content/uploads/2017/11/PNH-EN-13-hunting-pterosaur.jpg" TargetMode="External"/><Relationship Id="rId310" Type="http://schemas.openxmlformats.org/officeDocument/2006/relationships/control" Target="../activeX/activeX6.xml"/><Relationship Id="rId70" Type="http://schemas.openxmlformats.org/officeDocument/2006/relationships/hyperlink" Target="https://www.epiccardgame.com/wp-content/uploads/2017/11/PNF-EN-11-erwin-architect-of-war.jpg" TargetMode="External"/><Relationship Id="rId91" Type="http://schemas.openxmlformats.org/officeDocument/2006/relationships/hyperlink" Target="http://www.epiccardgame.com/wp-content/uploads/2016/03/forced_exile-214x300.jpg" TargetMode="External"/><Relationship Id="rId145" Type="http://schemas.openxmlformats.org/officeDocument/2006/relationships/hyperlink" Target="http://www.epiccardgame.com/wp-content/uploads/2015/09/kong-215x300.jpg" TargetMode="External"/><Relationship Id="rId166" Type="http://schemas.openxmlformats.org/officeDocument/2006/relationships/hyperlink" Target="http://www.epiccardgame.com/wp-content/uploads/2015/09/murderous_necromancer-215x300.jpg" TargetMode="External"/><Relationship Id="rId187" Type="http://schemas.openxmlformats.org/officeDocument/2006/relationships/hyperlink" Target="http://www.epiccardgame.com/wp-content/uploads/2015/09/priest_of_kalnor-215x300.jpg" TargetMode="External"/><Relationship Id="rId1" Type="http://schemas.openxmlformats.org/officeDocument/2006/relationships/hyperlink" Target="http://www.epiccardgame.com/wp-content/uploads/2015/09/aftershock-215x300.jpg" TargetMode="External"/><Relationship Id="rId212" Type="http://schemas.openxmlformats.org/officeDocument/2006/relationships/hyperlink" Target="http://www.epiccardgame.com/wp-content/uploads/2016/03/royal_escort-214x300.jpg" TargetMode="External"/><Relationship Id="rId233" Type="http://schemas.openxmlformats.org/officeDocument/2006/relationships/hyperlink" Target="https://www.epiccardgame.com/wp-content/uploads/2017/11/PNA-EN-05-silver-wing-lancer.jpg" TargetMode="External"/><Relationship Id="rId254" Type="http://schemas.openxmlformats.org/officeDocument/2006/relationships/hyperlink" Target="http://www.epiccardgame.com/wp-content/uploads/2016/03/temporal_shift-214x300.jpg" TargetMode="External"/><Relationship Id="rId28" Type="http://schemas.openxmlformats.org/officeDocument/2006/relationships/hyperlink" Target="https://www.epiccardgame.com/wp-content/uploads/2017/11/PNG-EN-11-brak-fist-of-lashnok.jpg" TargetMode="External"/><Relationship Id="rId49" Type="http://schemas.openxmlformats.org/officeDocument/2006/relationships/hyperlink" Target="http://www.epiccardgame.com/wp-content/uploads/2016/03/dark_offering-214x300.jpg" TargetMode="External"/><Relationship Id="rId114" Type="http://schemas.openxmlformats.org/officeDocument/2006/relationships/hyperlink" Target="http://www.epiccardgame.com/wp-content/uploads/2016/03/helions_fury-214x300.jpg" TargetMode="External"/><Relationship Id="rId275" Type="http://schemas.openxmlformats.org/officeDocument/2006/relationships/hyperlink" Target="https://www.epiccardgame.com/wp-content/uploads/2017/11/UPS-EN-war-machine.jpg" TargetMode="External"/><Relationship Id="rId296" Type="http://schemas.openxmlformats.org/officeDocument/2006/relationships/hyperlink" Target="https://www.epiccardgame.com/wp-content/uploads/2017/11/PNA-EN-18-zombie-token-back.jpg" TargetMode="External"/><Relationship Id="rId300" Type="http://schemas.openxmlformats.org/officeDocument/2006/relationships/control" Target="../activeX/activeX1.xml"/><Relationship Id="rId60" Type="http://schemas.openxmlformats.org/officeDocument/2006/relationships/hyperlink" Target="http://www.epiccardgame.com/wp-content/uploads/2015/09/drain_essence-215x300.jpg" TargetMode="External"/><Relationship Id="rId81" Type="http://schemas.openxmlformats.org/officeDocument/2006/relationships/hyperlink" Target="http://www.epiccardgame.com/wp-content/uploads/2015/09/fireball-215x300.jpg" TargetMode="External"/><Relationship Id="rId135" Type="http://schemas.openxmlformats.org/officeDocument/2006/relationships/hyperlink" Target="http://www.epiccardgame.com/wp-content/uploads/2015/09/jungle_queen-215x300.jpg" TargetMode="External"/><Relationship Id="rId156" Type="http://schemas.openxmlformats.org/officeDocument/2006/relationships/hyperlink" Target="http://www.epiccardgame.com/wp-content/uploads/2015/09/lying_in_wait-215x300.jpg" TargetMode="External"/><Relationship Id="rId177" Type="http://schemas.openxmlformats.org/officeDocument/2006/relationships/hyperlink" Target="http://www.epiccardgame.com/wp-content/uploads/2016/03/noble_martyr-214x300.jpg" TargetMode="External"/><Relationship Id="rId198" Type="http://schemas.openxmlformats.org/officeDocument/2006/relationships/hyperlink" Target="http://www.epiccardgame.com/wp-content/uploads/2015/09/rampaging_wurm-215x300.jpg" TargetMode="External"/><Relationship Id="rId202" Type="http://schemas.openxmlformats.org/officeDocument/2006/relationships/hyperlink" Target="http://www.epiccardgame.com/wp-content/uploads/2016/03/raxxa_demon_tyrant-214x300.jpg" TargetMode="External"/><Relationship Id="rId223" Type="http://schemas.openxmlformats.org/officeDocument/2006/relationships/hyperlink" Target="http://www.epiccardgame.com/wp-content/uploads/2015/09/scrap_golem-215x300.jpg" TargetMode="External"/><Relationship Id="rId244" Type="http://schemas.openxmlformats.org/officeDocument/2006/relationships/hyperlink" Target="http://www.epiccardgame.com/wp-content/uploads/2015/09/standard_bearer-215x300.jpg" TargetMode="External"/><Relationship Id="rId18" Type="http://schemas.openxmlformats.org/officeDocument/2006/relationships/hyperlink" Target="https://www.epiccardgame.com/wp-content/uploads/2017/11/UPZ-EN-avenger-of-covenant.jpg" TargetMode="External"/><Relationship Id="rId39" Type="http://schemas.openxmlformats.org/officeDocument/2006/relationships/hyperlink" Target="https://www.epiccardgame.com/wp-content/uploads/2017/11/UPK-EN-citadel-scholar.jpg" TargetMode="External"/><Relationship Id="rId265" Type="http://schemas.openxmlformats.org/officeDocument/2006/relationships/hyperlink" Target="http://www.epiccardgame.com/wp-content/uploads/2015/09/triceratops-215x300.jpg" TargetMode="External"/><Relationship Id="rId286" Type="http://schemas.openxmlformats.org/officeDocument/2006/relationships/hyperlink" Target="http://www.epiccardgame.com/wp-content/uploads/2015/09/wolf_companion-215x300.jpg" TargetMode="External"/><Relationship Id="rId50" Type="http://schemas.openxmlformats.org/officeDocument/2006/relationships/hyperlink" Target="https://www.epiccardgame.com/wp-content/uploads/2017/11/PNF-EN-14-dark-one-s-fury.jpg" TargetMode="External"/><Relationship Id="rId104" Type="http://schemas.openxmlformats.org/officeDocument/2006/relationships/hyperlink" Target="https://www.epiccardgame.com/wp-content/uploads/2017/11/UPK-EN-grave-demon.jpg" TargetMode="External"/><Relationship Id="rId125" Type="http://schemas.openxmlformats.org/officeDocument/2006/relationships/hyperlink" Target="http://www.epiccardgame.com/wp-content/uploads/2015/09/hunting_raptors-215x300.jpg" TargetMode="External"/><Relationship Id="rId146" Type="http://schemas.openxmlformats.org/officeDocument/2006/relationships/hyperlink" Target="https://www.epiccardgame.com/wp-content/uploads/2017/11/PNF-EN-15-krieg-dark-one-s-chosen.jpg" TargetMode="External"/><Relationship Id="rId167" Type="http://schemas.openxmlformats.org/officeDocument/2006/relationships/hyperlink" Target="http://www.epiccardgame.com/wp-content/uploads/2015/09/muse-215x300.jpg" TargetMode="External"/><Relationship Id="rId188" Type="http://schemas.openxmlformats.org/officeDocument/2006/relationships/hyperlink" Target="http://www.epiccardgame.com/wp-content/uploads/2015/09/priestess_of_angeline-215x300.jpg" TargetMode="External"/><Relationship Id="rId311" Type="http://schemas.openxmlformats.org/officeDocument/2006/relationships/image" Target="../media/image6.emf"/><Relationship Id="rId71" Type="http://schemas.openxmlformats.org/officeDocument/2006/relationships/hyperlink" Target="https://www.epiccardgame.com/wp-content/uploads/2017/11/PNF-EN-12-ethereal-dragon.jpg" TargetMode="External"/><Relationship Id="rId92" Type="http://schemas.openxmlformats.org/officeDocument/2006/relationships/hyperlink" Target="http://www.epiccardgame.com/wp-content/uploads/2015/09/forcemage_apprentice-215x300.jpg" TargetMode="External"/><Relationship Id="rId213" Type="http://schemas.openxmlformats.org/officeDocument/2006/relationships/hyperlink" Target="https://www.epiccardgame.com/wp-content/uploads/2017/11/PNG-EN-07-run-riot.jpg" TargetMode="External"/><Relationship Id="rId234" Type="http://schemas.openxmlformats.org/officeDocument/2006/relationships/hyperlink" Target="https://www.epiccardgame.com/wp-content/uploads/2017/11/PNG-EN-16-silver-wing-savior.jpg" TargetMode="External"/><Relationship Id="rId2" Type="http://schemas.openxmlformats.org/officeDocument/2006/relationships/hyperlink" Target="https://www.epiccardgame.com/wp-content/uploads/2017/11/PNH-EN-06-alchemist-assassin.jpg" TargetMode="External"/><Relationship Id="rId29" Type="http://schemas.openxmlformats.org/officeDocument/2006/relationships/hyperlink" Target="https://www.epiccardgame.com/wp-content/uploads/2017/11/UPS-EN-brand-rebel-fighter.jpg" TargetMode="External"/><Relationship Id="rId255" Type="http://schemas.openxmlformats.org/officeDocument/2006/relationships/hyperlink" Target="http://www.epiccardgame.com/wp-content/uploads/2016/03/the_gudgeon-214x300.jpg" TargetMode="External"/><Relationship Id="rId276" Type="http://schemas.openxmlformats.org/officeDocument/2006/relationships/hyperlink" Target="http://www.epiccardgame.com/wp-content/uploads/2015/09/warrior_angel-215x300.jpg" TargetMode="External"/><Relationship Id="rId297" Type="http://schemas.openxmlformats.org/officeDocument/2006/relationships/printerSettings" Target="../printerSettings/printerSettings1.bin"/><Relationship Id="rId40" Type="http://schemas.openxmlformats.org/officeDocument/2006/relationships/hyperlink" Target="http://www.epiccardgame.com/wp-content/uploads/2015/09/cleansing_light-215x300.jpg" TargetMode="External"/><Relationship Id="rId115" Type="http://schemas.openxmlformats.org/officeDocument/2006/relationships/hyperlink" Target="http://www.epiccardgame.com/wp-content/uploads/2016/03/helion_the_dominator-214x300.jpg" TargetMode="External"/><Relationship Id="rId136" Type="http://schemas.openxmlformats.org/officeDocument/2006/relationships/hyperlink" Target="https://www.epiccardgame.com/wp-content/uploads/2017/11/UPK-EN-justice-prevails.jpg" TargetMode="External"/><Relationship Id="rId157" Type="http://schemas.openxmlformats.org/officeDocument/2006/relationships/hyperlink" Target="https://www.epiccardgame.com/wp-content/uploads/2017/11/PNF-EN-09-maligus.jpg" TargetMode="External"/><Relationship Id="rId178" Type="http://schemas.openxmlformats.org/officeDocument/2006/relationships/hyperlink" Target="http://www.epiccardgame.com/wp-content/uploads/2015/09/noble_unicorn-215x300.jpg" TargetMode="External"/><Relationship Id="rId301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CA319"/>
  <sheetViews>
    <sheetView tabSelected="1" topLeftCell="AS1" zoomScale="90" zoomScaleNormal="90" zoomScaleSheetLayoutView="100" workbookViewId="0"/>
  </sheetViews>
  <sheetFormatPr defaultColWidth="0" defaultRowHeight="15" zeroHeight="1" x14ac:dyDescent="0.25"/>
  <cols>
    <col min="1" max="1" width="23.5703125" hidden="1" customWidth="1"/>
    <col min="2" max="2" width="4.85546875" hidden="1" customWidth="1"/>
    <col min="3" max="3" width="17.85546875" hidden="1" customWidth="1"/>
    <col min="4" max="4" width="20.140625" hidden="1" customWidth="1"/>
    <col min="5" max="5" width="17.7109375" hidden="1" customWidth="1"/>
    <col min="6" max="6" width="8.140625" hidden="1" customWidth="1"/>
    <col min="7" max="7" width="8.42578125" hidden="1" customWidth="1"/>
    <col min="8" max="8" width="175.140625" hidden="1" customWidth="1"/>
    <col min="9" max="9" width="151" hidden="1" customWidth="1"/>
    <col min="10" max="10" width="143.85546875" hidden="1" customWidth="1"/>
    <col min="11" max="11" width="53.5703125" hidden="1" customWidth="1"/>
    <col min="12" max="12" width="93.28515625" hidden="1" customWidth="1"/>
    <col min="13" max="13" width="67.28515625" hidden="1" customWidth="1"/>
    <col min="14" max="14" width="14.42578125" hidden="1" customWidth="1"/>
    <col min="15" max="15" width="19" hidden="1" customWidth="1"/>
    <col min="16" max="16" width="9" hidden="1" customWidth="1"/>
    <col min="17" max="17" width="20.140625" hidden="1" customWidth="1"/>
    <col min="18" max="18" width="32" hidden="1" customWidth="1"/>
    <col min="19" max="19" width="19.85546875" hidden="1" customWidth="1"/>
    <col min="20" max="20" width="12.85546875" hidden="1" customWidth="1"/>
    <col min="21" max="22" width="15" hidden="1" customWidth="1"/>
    <col min="23" max="23" width="95.7109375" hidden="1" customWidth="1"/>
    <col min="24" max="24" width="21.7109375" hidden="1" customWidth="1"/>
    <col min="25" max="25" width="6" style="22" hidden="1" customWidth="1"/>
    <col min="26" max="27" width="6.28515625" hidden="1" customWidth="1"/>
    <col min="28" max="28" width="12.85546875" hidden="1" customWidth="1"/>
    <col min="29" max="29" width="15.28515625" hidden="1" customWidth="1"/>
    <col min="30" max="30" width="5.28515625" hidden="1" customWidth="1"/>
    <col min="31" max="31" width="8.140625" hidden="1" customWidth="1"/>
    <col min="32" max="32" width="8.42578125" hidden="1" customWidth="1"/>
    <col min="33" max="33" width="10.7109375" hidden="1" customWidth="1"/>
    <col min="34" max="36" width="12.7109375" hidden="1" customWidth="1"/>
    <col min="37" max="37" width="12.28515625" hidden="1" customWidth="1"/>
    <col min="38" max="39" width="14.42578125" hidden="1" customWidth="1"/>
    <col min="40" max="40" width="8.28515625" hidden="1" customWidth="1"/>
    <col min="41" max="41" width="6.140625" hidden="1" customWidth="1"/>
    <col min="42" max="42" width="12.140625" hidden="1" customWidth="1"/>
    <col min="43" max="43" width="10.140625" hidden="1" customWidth="1"/>
    <col min="44" max="44" width="8.42578125" style="6" hidden="1" customWidth="1"/>
    <col min="45" max="45" width="10.5703125" customWidth="1"/>
    <col min="46" max="46" width="20.140625" customWidth="1"/>
    <col min="47" max="47" width="42.85546875" customWidth="1"/>
    <col min="48" max="48" width="23.5703125" bestFit="1" customWidth="1"/>
    <col min="49" max="49" width="7" customWidth="1"/>
    <col min="50" max="50" width="14.7109375" customWidth="1"/>
    <col min="51" max="51" width="16.85546875" customWidth="1"/>
    <col min="52" max="52" width="11.140625" bestFit="1" customWidth="1"/>
    <col min="53" max="53" width="10" customWidth="1"/>
    <col min="54" max="54" width="10.28515625" customWidth="1"/>
    <col min="55" max="60" width="9.140625" hidden="1" customWidth="1"/>
    <col min="61" max="61" width="14.42578125" hidden="1" customWidth="1"/>
    <col min="62" max="62" width="19.28515625" bestFit="1" customWidth="1"/>
    <col min="63" max="63" width="9" bestFit="1" customWidth="1"/>
    <col min="64" max="64" width="20.140625" bestFit="1" customWidth="1"/>
    <col min="65" max="65" width="27.28515625" customWidth="1"/>
    <col min="66" max="69" width="9.140625" hidden="1" customWidth="1"/>
    <col min="70" max="70" width="95.7109375" hidden="1" customWidth="1"/>
    <col min="71" max="72" width="34.140625" hidden="1" customWidth="1"/>
    <col min="73" max="73" width="14.28515625" hidden="1" customWidth="1"/>
    <col min="74" max="74" width="24.42578125" hidden="1" customWidth="1"/>
    <col min="75" max="78" width="9.140625" hidden="1" customWidth="1"/>
    <col min="79" max="79" width="24.42578125" hidden="1" customWidth="1"/>
    <col min="80" max="16384" width="9.140625" hidden="1"/>
  </cols>
  <sheetData>
    <row r="1" spans="1:74" x14ac:dyDescent="0.25"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</row>
    <row r="2" spans="1:74" ht="15.75" thickBot="1" x14ac:dyDescent="0.3"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</row>
    <row r="3" spans="1:74" ht="81.2" customHeight="1" thickBot="1" x14ac:dyDescent="0.3">
      <c r="AS3" s="18"/>
      <c r="AT3" s="18"/>
      <c r="AU3" s="27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U3" s="26">
        <f>MIN(BU7:BU8)</f>
        <v>296</v>
      </c>
    </row>
    <row r="4" spans="1:74" x14ac:dyDescent="0.25"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</row>
    <row r="5" spans="1:74" ht="15.75" thickBot="1" x14ac:dyDescent="0.3">
      <c r="AS5" s="18"/>
      <c r="AT5" s="18"/>
      <c r="AU5" s="2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</row>
    <row r="6" spans="1:74" ht="15.75" thickBot="1" x14ac:dyDescent="0.3"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U6" s="17" t="s">
        <v>1496</v>
      </c>
    </row>
    <row r="7" spans="1:74" ht="15.75" thickBot="1" x14ac:dyDescent="0.3"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U7" s="25">
        <f>SUBTOTAL(103,AV8:AV304)</f>
        <v>297</v>
      </c>
    </row>
    <row r="8" spans="1:74" ht="20.100000000000001" customHeight="1" thickBot="1" x14ac:dyDescent="0.3">
      <c r="A8" s="1" t="s">
        <v>1</v>
      </c>
      <c r="B8" s="1" t="s">
        <v>2</v>
      </c>
      <c r="C8" s="1" t="s">
        <v>1480</v>
      </c>
      <c r="D8" s="1" t="s">
        <v>1481</v>
      </c>
      <c r="E8" s="1" t="s">
        <v>3</v>
      </c>
      <c r="F8" s="1" t="s">
        <v>4</v>
      </c>
      <c r="G8" s="1" t="s">
        <v>5</v>
      </c>
      <c r="H8" s="1" t="s">
        <v>6</v>
      </c>
      <c r="I8" s="1" t="s">
        <v>8</v>
      </c>
      <c r="J8" s="1" t="s">
        <v>10</v>
      </c>
      <c r="K8" s="1" t="s">
        <v>12</v>
      </c>
      <c r="L8" s="1" t="s">
        <v>13</v>
      </c>
      <c r="M8" s="1" t="s">
        <v>14</v>
      </c>
      <c r="N8" s="1" t="s">
        <v>15</v>
      </c>
      <c r="O8" s="1" t="s">
        <v>16</v>
      </c>
      <c r="P8" s="1" t="s">
        <v>17</v>
      </c>
      <c r="Q8" s="1" t="s">
        <v>18</v>
      </c>
      <c r="R8" s="1" t="s">
        <v>19</v>
      </c>
      <c r="S8" s="1" t="s">
        <v>29</v>
      </c>
      <c r="T8" s="1" t="s">
        <v>7</v>
      </c>
      <c r="U8" s="1" t="s">
        <v>9</v>
      </c>
      <c r="V8" s="1" t="s">
        <v>11</v>
      </c>
      <c r="W8" s="1" t="s">
        <v>20</v>
      </c>
      <c r="X8" s="21"/>
      <c r="Y8" s="23" t="s">
        <v>1482</v>
      </c>
      <c r="Z8" s="4" t="s">
        <v>1</v>
      </c>
      <c r="AA8" s="4" t="s">
        <v>2</v>
      </c>
      <c r="AB8" s="4" t="s">
        <v>1483</v>
      </c>
      <c r="AC8" s="4" t="s">
        <v>1484</v>
      </c>
      <c r="AD8" s="1" t="s">
        <v>3</v>
      </c>
      <c r="AE8" s="1" t="s">
        <v>4</v>
      </c>
      <c r="AF8" s="1" t="s">
        <v>5</v>
      </c>
      <c r="AG8" s="1" t="s">
        <v>6</v>
      </c>
      <c r="AH8" s="1" t="s">
        <v>8</v>
      </c>
      <c r="AI8" s="1" t="s">
        <v>10</v>
      </c>
      <c r="AJ8" s="1" t="s">
        <v>12</v>
      </c>
      <c r="AK8" s="1" t="s">
        <v>13</v>
      </c>
      <c r="AL8" s="1" t="s">
        <v>14</v>
      </c>
      <c r="AM8" s="1" t="s">
        <v>15</v>
      </c>
      <c r="AN8" s="1" t="s">
        <v>16</v>
      </c>
      <c r="AO8" s="1" t="s">
        <v>17</v>
      </c>
      <c r="AP8" s="1" t="s">
        <v>18</v>
      </c>
      <c r="AQ8" s="1" t="s">
        <v>19</v>
      </c>
      <c r="AR8" s="7" t="s">
        <v>1485</v>
      </c>
      <c r="AS8" s="5" t="s">
        <v>1486</v>
      </c>
      <c r="AT8" s="3"/>
      <c r="AU8" s="1" t="s">
        <v>1494</v>
      </c>
      <c r="AV8" s="20" t="s">
        <v>1</v>
      </c>
      <c r="AW8" s="20" t="s">
        <v>2</v>
      </c>
      <c r="AX8" s="20" t="s">
        <v>1483</v>
      </c>
      <c r="AY8" s="20" t="s">
        <v>1484</v>
      </c>
      <c r="AZ8" s="19" t="s">
        <v>3</v>
      </c>
      <c r="BA8" s="19" t="s">
        <v>4</v>
      </c>
      <c r="BB8" s="19" t="s">
        <v>5</v>
      </c>
      <c r="BC8" s="19" t="s">
        <v>6</v>
      </c>
      <c r="BD8" s="19" t="s">
        <v>8</v>
      </c>
      <c r="BE8" s="19" t="s">
        <v>10</v>
      </c>
      <c r="BF8" s="19" t="s">
        <v>12</v>
      </c>
      <c r="BG8" s="19" t="s">
        <v>13</v>
      </c>
      <c r="BH8" s="19" t="s">
        <v>14</v>
      </c>
      <c r="BI8" s="19" t="s">
        <v>15</v>
      </c>
      <c r="BJ8" s="19" t="s">
        <v>16</v>
      </c>
      <c r="BK8" s="19" t="s">
        <v>17</v>
      </c>
      <c r="BL8" s="19" t="s">
        <v>18</v>
      </c>
      <c r="BM8" s="19" t="s">
        <v>19</v>
      </c>
      <c r="BN8" s="1" t="s">
        <v>29</v>
      </c>
      <c r="BO8" s="1" t="s">
        <v>7</v>
      </c>
      <c r="BP8" s="1" t="s">
        <v>9</v>
      </c>
      <c r="BQ8" s="1" t="s">
        <v>11</v>
      </c>
      <c r="BR8" s="1" t="s">
        <v>1495</v>
      </c>
      <c r="BS8" s="16"/>
      <c r="BT8" s="15"/>
      <c r="BU8" s="25">
        <f>COUNT(AW9:AW304)</f>
        <v>296</v>
      </c>
      <c r="BV8" s="5" t="s">
        <v>0</v>
      </c>
    </row>
    <row r="9" spans="1:74" ht="225" customHeight="1" x14ac:dyDescent="0.25">
      <c r="A9" t="s">
        <v>326</v>
      </c>
      <c r="B9">
        <v>1</v>
      </c>
      <c r="C9" t="s">
        <v>615</v>
      </c>
      <c r="E9" t="s">
        <v>619</v>
      </c>
      <c r="H9" t="s">
        <v>623</v>
      </c>
      <c r="L9" t="s">
        <v>1043</v>
      </c>
      <c r="M9" t="s">
        <v>1056</v>
      </c>
      <c r="O9" t="s">
        <v>1062</v>
      </c>
      <c r="P9" t="s">
        <v>1112</v>
      </c>
      <c r="Q9" t="s">
        <v>1114</v>
      </c>
      <c r="R9" t="s">
        <v>1169</v>
      </c>
      <c r="S9" t="b">
        <v>1</v>
      </c>
      <c r="T9" t="b">
        <v>0</v>
      </c>
      <c r="U9" t="b">
        <v>0</v>
      </c>
      <c r="V9" t="b">
        <v>0</v>
      </c>
      <c r="W9" s="2" t="s">
        <v>1184</v>
      </c>
      <c r="X9" s="2"/>
      <c r="Y9" s="24">
        <v>1</v>
      </c>
      <c r="Z9">
        <f t="shared" ref="Z9:Z72" si="0">IF((IFERROR(SEARCH($BU$6,A9), FALSE)),$Y9,0)</f>
        <v>1</v>
      </c>
      <c r="AA9">
        <f t="shared" ref="AA9:AA72" si="1">IF((IFERROR(SEARCH($BU$6,B9), FALSE)),$Y9,0)</f>
        <v>1</v>
      </c>
      <c r="AB9">
        <f t="shared" ref="AB9:AB72" si="2">IF((IFERROR(SEARCH($BU$6,C9), FALSE)),$Y9,0)</f>
        <v>1</v>
      </c>
      <c r="AC9">
        <f t="shared" ref="AC9:AC72" si="3">IF((IFERROR(SEARCH($BU$6,D9), FALSE)),$Y9,0)</f>
        <v>0</v>
      </c>
      <c r="AD9">
        <f t="shared" ref="AD9:AD72" si="4">IF((IFERROR(SEARCH($BU$6,E9), FALSE)),$Y9,0)</f>
        <v>1</v>
      </c>
      <c r="AE9">
        <f t="shared" ref="AE9:AE72" si="5">IF((IFERROR(SEARCH($BU$6,F9), FALSE)),$Y9,0)</f>
        <v>0</v>
      </c>
      <c r="AF9">
        <f t="shared" ref="AF9:AF72" si="6">IF((IFERROR(SEARCH($BU$6,G9), FALSE)),$Y9,0)</f>
        <v>0</v>
      </c>
      <c r="AG9">
        <f t="shared" ref="AG9:AG72" si="7">IF((IFERROR(SEARCH($BU$6,H9), FALSE)),$Y9,0)</f>
        <v>1</v>
      </c>
      <c r="AH9">
        <f t="shared" ref="AH9:AH72" si="8">IF((IFERROR(SEARCH($BU$6,I9), FALSE)),$Y9,0)</f>
        <v>0</v>
      </c>
      <c r="AI9">
        <f t="shared" ref="AI9:AI72" si="9">IF((IFERROR(SEARCH($BU$6,J9), FALSE)),$Y9,0)</f>
        <v>0</v>
      </c>
      <c r="AJ9">
        <f t="shared" ref="AJ9:AJ72" si="10">IF((IFERROR(SEARCH($BU$6,K9), FALSE)),$Y9,0)</f>
        <v>0</v>
      </c>
      <c r="AK9">
        <f t="shared" ref="AK9:AK72" si="11">IF((IFERROR(SEARCH($BU$6,L9), FALSE)),$Y9,0)</f>
        <v>1</v>
      </c>
      <c r="AL9">
        <f t="shared" ref="AL9:AL72" si="12">IF((IFERROR(SEARCH($BU$6,M9), FALSE)),$Y9,0)</f>
        <v>1</v>
      </c>
      <c r="AM9">
        <f t="shared" ref="AM9:AM72" si="13">IF((IFERROR(SEARCH($BU$6,N9), FALSE)),$Y9,0)</f>
        <v>0</v>
      </c>
      <c r="AN9">
        <f t="shared" ref="AN9:AN72" si="14">IF((IFERROR(SEARCH($BU$6,O9), FALSE)),$Y9,0)</f>
        <v>1</v>
      </c>
      <c r="AO9">
        <f t="shared" ref="AO9:AO72" si="15">IF((IFERROR(SEARCH($BU$6,P9), FALSE)),$Y9,0)</f>
        <v>1</v>
      </c>
      <c r="AP9">
        <f t="shared" ref="AP9:AP72" si="16">IF((IFERROR(SEARCH($BU$6,Q9), FALSE)),$Y9,0)</f>
        <v>1</v>
      </c>
      <c r="AQ9">
        <f t="shared" ref="AQ9:AQ72" si="17">IF((IFERROR(SEARCH($BU$6,R9), FALSE)),$Y9,0)</f>
        <v>1</v>
      </c>
      <c r="AR9" s="6">
        <f>IF(SUM($Z9:$AQ9)&gt;=$Y9,$Y9,"")</f>
        <v>1</v>
      </c>
      <c r="AS9">
        <f>IFERROR(SMALL($AR$9:$AR$304,$Y9),"")</f>
        <v>1</v>
      </c>
      <c r="AU9" s="10"/>
      <c r="AV9" s="1" t="str">
        <f>IF(IFERROR(INDEX($A$9:$W$304,$AS9,COLUMNS($AV$8:AV8)),"")=0,"",IFERROR(INDEX($A$9:$W$304,$AS9,COLUMNS($AV$8:AV8)),""))</f>
        <v>Aftershock</v>
      </c>
      <c r="AW9" s="1">
        <f>IFERROR(INDEX($A$9:$W$304,$AS9,COLUMNS($AV$8:AW8)),"")</f>
        <v>1</v>
      </c>
      <c r="AX9" s="1" t="str">
        <f>IF(IFERROR(INDEX($A$9:$X$304,$AS9,COLUMNS($AV$8:AX8)),"")=0,"",IFERROR(INDEX($A$9:$X$304,$AS9,COLUMNS($AV$8:AX8)),""))</f>
        <v>WILD</v>
      </c>
      <c r="AY9" s="1" t="str">
        <f>IF(IFERROR(INDEX($A$9:$X$304,$AS9,COLUMNS($AV$8:AY8)),"")=0,"",IFERROR(INDEX($A$9:$X$304,$AS9,COLUMNS($AV$8:AY8)),""))</f>
        <v/>
      </c>
      <c r="AZ9" s="1" t="str">
        <f>IF(IFERROR(INDEX($A$9:$X$304,$AS9,COLUMNS($AV$8:AZ8)),"")=0,"",IFERROR(INDEX($A$9:$X$304,$AS9,COLUMNS($AV$8:AZ8)),""))</f>
        <v>EVENT</v>
      </c>
      <c r="BA9" s="1" t="str">
        <f>IF(IFERROR(INDEX($A$9:$X$304,$AS9,COLUMNS($AV$8:BA8)),"")=0,"",IFERROR(INDEX($A$9:$X$304,$AS9,COLUMNS($AV$8:BA8)),""))</f>
        <v/>
      </c>
      <c r="BB9" s="1" t="str">
        <f>IF(IFERROR(INDEX($A$9:$X$304,$AS9,COLUMNS($AV$8:BB8)),"")=0,"",IFERROR(INDEX($A$9:$X$304,$AS9,COLUMNS($AV$8:BB8)),""))</f>
        <v/>
      </c>
      <c r="BC9" s="1" t="str">
        <f>IF(IFERROR(INDEX($A$9:$X$304,$AS9,COLUMNS($AV$8:BC8)),"")=0,"",IFERROR(INDEX($A$9:$X$304,$AS9,COLUMNS($AV$8:BC8)),""))</f>
        <v>Deal 5 damage to a target.</v>
      </c>
      <c r="BD9" s="1" t="str">
        <f>IF(IFERROR(INDEX($A$9:$X$304,$AS9,COLUMNS($AV$8:BD8)),"")=0,"",IFERROR(INDEX($A$9:$X$304,$AS9,COLUMNS($AV$8:BD8)),""))</f>
        <v/>
      </c>
      <c r="BE9" s="1" t="str">
        <f>IF(IFERROR(INDEX($A$9:$X$304,$AS9,COLUMNS($AV$8:BE8)),"")=0,"",IFERROR(INDEX($A$9:$X$304,$AS9,COLUMNS($AV$8:BE8)),""))</f>
        <v/>
      </c>
      <c r="BF9" s="1" t="str">
        <f>IF(IFERROR(INDEX($A$9:$X$304,$AS9,COLUMNS($AV$8:BF8)),"")=0,"",IFERROR(INDEX($A$9:$X$304,$AS9,COLUMNS($AV$8:BF8)),""))</f>
        <v/>
      </c>
      <c r="BG9" s="1" t="str">
        <f>IF(IFERROR(INDEX($A$9:$X$304,$AS9,COLUMNS($AV$8:BG8)),"")=0,"",IFERROR(INDEX($A$9:$X$304,$AS9,COLUMNS($AV$8:BG8)),""))</f>
        <v>{wild} → Recall</v>
      </c>
      <c r="BH9" s="1" t="str">
        <f>IF(IFERROR(INDEX($A$9:$X$304,$AS9,COLUMNS($AV$8:BH8)),"")=0,"",IFERROR(INDEX($A$9:$X$304,$AS9,COLUMNS($AV$8:BH8)),""))</f>
        <v>When this card leaves your discard pile → Deal 2 damage each opponent.</v>
      </c>
      <c r="BI9" s="1" t="str">
        <f>IF(IFERROR(INDEX($A$9:$X$304,$AS9,COLUMNS($AV$8:BI8)),"")=0,"",IFERROR(INDEX($A$9:$X$304,$AS9,COLUMNS($AV$8:BI8)),""))</f>
        <v/>
      </c>
      <c r="BJ9" s="1" t="str">
        <f>IF(IFERROR(INDEX($A$9:$X$304,$AS9,COLUMNS($AV$8:BJ8)),"")=0,"",IFERROR(INDEX($A$9:$X$304,$AS9,COLUMNS($AV$8:BJ8)),""))</f>
        <v>None</v>
      </c>
      <c r="BK9" s="1" t="str">
        <f>IF(IFERROR(INDEX($A$9:$X$304,$AS9,COLUMNS($AV$8:BK8)),"")=0,"",IFERROR(INDEX($A$9:$X$304,$AS9,COLUMNS($AV$8:BK8)),""))</f>
        <v>Common</v>
      </c>
      <c r="BL9" s="1" t="str">
        <f>IF(IFERROR(INDEX($A$9:$X$304,$AS9,COLUMNS($AV$8:BL8)),"")=0,"",IFERROR(INDEX($A$9:$X$304,$AS9,COLUMNS($AV$8:BL8)),""))</f>
        <v>Jaan-Paul van Eeden</v>
      </c>
      <c r="BM9" s="1" t="str">
        <f>IF(IFERROR(INDEX($A$9:$X$304,$AS9,COLUMNS($AV$8:BM8)),"")=0,"",IFERROR(INDEX($A$9:$X$304,$AS9,COLUMNS($AV$8:BM8)),""))</f>
        <v>Kickstarter Promo</v>
      </c>
      <c r="BN9" s="3" t="b">
        <f>IF(IFERROR(INDEX($A$9:$X$304,$AS9,COLUMNS($AV$8:BN8)),"")=0,"",IFERROR(INDEX($A$9:$X$304,$AS9,COLUMNS($AV$8:BN8)),""))</f>
        <v>1</v>
      </c>
      <c r="BO9" s="3" t="b">
        <f>IF(IFERROR(INDEX($A$9:$X$304,$AS9,COLUMNS($AV$8:BO8)),"")=0,"",IFERROR(INDEX($A$9:$X$304,$AS9,COLUMNS($AV$8:BO8)),""))</f>
        <v>0</v>
      </c>
      <c r="BP9" s="3" t="b">
        <f>IF(IFERROR(INDEX($A$9:$X$304,$AS9,COLUMNS($AV$8:BP8)),"")=0,"",IFERROR(INDEX($A$9:$X$304,$AS9,COLUMNS($AV$8:BP8)),""))</f>
        <v>0</v>
      </c>
      <c r="BQ9" s="3" t="b">
        <f>IF(IFERROR(INDEX($A$9:$X$304,$AS9,COLUMNS($AV$8:BQ8)),"")=0,"",IFERROR(INDEX($A$9:$X$304,$AS9,COLUMNS($AV$8:BQ8)),""))</f>
        <v>0</v>
      </c>
      <c r="BR9" s="3" t="str">
        <f>IF(IFERROR(INDEX($A$9:$X$304,$AS9,COLUMNS($AV$8:BR8)),"")=0,"",IFERROR(INDEX($A$9:$X$304,$AS9,COLUMNS($AV$8:BR8)),""))</f>
        <v>http://www.epiccardgame.com/wp-content/uploads/2015/09/aftershock-215x300.jpg</v>
      </c>
      <c r="BS9" s="3" t="str">
        <f>IF(IFERROR(INDEX($A$9:$X$304,$AS9,COLUMNS($W8:BM$9)),"")=0,"",IFERROR(INDEX($A$9:$X$304,$AS9,COLUMNS($W8:BM$9)),""))</f>
        <v/>
      </c>
      <c r="BT9" s="3"/>
      <c r="BU9" s="15"/>
      <c r="BV9" t="s">
        <v>30</v>
      </c>
    </row>
    <row r="10" spans="1:74" ht="225" customHeight="1" x14ac:dyDescent="0.25">
      <c r="A10" t="s">
        <v>327</v>
      </c>
      <c r="B10">
        <v>0</v>
      </c>
      <c r="C10" t="s">
        <v>616</v>
      </c>
      <c r="E10" t="s">
        <v>620</v>
      </c>
      <c r="F10">
        <v>3</v>
      </c>
      <c r="G10">
        <v>1</v>
      </c>
      <c r="H10" t="s">
        <v>624</v>
      </c>
      <c r="I10" t="s">
        <v>763</v>
      </c>
      <c r="O10" t="s">
        <v>1063</v>
      </c>
      <c r="P10" t="s">
        <v>1112</v>
      </c>
      <c r="Q10" t="s">
        <v>1115</v>
      </c>
      <c r="R10" t="s">
        <v>1170</v>
      </c>
      <c r="S10" t="b">
        <v>1</v>
      </c>
      <c r="T10" t="b">
        <v>0</v>
      </c>
      <c r="U10" t="b">
        <v>0</v>
      </c>
      <c r="V10" t="b">
        <v>0</v>
      </c>
      <c r="W10" s="2" t="s">
        <v>1185</v>
      </c>
      <c r="X10" s="2"/>
      <c r="Y10" s="24">
        <v>2</v>
      </c>
      <c r="Z10">
        <f t="shared" si="0"/>
        <v>2</v>
      </c>
      <c r="AA10">
        <f t="shared" si="1"/>
        <v>2</v>
      </c>
      <c r="AB10">
        <f t="shared" si="2"/>
        <v>2</v>
      </c>
      <c r="AC10">
        <f t="shared" si="3"/>
        <v>0</v>
      </c>
      <c r="AD10">
        <f t="shared" si="4"/>
        <v>2</v>
      </c>
      <c r="AE10">
        <f t="shared" si="5"/>
        <v>2</v>
      </c>
      <c r="AF10">
        <f t="shared" si="6"/>
        <v>2</v>
      </c>
      <c r="AG10">
        <f t="shared" si="7"/>
        <v>2</v>
      </c>
      <c r="AH10">
        <f t="shared" si="8"/>
        <v>2</v>
      </c>
      <c r="AI10">
        <f t="shared" si="9"/>
        <v>0</v>
      </c>
      <c r="AJ10">
        <f t="shared" si="10"/>
        <v>0</v>
      </c>
      <c r="AK10">
        <f t="shared" si="11"/>
        <v>0</v>
      </c>
      <c r="AL10">
        <f t="shared" si="12"/>
        <v>0</v>
      </c>
      <c r="AM10">
        <f t="shared" si="13"/>
        <v>0</v>
      </c>
      <c r="AN10">
        <f t="shared" si="14"/>
        <v>2</v>
      </c>
      <c r="AO10">
        <f t="shared" si="15"/>
        <v>2</v>
      </c>
      <c r="AP10">
        <f t="shared" si="16"/>
        <v>2</v>
      </c>
      <c r="AQ10">
        <f t="shared" si="17"/>
        <v>2</v>
      </c>
      <c r="AR10" s="6">
        <f t="shared" ref="AR10:AR73" si="18">IF(SUM($Z10:$AQ10)&gt;=$Y10,$Y10,"")</f>
        <v>2</v>
      </c>
      <c r="AS10">
        <f t="shared" ref="AS10:AS73" si="19">IFERROR(SMALL($AR$9:$AR$304,$Y10),"")</f>
        <v>2</v>
      </c>
      <c r="AV10" s="1" t="str">
        <f>IF(IFERROR(INDEX($A$9:$W$304,$AS10,COLUMNS($AV$8:AV9)),"")=0,"",IFERROR(INDEX($A$9:$W$304,$AS10,COLUMNS($AV$8:AV9)),""))</f>
        <v>Alchemist Assassin</v>
      </c>
      <c r="AW10" s="1">
        <f>IFERROR(INDEX($A$9:$W$304,$AS10,COLUMNS($AV$9:AW9)),"")</f>
        <v>0</v>
      </c>
      <c r="AX10" s="1" t="str">
        <f>IF(IFERROR(INDEX($A$9:$X$304,$AS10,COLUMNS($AV$9:AX9)),"")=0,"",IFERROR(INDEX($A$9:$X$304,$AS10,COLUMNS($AV$9:AX9)),""))</f>
        <v>SAGE</v>
      </c>
      <c r="AY10" s="1" t="str">
        <f>IF(IFERROR(INDEX($A$9:$X$304,$AS10,COLUMNS($AV$9:AY9)),"")=0,"",IFERROR(INDEX($A$9:$X$304,$AS10,COLUMNS($AV$9:AY9)),""))</f>
        <v/>
      </c>
      <c r="AZ10" s="1" t="str">
        <f>IF(IFERROR(INDEX($A$9:$X$304,$AS10,COLUMNS($AV$9:AZ9)),"")=0,"",IFERROR(INDEX($A$9:$X$304,$AS10,COLUMNS($AV$9:AZ9)),""))</f>
        <v>CHAMPION</v>
      </c>
      <c r="BA10" s="1">
        <f>IF(IFERROR(INDEX($A$9:$X$304,$AS10,COLUMNS($AV$9:BA9)),"")=0,"",IFERROR(INDEX($A$9:$X$304,$AS10,COLUMNS($AV$9:BA9)),""))</f>
        <v>3</v>
      </c>
      <c r="BB10" s="1">
        <f>IF(IFERROR(INDEX($A$9:$X$304,$AS10,COLUMNS($AV$9:BB9)),"")=0,"",IFERROR(INDEX($A$9:$X$304,$AS10,COLUMNS($AV$9:BB9)),""))</f>
        <v>1</v>
      </c>
      <c r="BC10" s="1" t="str">
        <f>IF(IFERROR(INDEX($A$9:$X$304,$AS10,COLUMNS($AV$9:BC9)),"")=0,"",IFERROR(INDEX($A$9:$X$304,$AS10,COLUMNS($AV$9:BC9)),""))</f>
        <v>Blitz ◆ Unblockable</v>
      </c>
      <c r="BD10" s="1" t="str">
        <f>IF(IFERROR(INDEX($A$9:$X$304,$AS10,COLUMNS($AV$9:BD9)),"")=0,"",IFERROR(INDEX($A$9:$X$304,$AS10,COLUMNS($AV$9:BD9)),""))</f>
        <v>{1}: This card gets +7 {offense} this turn.</v>
      </c>
      <c r="BE10" s="1" t="str">
        <f>IF(IFERROR(INDEX($A$9:$X$304,$AS10,COLUMNS($AV$9:BE9)),"")=0,"",IFERROR(INDEX($A$9:$X$304,$AS10,COLUMNS($AV$9:BE9)),""))</f>
        <v/>
      </c>
      <c r="BF10" s="1" t="str">
        <f>IF(IFERROR(INDEX($A$9:$X$304,$AS10,COLUMNS($AV$9:BF9)),"")=0,"",IFERROR(INDEX($A$9:$X$304,$AS10,COLUMNS($AV$9:BF9)),""))</f>
        <v/>
      </c>
      <c r="BG10" s="1" t="str">
        <f>IF(IFERROR(INDEX($A$9:$X$304,$AS10,COLUMNS($AV$9:BG9)),"")=0,"",IFERROR(INDEX($A$9:$X$304,$AS10,COLUMNS($AV$9:BG9)),""))</f>
        <v/>
      </c>
      <c r="BH10" s="1" t="str">
        <f>IF(IFERROR(INDEX($A$9:$X$304,$AS10,COLUMNS($AV$9:BH9)),"")=0,"",IFERROR(INDEX($A$9:$X$304,$AS10,COLUMNS($AV$9:BH9)),""))</f>
        <v/>
      </c>
      <c r="BI10" s="1" t="str">
        <f>IF(IFERROR(INDEX($A$9:$X$304,$AS10,COLUMNS($AV$9:BI9)),"")=0,"",IFERROR(INDEX($A$9:$X$304,$AS10,COLUMNS($AV$9:BI9)),""))</f>
        <v/>
      </c>
      <c r="BJ10" s="1" t="str">
        <f>IF(IFERROR(INDEX($A$9:$X$304,$AS10,COLUMNS($AV$9:BJ9)),"")=0,"",IFERROR(INDEX($A$9:$X$304,$AS10,COLUMNS($AV$9:BJ9)),""))</f>
        <v>HUMAN</v>
      </c>
      <c r="BK10" s="1" t="str">
        <f>IF(IFERROR(INDEX($A$9:$X$304,$AS10,COLUMNS($AV$9:BK9)),"")=0,"",IFERROR(INDEX($A$9:$X$304,$AS10,COLUMNS($AV$9:BK9)),""))</f>
        <v>Common</v>
      </c>
      <c r="BL10" s="1" t="str">
        <f>IF(IFERROR(INDEX($A$9:$X$304,$AS10,COLUMNS($AV$9:BL9)),"")=0,"",IFERROR(INDEX($A$9:$X$304,$AS10,COLUMNS($AV$9:BL9)),""))</f>
        <v>Helder Almeida</v>
      </c>
      <c r="BM10" s="1" t="str">
        <f>IF(IFERROR(INDEX($A$9:$X$304,$AS10,COLUMNS($AV$9:BM9)),"")=0,"",IFERROR(INDEX($A$9:$X$304,$AS10,COLUMNS($AV$9:BM9)),""))</f>
        <v>Pantheon: Helena vs Zaltessa</v>
      </c>
      <c r="BN10" s="3" t="b">
        <f>IF(IFERROR(INDEX($A$9:$X$304,$AS10,COLUMNS($AV$9:BN9)),"")=0,"",IFERROR(INDEX($A$9:$X$304,$AS10,COLUMNS($AV$9:BN9)),""))</f>
        <v>1</v>
      </c>
      <c r="BO10" s="3" t="b">
        <f>IF(IFERROR(INDEX($A$9:$X$304,$AS10,COLUMNS($AV$9:BO9)),"")=0,"",IFERROR(INDEX($A$9:$X$304,$AS10,COLUMNS($AV$9:BO9)),""))</f>
        <v>0</v>
      </c>
      <c r="BP10" s="3" t="b">
        <f>IF(IFERROR(INDEX($A$9:$X$304,$AS10,COLUMNS($AV$9:BP9)),"")=0,"",IFERROR(INDEX($A$9:$X$304,$AS10,COLUMNS($AV$9:BP9)),""))</f>
        <v>0</v>
      </c>
      <c r="BQ10" s="3" t="b">
        <f>IF(IFERROR(INDEX($A$9:$X$304,$AS10,COLUMNS($AV$9:BQ9)),"")=0,"",IFERROR(INDEX($A$9:$X$304,$AS10,COLUMNS($AV$9:BQ9)),""))</f>
        <v>0</v>
      </c>
      <c r="BR10" s="3" t="str">
        <f>IF(IFERROR(INDEX($A$9:$X$304,$AS10,COLUMNS($AV$9:BR9)),"")=0,"",IFERROR(INDEX($A$9:$X$304,$AS10,COLUMNS($AV$9:BR9)),""))</f>
        <v>https://www.epiccardgame.com/wp-content/uploads/2017/11/PNH-EN-06-alchemist-assassin.jpg</v>
      </c>
      <c r="BS10" s="3" t="str">
        <f>IF(IFERROR(INDEX($A$9:$X$304,$AS10,COLUMNS($AV$9:BS9)),"")=0,"",IFERROR(INDEX($A$9:$X$304,$AS10,COLUMNS($AV$9:BS9)),""))</f>
        <v/>
      </c>
      <c r="BT10" s="3"/>
      <c r="BU10" s="15"/>
      <c r="BV10" t="s">
        <v>31</v>
      </c>
    </row>
    <row r="11" spans="1:74" ht="225" customHeight="1" x14ac:dyDescent="0.25">
      <c r="A11" t="s">
        <v>328</v>
      </c>
      <c r="B11">
        <v>1</v>
      </c>
      <c r="C11" t="s">
        <v>617</v>
      </c>
      <c r="E11" t="s">
        <v>619</v>
      </c>
      <c r="H11" t="s">
        <v>625</v>
      </c>
      <c r="O11" t="s">
        <v>1063</v>
      </c>
      <c r="P11" t="s">
        <v>1112</v>
      </c>
      <c r="Q11" t="s">
        <v>1116</v>
      </c>
      <c r="R11" t="s">
        <v>1170</v>
      </c>
      <c r="S11" t="b">
        <v>1</v>
      </c>
      <c r="T11" t="b">
        <v>0</v>
      </c>
      <c r="U11" t="b">
        <v>0</v>
      </c>
      <c r="V11" t="b">
        <v>0</v>
      </c>
      <c r="W11" s="2" t="s">
        <v>1186</v>
      </c>
      <c r="X11" s="2"/>
      <c r="Y11" s="24">
        <v>3</v>
      </c>
      <c r="Z11">
        <f t="shared" si="0"/>
        <v>3</v>
      </c>
      <c r="AA11">
        <f t="shared" si="1"/>
        <v>3</v>
      </c>
      <c r="AB11">
        <f t="shared" si="2"/>
        <v>3</v>
      </c>
      <c r="AC11">
        <f t="shared" si="3"/>
        <v>0</v>
      </c>
      <c r="AD11">
        <f t="shared" si="4"/>
        <v>3</v>
      </c>
      <c r="AE11">
        <f t="shared" si="5"/>
        <v>0</v>
      </c>
      <c r="AF11">
        <f t="shared" si="6"/>
        <v>0</v>
      </c>
      <c r="AG11">
        <f t="shared" si="7"/>
        <v>3</v>
      </c>
      <c r="AH11">
        <f t="shared" si="8"/>
        <v>0</v>
      </c>
      <c r="AI11">
        <f t="shared" si="9"/>
        <v>0</v>
      </c>
      <c r="AJ11">
        <f t="shared" si="10"/>
        <v>0</v>
      </c>
      <c r="AK11">
        <f t="shared" si="11"/>
        <v>0</v>
      </c>
      <c r="AL11">
        <f t="shared" si="12"/>
        <v>0</v>
      </c>
      <c r="AM11">
        <f t="shared" si="13"/>
        <v>0</v>
      </c>
      <c r="AN11">
        <f t="shared" si="14"/>
        <v>3</v>
      </c>
      <c r="AO11">
        <f t="shared" si="15"/>
        <v>3</v>
      </c>
      <c r="AP11">
        <f t="shared" si="16"/>
        <v>3</v>
      </c>
      <c r="AQ11">
        <f t="shared" si="17"/>
        <v>3</v>
      </c>
      <c r="AR11" s="6">
        <f t="shared" si="18"/>
        <v>3</v>
      </c>
      <c r="AS11">
        <f t="shared" si="19"/>
        <v>3</v>
      </c>
      <c r="AV11" s="1" t="str">
        <f>IF(IFERROR(INDEX($A$9:$W$304,$AS11,COLUMNS($AV$9:AV10)),"")=0,"",IFERROR(INDEX($A$9:$W$304,$AS11,COLUMNS($AV$9:AV10)),""))</f>
        <v>Ambush Party</v>
      </c>
      <c r="AW11" s="1">
        <f>IFERROR(INDEX($A$9:$W$304,$AS11,COLUMNS($AV$9:AW10)),"")</f>
        <v>1</v>
      </c>
      <c r="AX11" s="1" t="str">
        <f>IF(IFERROR(INDEX($A$9:$X$304,$AS11,COLUMNS($AV$9:AX10)),"")=0,"",IFERROR(INDEX($A$9:$X$304,$AS11,COLUMNS($AV$9:AX10)),""))</f>
        <v>GOOD</v>
      </c>
      <c r="AY11" s="1" t="str">
        <f>IF(IFERROR(INDEX($A$9:$X$304,$AS11,COLUMNS($AV$9:AY10)),"")=0,"",IFERROR(INDEX($A$9:$X$304,$AS11,COLUMNS($AV$9:AY10)),""))</f>
        <v/>
      </c>
      <c r="AZ11" s="1" t="str">
        <f>IF(IFERROR(INDEX($A$9:$X$304,$AS11,COLUMNS($AV$9:AZ10)),"")=0,"",IFERROR(INDEX($A$9:$X$304,$AS11,COLUMNS($AV$9:AZ10)),""))</f>
        <v>EVENT</v>
      </c>
      <c r="BA11" s="1" t="str">
        <f>IF(IFERROR(INDEX($A$9:$X$304,$AS11,COLUMNS($AV$9:BA10)),"")=0,"",IFERROR(INDEX($A$9:$X$304,$AS11,COLUMNS($AV$9:BA10)),""))</f>
        <v/>
      </c>
      <c r="BB11" s="1" t="str">
        <f>IF(IFERROR(INDEX($A$9:$X$304,$AS11,COLUMNS($AV$9:BB10)),"")=0,"",IFERROR(INDEX($A$9:$X$304,$AS11,COLUMNS($AV$9:BB10)),""))</f>
        <v/>
      </c>
      <c r="BC11" s="1" t="str">
        <f>IF(IFERROR(INDEX($A$9:$X$304,$AS11,COLUMNS($AV$9:BC10)),"")=0,"",IFERROR(INDEX($A$9:$X$304,$AS11,COLUMNS($AV$9:BC10)),""))</f>
        <v>Put three human tokens into play. Your human champions gain blitz this turn. Your good champions get +2 {offense} this turn. Draw a card.</v>
      </c>
      <c r="BD11" s="1" t="str">
        <f>IF(IFERROR(INDEX($A$9:$X$304,$AS11,COLUMNS($AV$9:BD10)),"")=0,"",IFERROR(INDEX($A$9:$X$304,$AS11,COLUMNS($AV$9:BD10)),""))</f>
        <v/>
      </c>
      <c r="BE11" s="1" t="str">
        <f>IF(IFERROR(INDEX($A$9:$X$304,$AS11,COLUMNS($AV$9:BE10)),"")=0,"",IFERROR(INDEX($A$9:$X$304,$AS11,COLUMNS($AV$9:BE10)),""))</f>
        <v/>
      </c>
      <c r="BF11" s="1" t="str">
        <f>IF(IFERROR(INDEX($A$9:$X$304,$AS11,COLUMNS($AV$9:BF10)),"")=0,"",IFERROR(INDEX($A$9:$X$304,$AS11,COLUMNS($AV$9:BF10)),""))</f>
        <v/>
      </c>
      <c r="BG11" s="1" t="str">
        <f>IF(IFERROR(INDEX($A$9:$X$304,$AS11,COLUMNS($AV$9:BG10)),"")=0,"",IFERROR(INDEX($A$9:$X$304,$AS11,COLUMNS($AV$9:BG10)),""))</f>
        <v/>
      </c>
      <c r="BH11" s="1" t="str">
        <f>IF(IFERROR(INDEX($A$9:$X$304,$AS11,COLUMNS($AV$9:BH10)),"")=0,"",IFERROR(INDEX($A$9:$X$304,$AS11,COLUMNS($AV$9:BH10)),""))</f>
        <v/>
      </c>
      <c r="BI11" s="1" t="str">
        <f>IF(IFERROR(INDEX($A$9:$X$304,$AS11,COLUMNS($AV$9:BI10)),"")=0,"",IFERROR(INDEX($A$9:$X$304,$AS11,COLUMNS($AV$9:BI10)),""))</f>
        <v/>
      </c>
      <c r="BJ11" s="1" t="str">
        <f>IF(IFERROR(INDEX($A$9:$X$304,$AS11,COLUMNS($AV$9:BJ10)),"")=0,"",IFERROR(INDEX($A$9:$X$304,$AS11,COLUMNS($AV$9:BJ10)),""))</f>
        <v>HUMAN</v>
      </c>
      <c r="BK11" s="1" t="str">
        <f>IF(IFERROR(INDEX($A$9:$X$304,$AS11,COLUMNS($AV$9:BK10)),"")=0,"",IFERROR(INDEX($A$9:$X$304,$AS11,COLUMNS($AV$9:BK10)),""))</f>
        <v>Common</v>
      </c>
      <c r="BL11" s="1" t="str">
        <f>IF(IFERROR(INDEX($A$9:$X$304,$AS11,COLUMNS($AV$9:BL10)),"")=0,"",IFERROR(INDEX($A$9:$X$304,$AS11,COLUMNS($AV$9:BL10)),""))</f>
        <v>Apsara</v>
      </c>
      <c r="BM11" s="1" t="str">
        <f>IF(IFERROR(INDEX($A$9:$X$304,$AS11,COLUMNS($AV$9:BM10)),"")=0,"",IFERROR(INDEX($A$9:$X$304,$AS11,COLUMNS($AV$9:BM10)),""))</f>
        <v>Pantheon: Helena vs Zaltessa</v>
      </c>
      <c r="BN11" s="3" t="b">
        <f>IF(IFERROR(INDEX($A$9:$X$304,$AS11,COLUMNS($AV$9:BN10)),"")=0,"",IFERROR(INDEX($A$9:$X$304,$AS11,COLUMNS($AV$9:BN10)),""))</f>
        <v>1</v>
      </c>
      <c r="BO11" s="3" t="b">
        <f>IF(IFERROR(INDEX($A$9:$X$304,$AS11,COLUMNS($AV$9:BO10)),"")=0,"",IFERROR(INDEX($A$9:$X$304,$AS11,COLUMNS($AV$9:BO10)),""))</f>
        <v>0</v>
      </c>
      <c r="BP11" s="3" t="b">
        <f>IF(IFERROR(INDEX($A$9:$X$304,$AS11,COLUMNS($AV$9:BP10)),"")=0,"",IFERROR(INDEX($A$9:$X$304,$AS11,COLUMNS($AV$9:BP10)),""))</f>
        <v>0</v>
      </c>
      <c r="BQ11" s="3" t="b">
        <f>IF(IFERROR(INDEX($A$9:$X$304,$AS11,COLUMNS($AV$9:BQ10)),"")=0,"",IFERROR(INDEX($A$9:$X$304,$AS11,COLUMNS($AV$9:BQ10)),""))</f>
        <v>0</v>
      </c>
      <c r="BR11" s="3" t="str">
        <f>IF(IFERROR(INDEX($A$9:$X$304,$AS11,COLUMNS($AV$9:BR10)),"")=0,"",IFERROR(INDEX($A$9:$X$304,$AS11,COLUMNS($AV$9:BR10)),""))</f>
        <v>https://www.epiccardgame.com/wp-content/uploads/2017/11/PNH-EN-03-ambush-party.jpg</v>
      </c>
      <c r="BS11" s="3" t="str">
        <f>IF(IFERROR(INDEX($A$9:$X$304,$AS11,COLUMNS($AV$9:BS10)),"")=0,"",IFERROR(INDEX($A$9:$X$304,$AS11,COLUMNS($AV$9:BS10)),""))</f>
        <v/>
      </c>
      <c r="BT11" s="3"/>
      <c r="BU11" s="15"/>
      <c r="BV11" t="s">
        <v>32</v>
      </c>
    </row>
    <row r="12" spans="1:74" ht="225.2" customHeight="1" x14ac:dyDescent="0.25">
      <c r="A12" t="s">
        <v>329</v>
      </c>
      <c r="B12">
        <v>0</v>
      </c>
      <c r="C12" t="s">
        <v>616</v>
      </c>
      <c r="E12" t="s">
        <v>619</v>
      </c>
      <c r="H12" t="s">
        <v>626</v>
      </c>
      <c r="I12" t="s">
        <v>23</v>
      </c>
      <c r="J12" t="s">
        <v>769</v>
      </c>
      <c r="O12" t="s">
        <v>1062</v>
      </c>
      <c r="P12" t="s">
        <v>1113</v>
      </c>
      <c r="Q12" t="s">
        <v>1117</v>
      </c>
      <c r="R12" t="s">
        <v>1171</v>
      </c>
      <c r="S12" t="b">
        <v>1</v>
      </c>
      <c r="T12" t="b">
        <v>1</v>
      </c>
      <c r="U12" t="b">
        <v>0</v>
      </c>
      <c r="V12" t="b">
        <v>0</v>
      </c>
      <c r="W12" s="2" t="s">
        <v>1187</v>
      </c>
      <c r="X12" s="2"/>
      <c r="Y12" s="24">
        <v>4</v>
      </c>
      <c r="Z12">
        <f t="shared" si="0"/>
        <v>4</v>
      </c>
      <c r="AA12">
        <f t="shared" si="1"/>
        <v>4</v>
      </c>
      <c r="AB12">
        <f t="shared" si="2"/>
        <v>4</v>
      </c>
      <c r="AC12">
        <f t="shared" si="3"/>
        <v>0</v>
      </c>
      <c r="AD12">
        <f t="shared" si="4"/>
        <v>4</v>
      </c>
      <c r="AE12">
        <f t="shared" si="5"/>
        <v>0</v>
      </c>
      <c r="AF12">
        <f t="shared" si="6"/>
        <v>0</v>
      </c>
      <c r="AG12">
        <f t="shared" si="7"/>
        <v>4</v>
      </c>
      <c r="AH12">
        <f t="shared" si="8"/>
        <v>4</v>
      </c>
      <c r="AI12">
        <f t="shared" si="9"/>
        <v>4</v>
      </c>
      <c r="AJ12">
        <f t="shared" si="10"/>
        <v>0</v>
      </c>
      <c r="AK12">
        <f t="shared" si="11"/>
        <v>0</v>
      </c>
      <c r="AL12">
        <f t="shared" si="12"/>
        <v>0</v>
      </c>
      <c r="AM12">
        <f t="shared" si="13"/>
        <v>0</v>
      </c>
      <c r="AN12">
        <f t="shared" si="14"/>
        <v>4</v>
      </c>
      <c r="AO12">
        <f t="shared" si="15"/>
        <v>4</v>
      </c>
      <c r="AP12">
        <f t="shared" si="16"/>
        <v>4</v>
      </c>
      <c r="AQ12">
        <f t="shared" si="17"/>
        <v>4</v>
      </c>
      <c r="AR12" s="6">
        <f t="shared" si="18"/>
        <v>4</v>
      </c>
      <c r="AS12">
        <f t="shared" si="19"/>
        <v>4</v>
      </c>
      <c r="AV12" s="1" t="str">
        <f>IF(IFERROR(INDEX($A$9:$W$304,$AS12,COLUMNS($AV$9:AV11)),"")=0,"",IFERROR(INDEX($A$9:$W$304,$AS12,COLUMNS($AV$9:AV11)),""))</f>
        <v>Amnesia</v>
      </c>
      <c r="AW12" s="1">
        <f>IFERROR(INDEX($A$9:$W$304,$AS12,COLUMNS($AV$9:AW11)),"")</f>
        <v>0</v>
      </c>
      <c r="AX12" s="1" t="str">
        <f>IF(IFERROR(INDEX($A$9:$X$304,$AS12,COLUMNS($AV$9:AX11)),"")=0,"",IFERROR(INDEX($A$9:$X$304,$AS12,COLUMNS($AV$9:AX11)),""))</f>
        <v>SAGE</v>
      </c>
      <c r="AY12" s="1" t="str">
        <f>IF(IFERROR(INDEX($A$9:$X$304,$AS12,COLUMNS($AV$9:AY11)),"")=0,"",IFERROR(INDEX($A$9:$X$304,$AS12,COLUMNS($AV$9:AY11)),""))</f>
        <v/>
      </c>
      <c r="AZ12" s="1" t="str">
        <f>IF(IFERROR(INDEX($A$9:$X$304,$AS12,COLUMNS($AV$9:AZ11)),"")=0,"",IFERROR(INDEX($A$9:$X$304,$AS12,COLUMNS($AV$9:AZ11)),""))</f>
        <v>EVENT</v>
      </c>
      <c r="BA12" s="1" t="str">
        <f>IF(IFERROR(INDEX($A$9:$X$304,$AS12,COLUMNS($AV$9:BA11)),"")=0,"",IFERROR(INDEX($A$9:$X$304,$AS12,COLUMNS($AV$9:BA11)),""))</f>
        <v/>
      </c>
      <c r="BB12" s="1" t="str">
        <f>IF(IFERROR(INDEX($A$9:$X$304,$AS12,COLUMNS($AV$9:BB11)),"")=0,"",IFERROR(INDEX($A$9:$X$304,$AS12,COLUMNS($AV$9:BB11)),""))</f>
        <v/>
      </c>
      <c r="BC12" s="1" t="str">
        <f>IF(IFERROR(INDEX($A$9:$X$304,$AS12,COLUMNS($AV$9:BC11)),"")=0,"",IFERROR(INDEX($A$9:$X$304,$AS12,COLUMNS($AV$9:BC11)),""))</f>
        <v>Banish target player's discard pile.</v>
      </c>
      <c r="BD12" s="1" t="str">
        <f>IF(IFERROR(INDEX($A$9:$X$304,$AS12,COLUMNS($AV$9:BD11)),"")=0,"",IFERROR(INDEX($A$9:$X$304,$AS12,COLUMNS($AV$9:BD11)),""))</f>
        <v>Recycle</v>
      </c>
      <c r="BE12" s="1" t="str">
        <f>IF(IFERROR(INDEX($A$9:$X$304,$AS12,COLUMNS($AV$9:BE11)),"")=0,"",IFERROR(INDEX($A$9:$X$304,$AS12,COLUMNS($AV$9:BE11)),""))</f>
        <v>{1}: Draw two cards.</v>
      </c>
      <c r="BF12" s="1" t="str">
        <f>IF(IFERROR(INDEX($A$9:$X$304,$AS12,COLUMNS($AV$9:BF11)),"")=0,"",IFERROR(INDEX($A$9:$X$304,$AS12,COLUMNS($AV$9:BF11)),""))</f>
        <v/>
      </c>
      <c r="BG12" s="1" t="str">
        <f>IF(IFERROR(INDEX($A$9:$X$304,$AS12,COLUMNS($AV$9:BG11)),"")=0,"",IFERROR(INDEX($A$9:$X$304,$AS12,COLUMNS($AV$9:BG11)),""))</f>
        <v/>
      </c>
      <c r="BH12" s="1" t="str">
        <f>IF(IFERROR(INDEX($A$9:$X$304,$AS12,COLUMNS($AV$9:BH11)),"")=0,"",IFERROR(INDEX($A$9:$X$304,$AS12,COLUMNS($AV$9:BH11)),""))</f>
        <v/>
      </c>
      <c r="BI12" s="1" t="str">
        <f>IF(IFERROR(INDEX($A$9:$X$304,$AS12,COLUMNS($AV$9:BI11)),"")=0,"",IFERROR(INDEX($A$9:$X$304,$AS12,COLUMNS($AV$9:BI11)),""))</f>
        <v/>
      </c>
      <c r="BJ12" s="1" t="str">
        <f>IF(IFERROR(INDEX($A$9:$X$304,$AS12,COLUMNS($AV$9:BJ11)),"")=0,"",IFERROR(INDEX($A$9:$X$304,$AS12,COLUMNS($AV$9:BJ11)),""))</f>
        <v>None</v>
      </c>
      <c r="BK12" s="1" t="str">
        <f>IF(IFERROR(INDEX($A$9:$X$304,$AS12,COLUMNS($AV$9:BK11)),"")=0,"",IFERROR(INDEX($A$9:$X$304,$AS12,COLUMNS($AV$9:BK11)),""))</f>
        <v>Rare</v>
      </c>
      <c r="BL12" s="1" t="str">
        <f>IF(IFERROR(INDEX($A$9:$X$304,$AS12,COLUMNS($AV$9:BL11)),"")=0,"",IFERROR(INDEX($A$9:$X$304,$AS12,COLUMNS($AV$9:BL11)),""))</f>
        <v>Antonis Papantoniou</v>
      </c>
      <c r="BM12" s="1" t="str">
        <f>IF(IFERROR(INDEX($A$9:$X$304,$AS12,COLUMNS($AV$9:BM11)),"")=0,"",IFERROR(INDEX($A$9:$X$304,$AS12,COLUMNS($AV$9:BM11)),""))</f>
        <v>Base Set</v>
      </c>
      <c r="BN12" s="3" t="b">
        <f>IF(IFERROR(INDEX($A$9:$X$304,$AS12,COLUMNS($AV$9:BN11)),"")=0,"",IFERROR(INDEX($A$9:$X$304,$AS12,COLUMNS($AV$9:BN11)),""))</f>
        <v>1</v>
      </c>
      <c r="BO12" s="3" t="b">
        <f>IF(IFERROR(INDEX($A$9:$X$304,$AS12,COLUMNS($AV$9:BO11)),"")=0,"",IFERROR(INDEX($A$9:$X$304,$AS12,COLUMNS($AV$9:BO11)),""))</f>
        <v>1</v>
      </c>
      <c r="BP12" s="3" t="b">
        <f>IF(IFERROR(INDEX($A$9:$X$304,$AS12,COLUMNS($AV$9:BP11)),"")=0,"",IFERROR(INDEX($A$9:$X$304,$AS12,COLUMNS($AV$9:BP11)),""))</f>
        <v>0</v>
      </c>
      <c r="BQ12" s="3" t="b">
        <f>IF(IFERROR(INDEX($A$9:$X$304,$AS12,COLUMNS($AV$9:BQ11)),"")=0,"",IFERROR(INDEX($A$9:$X$304,$AS12,COLUMNS($AV$9:BQ11)),""))</f>
        <v>0</v>
      </c>
      <c r="BR12" s="3" t="str">
        <f>IF(IFERROR(INDEX($A$9:$X$304,$AS12,COLUMNS($AV$9:BR11)),"")=0,"",IFERROR(INDEX($A$9:$X$304,$AS12,COLUMNS($AV$9:BR11)),""))</f>
        <v>http://www.epiccardgame.com/wp-content/uploads/2015/09/amnesia-215x300.jpg</v>
      </c>
      <c r="BS12" s="3" t="str">
        <f>IF(IFERROR(INDEX($A$9:$X$304,$AS12,COLUMNS($AV$9:BS11)),"")=0,"",IFERROR(INDEX($A$9:$X$304,$AS12,COLUMNS($AV$9:BS11)),""))</f>
        <v/>
      </c>
      <c r="BT12" s="3"/>
      <c r="BU12" s="15"/>
      <c r="BV12" t="s">
        <v>33</v>
      </c>
    </row>
    <row r="13" spans="1:74" ht="225" customHeight="1" x14ac:dyDescent="0.25">
      <c r="A13" t="s">
        <v>330</v>
      </c>
      <c r="B13">
        <v>1</v>
      </c>
      <c r="C13" t="s">
        <v>616</v>
      </c>
      <c r="E13" t="s">
        <v>619</v>
      </c>
      <c r="H13" t="s">
        <v>627</v>
      </c>
      <c r="L13" t="s">
        <v>1044</v>
      </c>
      <c r="M13" t="s">
        <v>1057</v>
      </c>
      <c r="O13" t="s">
        <v>1062</v>
      </c>
      <c r="P13" t="s">
        <v>1112</v>
      </c>
      <c r="Q13" t="s">
        <v>1118</v>
      </c>
      <c r="R13" t="s">
        <v>1171</v>
      </c>
      <c r="S13" t="b">
        <v>1</v>
      </c>
      <c r="T13" t="b">
        <v>0</v>
      </c>
      <c r="U13" t="b">
        <v>0</v>
      </c>
      <c r="V13" t="b">
        <v>0</v>
      </c>
      <c r="W13" s="2" t="s">
        <v>1188</v>
      </c>
      <c r="X13" s="2"/>
      <c r="Y13" s="24">
        <v>5</v>
      </c>
      <c r="Z13">
        <f t="shared" si="0"/>
        <v>5</v>
      </c>
      <c r="AA13">
        <f t="shared" si="1"/>
        <v>5</v>
      </c>
      <c r="AB13">
        <f t="shared" si="2"/>
        <v>5</v>
      </c>
      <c r="AC13">
        <f t="shared" si="3"/>
        <v>0</v>
      </c>
      <c r="AD13">
        <f t="shared" si="4"/>
        <v>5</v>
      </c>
      <c r="AE13">
        <f t="shared" si="5"/>
        <v>0</v>
      </c>
      <c r="AF13">
        <f t="shared" si="6"/>
        <v>0</v>
      </c>
      <c r="AG13">
        <f t="shared" si="7"/>
        <v>5</v>
      </c>
      <c r="AH13">
        <f t="shared" si="8"/>
        <v>0</v>
      </c>
      <c r="AI13">
        <f t="shared" si="9"/>
        <v>0</v>
      </c>
      <c r="AJ13">
        <f t="shared" si="10"/>
        <v>0</v>
      </c>
      <c r="AK13">
        <f t="shared" si="11"/>
        <v>5</v>
      </c>
      <c r="AL13">
        <f t="shared" si="12"/>
        <v>5</v>
      </c>
      <c r="AM13">
        <f t="shared" si="13"/>
        <v>0</v>
      </c>
      <c r="AN13">
        <f t="shared" si="14"/>
        <v>5</v>
      </c>
      <c r="AO13">
        <f t="shared" si="15"/>
        <v>5</v>
      </c>
      <c r="AP13">
        <f t="shared" si="16"/>
        <v>5</v>
      </c>
      <c r="AQ13">
        <f t="shared" si="17"/>
        <v>5</v>
      </c>
      <c r="AR13" s="6">
        <f t="shared" si="18"/>
        <v>5</v>
      </c>
      <c r="AS13">
        <f t="shared" si="19"/>
        <v>5</v>
      </c>
      <c r="AV13" s="1" t="str">
        <f>IF(IFERROR(INDEX($A$9:$W$304,$AS13,COLUMNS($AV$9:AV12)),"")=0,"",IFERROR(INDEX($A$9:$W$304,$AS13,COLUMNS($AV$9:AV12)),""))</f>
        <v>Ancient Chant</v>
      </c>
      <c r="AW13" s="1">
        <f>IFERROR(INDEX($A$9:$W$304,$AS13,COLUMNS($AV$9:AW12)),"")</f>
        <v>1</v>
      </c>
      <c r="AX13" s="1" t="str">
        <f>IF(IFERROR(INDEX($A$9:$X$304,$AS13,COLUMNS($AV$9:AX12)),"")=0,"",IFERROR(INDEX($A$9:$X$304,$AS13,COLUMNS($AV$9:AX12)),""))</f>
        <v>SAGE</v>
      </c>
      <c r="AY13" s="1" t="str">
        <f>IF(IFERROR(INDEX($A$9:$X$304,$AS13,COLUMNS($AV$9:AY12)),"")=0,"",IFERROR(INDEX($A$9:$X$304,$AS13,COLUMNS($AV$9:AY12)),""))</f>
        <v/>
      </c>
      <c r="AZ13" s="1" t="str">
        <f>IF(IFERROR(INDEX($A$9:$X$304,$AS13,COLUMNS($AV$9:AZ12)),"")=0,"",IFERROR(INDEX($A$9:$X$304,$AS13,COLUMNS($AV$9:AZ12)),""))</f>
        <v>EVENT</v>
      </c>
      <c r="BA13" s="1" t="str">
        <f>IF(IFERROR(INDEX($A$9:$X$304,$AS13,COLUMNS($AV$9:BA12)),"")=0,"",IFERROR(INDEX($A$9:$X$304,$AS13,COLUMNS($AV$9:BA12)),""))</f>
        <v/>
      </c>
      <c r="BB13" s="1" t="str">
        <f>IF(IFERROR(INDEX($A$9:$X$304,$AS13,COLUMNS($AV$9:BB12)),"")=0,"",IFERROR(INDEX($A$9:$X$304,$AS13,COLUMNS($AV$9:BB12)),""))</f>
        <v/>
      </c>
      <c r="BC13" s="1" t="str">
        <f>IF(IFERROR(INDEX($A$9:$X$304,$AS13,COLUMNS($AV$9:BC12)),"")=0,"",IFERROR(INDEX($A$9:$X$304,$AS13,COLUMNS($AV$9:BC12)),""))</f>
        <v>Draw two cards.</v>
      </c>
      <c r="BD13" s="1" t="str">
        <f>IF(IFERROR(INDEX($A$9:$X$304,$AS13,COLUMNS($AV$9:BD12)),"")=0,"",IFERROR(INDEX($A$9:$X$304,$AS13,COLUMNS($AV$9:BD12)),""))</f>
        <v/>
      </c>
      <c r="BE13" s="1" t="str">
        <f>IF(IFERROR(INDEX($A$9:$X$304,$AS13,COLUMNS($AV$9:BE12)),"")=0,"",IFERROR(INDEX($A$9:$X$304,$AS13,COLUMNS($AV$9:BE12)),""))</f>
        <v/>
      </c>
      <c r="BF13" s="1" t="str">
        <f>IF(IFERROR(INDEX($A$9:$X$304,$AS13,COLUMNS($AV$9:BF12)),"")=0,"",IFERROR(INDEX($A$9:$X$304,$AS13,COLUMNS($AV$9:BF12)),""))</f>
        <v/>
      </c>
      <c r="BG13" s="1" t="str">
        <f>IF(IFERROR(INDEX($A$9:$X$304,$AS13,COLUMNS($AV$9:BG12)),"")=0,"",IFERROR(INDEX($A$9:$X$304,$AS13,COLUMNS($AV$9:BG12)),""))</f>
        <v>{1}: Recall</v>
      </c>
      <c r="BH13" s="1" t="str">
        <f>IF(IFERROR(INDEX($A$9:$X$304,$AS13,COLUMNS($AV$9:BH12)),"")=0,"",IFERROR(INDEX($A$9:$X$304,$AS13,COLUMNS($AV$9:BH12)),""))</f>
        <v>When this card leaves your discard pile → Draw a card.</v>
      </c>
      <c r="BI13" s="1" t="str">
        <f>IF(IFERROR(INDEX($A$9:$X$304,$AS13,COLUMNS($AV$9:BI12)),"")=0,"",IFERROR(INDEX($A$9:$X$304,$AS13,COLUMNS($AV$9:BI12)),""))</f>
        <v/>
      </c>
      <c r="BJ13" s="1" t="str">
        <f>IF(IFERROR(INDEX($A$9:$X$304,$AS13,COLUMNS($AV$9:BJ12)),"")=0,"",IFERROR(INDEX($A$9:$X$304,$AS13,COLUMNS($AV$9:BJ12)),""))</f>
        <v>None</v>
      </c>
      <c r="BK13" s="1" t="str">
        <f>IF(IFERROR(INDEX($A$9:$X$304,$AS13,COLUMNS($AV$9:BK12)),"")=0,"",IFERROR(INDEX($A$9:$X$304,$AS13,COLUMNS($AV$9:BK12)),""))</f>
        <v>Common</v>
      </c>
      <c r="BL13" s="1" t="str">
        <f>IF(IFERROR(INDEX($A$9:$X$304,$AS13,COLUMNS($AV$9:BL12)),"")=0,"",IFERROR(INDEX($A$9:$X$304,$AS13,COLUMNS($AV$9:BL12)),""))</f>
        <v>L.Sean</v>
      </c>
      <c r="BM13" s="1" t="str">
        <f>IF(IFERROR(INDEX($A$9:$X$304,$AS13,COLUMNS($AV$9:BM12)),"")=0,"",IFERROR(INDEX($A$9:$X$304,$AS13,COLUMNS($AV$9:BM12)),""))</f>
        <v>Base Set</v>
      </c>
      <c r="BN13" s="3" t="b">
        <f>IF(IFERROR(INDEX($A$9:$X$304,$AS13,COLUMNS($AV$9:BN12)),"")=0,"",IFERROR(INDEX($A$9:$X$304,$AS13,COLUMNS($AV$9:BN12)),""))</f>
        <v>1</v>
      </c>
      <c r="BO13" s="3" t="b">
        <f>IF(IFERROR(INDEX($A$9:$X$304,$AS13,COLUMNS($AV$9:BO12)),"")=0,"",IFERROR(INDEX($A$9:$X$304,$AS13,COLUMNS($AV$9:BO12)),""))</f>
        <v>0</v>
      </c>
      <c r="BP13" s="3" t="b">
        <f>IF(IFERROR(INDEX($A$9:$X$304,$AS13,COLUMNS($AV$9:BP12)),"")=0,"",IFERROR(INDEX($A$9:$X$304,$AS13,COLUMNS($AV$9:BP12)),""))</f>
        <v>0</v>
      </c>
      <c r="BQ13" s="3" t="b">
        <f>IF(IFERROR(INDEX($A$9:$X$304,$AS13,COLUMNS($AV$9:BQ12)),"")=0,"",IFERROR(INDEX($A$9:$X$304,$AS13,COLUMNS($AV$9:BQ12)),""))</f>
        <v>0</v>
      </c>
      <c r="BR13" s="3" t="str">
        <f>IF(IFERROR(INDEX($A$9:$X$304,$AS13,COLUMNS($AV$9:BR12)),"")=0,"",IFERROR(INDEX($A$9:$X$304,$AS13,COLUMNS($AV$9:BR12)),""))</f>
        <v>http://www.epiccardgame.com/wp-content/uploads/2015/09/ancient_chant-215x300.jpg</v>
      </c>
      <c r="BS13" s="3" t="str">
        <f>IF(IFERROR(INDEX($A$9:$X$304,$AS13,COLUMNS($AV$9:BS12)),"")=0,"",IFERROR(INDEX($A$9:$X$304,$AS13,COLUMNS($AV$9:BS12)),""))</f>
        <v/>
      </c>
      <c r="BT13" s="3"/>
      <c r="BU13" s="15"/>
      <c r="BV13" t="s">
        <v>34</v>
      </c>
    </row>
    <row r="14" spans="1:74" ht="225" customHeight="1" x14ac:dyDescent="0.25">
      <c r="A14" t="s">
        <v>331</v>
      </c>
      <c r="B14">
        <v>1</v>
      </c>
      <c r="C14" t="s">
        <v>618</v>
      </c>
      <c r="E14" t="s">
        <v>620</v>
      </c>
      <c r="F14">
        <v>6</v>
      </c>
      <c r="G14">
        <v>5</v>
      </c>
      <c r="H14" t="s">
        <v>25</v>
      </c>
      <c r="I14" t="s">
        <v>764</v>
      </c>
      <c r="J14" t="s">
        <v>967</v>
      </c>
      <c r="O14" t="s">
        <v>1064</v>
      </c>
      <c r="P14" t="s">
        <v>1112</v>
      </c>
      <c r="Q14" t="s">
        <v>1114</v>
      </c>
      <c r="R14" t="s">
        <v>1171</v>
      </c>
      <c r="S14" t="b">
        <v>1</v>
      </c>
      <c r="T14" t="b">
        <v>0</v>
      </c>
      <c r="U14" t="b">
        <v>0</v>
      </c>
      <c r="V14" t="b">
        <v>0</v>
      </c>
      <c r="W14" s="2" t="s">
        <v>1189</v>
      </c>
      <c r="X14" s="2"/>
      <c r="Y14" s="24">
        <v>6</v>
      </c>
      <c r="Z14">
        <f t="shared" si="0"/>
        <v>6</v>
      </c>
      <c r="AA14">
        <f t="shared" si="1"/>
        <v>6</v>
      </c>
      <c r="AB14">
        <f t="shared" si="2"/>
        <v>6</v>
      </c>
      <c r="AC14">
        <f t="shared" si="3"/>
        <v>0</v>
      </c>
      <c r="AD14">
        <f t="shared" si="4"/>
        <v>6</v>
      </c>
      <c r="AE14">
        <f t="shared" si="5"/>
        <v>6</v>
      </c>
      <c r="AF14">
        <f t="shared" si="6"/>
        <v>6</v>
      </c>
      <c r="AG14">
        <f t="shared" si="7"/>
        <v>6</v>
      </c>
      <c r="AH14">
        <f t="shared" si="8"/>
        <v>6</v>
      </c>
      <c r="AI14">
        <f t="shared" si="9"/>
        <v>6</v>
      </c>
      <c r="AJ14">
        <f t="shared" si="10"/>
        <v>0</v>
      </c>
      <c r="AK14">
        <f t="shared" si="11"/>
        <v>0</v>
      </c>
      <c r="AL14">
        <f t="shared" si="12"/>
        <v>0</v>
      </c>
      <c r="AM14">
        <f t="shared" si="13"/>
        <v>0</v>
      </c>
      <c r="AN14">
        <f t="shared" si="14"/>
        <v>6</v>
      </c>
      <c r="AO14">
        <f t="shared" si="15"/>
        <v>6</v>
      </c>
      <c r="AP14">
        <f t="shared" si="16"/>
        <v>6</v>
      </c>
      <c r="AQ14">
        <f t="shared" si="17"/>
        <v>6</v>
      </c>
      <c r="AR14" s="6">
        <f t="shared" si="18"/>
        <v>6</v>
      </c>
      <c r="AS14">
        <f t="shared" si="19"/>
        <v>6</v>
      </c>
      <c r="AV14" s="1" t="str">
        <f>IF(IFERROR(INDEX($A$9:$W$304,$AS14,COLUMNS($AV$9:AV13)),"")=0,"",IFERROR(INDEX($A$9:$W$304,$AS14,COLUMNS($AV$9:AV13)),""))</f>
        <v>Angel of Death</v>
      </c>
      <c r="AW14" s="1">
        <f>IFERROR(INDEX($A$9:$W$304,$AS14,COLUMNS($AV$9:AW13)),"")</f>
        <v>1</v>
      </c>
      <c r="AX14" s="1" t="str">
        <f>IF(IFERROR(INDEX($A$9:$X$304,$AS14,COLUMNS($AV$9:AX13)),"")=0,"",IFERROR(INDEX($A$9:$X$304,$AS14,COLUMNS($AV$9:AX13)),""))</f>
        <v>EVIL</v>
      </c>
      <c r="AY14" s="1" t="str">
        <f>IF(IFERROR(INDEX($A$9:$X$304,$AS14,COLUMNS($AV$9:AY13)),"")=0,"",IFERROR(INDEX($A$9:$X$304,$AS14,COLUMNS($AV$9:AY13)),""))</f>
        <v/>
      </c>
      <c r="AZ14" s="1" t="str">
        <f>IF(IFERROR(INDEX($A$9:$X$304,$AS14,COLUMNS($AV$9:AZ13)),"")=0,"",IFERROR(INDEX($A$9:$X$304,$AS14,COLUMNS($AV$9:AZ13)),""))</f>
        <v>CHAMPION</v>
      </c>
      <c r="BA14" s="1">
        <f>IF(IFERROR(INDEX($A$9:$X$304,$AS14,COLUMNS($AV$9:BA13)),"")=0,"",IFERROR(INDEX($A$9:$X$304,$AS14,COLUMNS($AV$9:BA13)),""))</f>
        <v>6</v>
      </c>
      <c r="BB14" s="1">
        <f>IF(IFERROR(INDEX($A$9:$X$304,$AS14,COLUMNS($AV$9:BB13)),"")=0,"",IFERROR(INDEX($A$9:$X$304,$AS14,COLUMNS($AV$9:BB13)),""))</f>
        <v>5</v>
      </c>
      <c r="BC14" s="1" t="str">
        <f>IF(IFERROR(INDEX($A$9:$X$304,$AS14,COLUMNS($AV$9:BC13)),"")=0,"",IFERROR(INDEX($A$9:$X$304,$AS14,COLUMNS($AV$9:BC13)),""))</f>
        <v>Airborne</v>
      </c>
      <c r="BD14" s="1" t="str">
        <f>IF(IFERROR(INDEX($A$9:$X$304,$AS14,COLUMNS($AV$9:BD13)),"")=0,"",IFERROR(INDEX($A$9:$X$304,$AS14,COLUMNS($AV$9:BD13)),""))</f>
        <v>Loyalty 2 → Break all other champions.</v>
      </c>
      <c r="BE14" s="1" t="str">
        <f>IF(IFERROR(INDEX($A$9:$X$304,$AS14,COLUMNS($AV$9:BE13)),"")=0,"",IFERROR(INDEX($A$9:$X$304,$AS14,COLUMNS($AV$9:BE13)),""))</f>
        <v>(Airborne champions can only be blocked by other airborne champions.)</v>
      </c>
      <c r="BF14" s="1" t="str">
        <f>IF(IFERROR(INDEX($A$9:$X$304,$AS14,COLUMNS($AV$9:BF13)),"")=0,"",IFERROR(INDEX($A$9:$X$304,$AS14,COLUMNS($AV$9:BF13)),""))</f>
        <v/>
      </c>
      <c r="BG14" s="1" t="str">
        <f>IF(IFERROR(INDEX($A$9:$X$304,$AS14,COLUMNS($AV$9:BG13)),"")=0,"",IFERROR(INDEX($A$9:$X$304,$AS14,COLUMNS($AV$9:BG13)),""))</f>
        <v/>
      </c>
      <c r="BH14" s="1" t="str">
        <f>IF(IFERROR(INDEX($A$9:$X$304,$AS14,COLUMNS($AV$9:BH13)),"")=0,"",IFERROR(INDEX($A$9:$X$304,$AS14,COLUMNS($AV$9:BH13)),""))</f>
        <v/>
      </c>
      <c r="BI14" s="1" t="str">
        <f>IF(IFERROR(INDEX($A$9:$X$304,$AS14,COLUMNS($AV$9:BI13)),"")=0,"",IFERROR(INDEX($A$9:$X$304,$AS14,COLUMNS($AV$9:BI13)),""))</f>
        <v/>
      </c>
      <c r="BJ14" s="1" t="str">
        <f>IF(IFERROR(INDEX($A$9:$X$304,$AS14,COLUMNS($AV$9:BJ13)),"")=0,"",IFERROR(INDEX($A$9:$X$304,$AS14,COLUMNS($AV$9:BJ13)),""))</f>
        <v>ANGEL</v>
      </c>
      <c r="BK14" s="1" t="str">
        <f>IF(IFERROR(INDEX($A$9:$X$304,$AS14,COLUMNS($AV$9:BK13)),"")=0,"",IFERROR(INDEX($A$9:$X$304,$AS14,COLUMNS($AV$9:BK13)),""))</f>
        <v>Common</v>
      </c>
      <c r="BL14" s="1" t="str">
        <f>IF(IFERROR(INDEX($A$9:$X$304,$AS14,COLUMNS($AV$9:BL13)),"")=0,"",IFERROR(INDEX($A$9:$X$304,$AS14,COLUMNS($AV$9:BL13)),""))</f>
        <v>Jaan-Paul van Eeden</v>
      </c>
      <c r="BM14" s="1" t="str">
        <f>IF(IFERROR(INDEX($A$9:$X$304,$AS14,COLUMNS($AV$9:BM13)),"")=0,"",IFERROR(INDEX($A$9:$X$304,$AS14,COLUMNS($AV$9:BM13)),""))</f>
        <v>Base Set</v>
      </c>
      <c r="BN14" s="3" t="b">
        <f>IF(IFERROR(INDEX($A$9:$X$304,$AS14,COLUMNS($AV$9:BN13)),"")=0,"",IFERROR(INDEX($A$9:$X$304,$AS14,COLUMNS($AV$9:BN13)),""))</f>
        <v>1</v>
      </c>
      <c r="BO14" s="3" t="b">
        <f>IF(IFERROR(INDEX($A$9:$X$304,$AS14,COLUMNS($AV$9:BO13)),"")=0,"",IFERROR(INDEX($A$9:$X$304,$AS14,COLUMNS($AV$9:BO13)),""))</f>
        <v>0</v>
      </c>
      <c r="BP14" s="3" t="b">
        <f>IF(IFERROR(INDEX($A$9:$X$304,$AS14,COLUMNS($AV$9:BP13)),"")=0,"",IFERROR(INDEX($A$9:$X$304,$AS14,COLUMNS($AV$9:BP13)),""))</f>
        <v>0</v>
      </c>
      <c r="BQ14" s="3" t="b">
        <f>IF(IFERROR(INDEX($A$9:$X$304,$AS14,COLUMNS($AV$9:BQ13)),"")=0,"",IFERROR(INDEX($A$9:$X$304,$AS14,COLUMNS($AV$9:BQ13)),""))</f>
        <v>0</v>
      </c>
      <c r="BR14" s="3" t="str">
        <f>IF(IFERROR(INDEX($A$9:$X$304,$AS14,COLUMNS($AV$9:BR13)),"")=0,"",IFERROR(INDEX($A$9:$X$304,$AS14,COLUMNS($AV$9:BR13)),""))</f>
        <v>http://www.epiccardgame.com/wp-content/uploads/2015/09/angel_of_death-215x300.jpg</v>
      </c>
      <c r="BS14" s="3" t="str">
        <f>IF(IFERROR(INDEX($A$9:$X$304,$AS14,COLUMNS($AV$9:BS13)),"")=0,"",IFERROR(INDEX($A$9:$X$304,$AS14,COLUMNS($AV$9:BS13)),""))</f>
        <v/>
      </c>
      <c r="BT14" s="3"/>
      <c r="BU14" s="15"/>
      <c r="BV14" t="s">
        <v>35</v>
      </c>
    </row>
    <row r="15" spans="1:74" ht="225.2" customHeight="1" x14ac:dyDescent="0.25">
      <c r="A15" t="s">
        <v>332</v>
      </c>
      <c r="B15">
        <v>1</v>
      </c>
      <c r="C15" t="s">
        <v>617</v>
      </c>
      <c r="E15" t="s">
        <v>620</v>
      </c>
      <c r="F15">
        <v>5</v>
      </c>
      <c r="G15">
        <v>6</v>
      </c>
      <c r="H15" t="s">
        <v>628</v>
      </c>
      <c r="I15" t="s">
        <v>765</v>
      </c>
      <c r="J15" t="s">
        <v>968</v>
      </c>
      <c r="O15" t="s">
        <v>1064</v>
      </c>
      <c r="P15" t="s">
        <v>1113</v>
      </c>
      <c r="Q15" t="s">
        <v>1119</v>
      </c>
      <c r="R15" t="s">
        <v>1171</v>
      </c>
      <c r="S15" t="b">
        <v>1</v>
      </c>
      <c r="T15" t="b">
        <v>0</v>
      </c>
      <c r="U15" t="b">
        <v>0</v>
      </c>
      <c r="V15" t="b">
        <v>0</v>
      </c>
      <c r="W15" s="2" t="s">
        <v>1190</v>
      </c>
      <c r="X15" s="2"/>
      <c r="Y15" s="24">
        <v>7</v>
      </c>
      <c r="Z15">
        <f t="shared" si="0"/>
        <v>7</v>
      </c>
      <c r="AA15">
        <f t="shared" si="1"/>
        <v>7</v>
      </c>
      <c r="AB15">
        <f t="shared" si="2"/>
        <v>7</v>
      </c>
      <c r="AC15">
        <f t="shared" si="3"/>
        <v>0</v>
      </c>
      <c r="AD15">
        <f t="shared" si="4"/>
        <v>7</v>
      </c>
      <c r="AE15">
        <f t="shared" si="5"/>
        <v>7</v>
      </c>
      <c r="AF15">
        <f t="shared" si="6"/>
        <v>7</v>
      </c>
      <c r="AG15">
        <f t="shared" si="7"/>
        <v>7</v>
      </c>
      <c r="AH15">
        <f t="shared" si="8"/>
        <v>7</v>
      </c>
      <c r="AI15">
        <f t="shared" si="9"/>
        <v>7</v>
      </c>
      <c r="AJ15">
        <f t="shared" si="10"/>
        <v>0</v>
      </c>
      <c r="AK15">
        <f t="shared" si="11"/>
        <v>0</v>
      </c>
      <c r="AL15">
        <f t="shared" si="12"/>
        <v>0</v>
      </c>
      <c r="AM15">
        <f t="shared" si="13"/>
        <v>0</v>
      </c>
      <c r="AN15">
        <f t="shared" si="14"/>
        <v>7</v>
      </c>
      <c r="AO15">
        <f t="shared" si="15"/>
        <v>7</v>
      </c>
      <c r="AP15">
        <f t="shared" si="16"/>
        <v>7</v>
      </c>
      <c r="AQ15">
        <f t="shared" si="17"/>
        <v>7</v>
      </c>
      <c r="AR15" s="6">
        <f t="shared" si="18"/>
        <v>7</v>
      </c>
      <c r="AS15">
        <f t="shared" si="19"/>
        <v>7</v>
      </c>
      <c r="AV15" s="1" t="str">
        <f>IF(IFERROR(INDEX($A$9:$W$304,$AS15,COLUMNS($AV$9:AV14)),"")=0,"",IFERROR(INDEX($A$9:$W$304,$AS15,COLUMNS($AV$9:AV14)),""))</f>
        <v>Angel of Light</v>
      </c>
      <c r="AW15" s="1">
        <f>IFERROR(INDEX($A$9:$W$304,$AS15,COLUMNS($AV$9:AW14)),"")</f>
        <v>1</v>
      </c>
      <c r="AX15" s="1" t="str">
        <f>IF(IFERROR(INDEX($A$9:$X$304,$AS15,COLUMNS($AV$9:AX14)),"")=0,"",IFERROR(INDEX($A$9:$X$304,$AS15,COLUMNS($AV$9:AX14)),""))</f>
        <v>GOOD</v>
      </c>
      <c r="AY15" s="1" t="str">
        <f>IF(IFERROR(INDEX($A$9:$X$304,$AS15,COLUMNS($AV$9:AY14)),"")=0,"",IFERROR(INDEX($A$9:$X$304,$AS15,COLUMNS($AV$9:AY14)),""))</f>
        <v/>
      </c>
      <c r="AZ15" s="1" t="str">
        <f>IF(IFERROR(INDEX($A$9:$X$304,$AS15,COLUMNS($AV$9:AZ14)),"")=0,"",IFERROR(INDEX($A$9:$X$304,$AS15,COLUMNS($AV$9:AZ14)),""))</f>
        <v>CHAMPION</v>
      </c>
      <c r="BA15" s="1">
        <f>IF(IFERROR(INDEX($A$9:$X$304,$AS15,COLUMNS($AV$9:BA14)),"")=0,"",IFERROR(INDEX($A$9:$X$304,$AS15,COLUMNS($AV$9:BA14)),""))</f>
        <v>5</v>
      </c>
      <c r="BB15" s="1">
        <f>IF(IFERROR(INDEX($A$9:$X$304,$AS15,COLUMNS($AV$9:BB14)),"")=0,"",IFERROR(INDEX($A$9:$X$304,$AS15,COLUMNS($AV$9:BB14)),""))</f>
        <v>6</v>
      </c>
      <c r="BC15" s="1" t="str">
        <f>IF(IFERROR(INDEX($A$9:$X$304,$AS15,COLUMNS($AV$9:BC14)),"")=0,"",IFERROR(INDEX($A$9:$X$304,$AS15,COLUMNS($AV$9:BC14)),""))</f>
        <v>Airborne ◆ Ambush</v>
      </c>
      <c r="BD15" s="1" t="str">
        <f>IF(IFERROR(INDEX($A$9:$X$304,$AS15,COLUMNS($AV$9:BD14)),"")=0,"",IFERROR(INDEX($A$9:$X$304,$AS15,COLUMNS($AV$9:BD14)),""))</f>
        <v>Tribute → Gain 5 health.</v>
      </c>
      <c r="BE15" s="1" t="str">
        <f>IF(IFERROR(INDEX($A$9:$X$304,$AS15,COLUMNS($AV$9:BE14)),"")=0,"",IFERROR(INDEX($A$9:$X$304,$AS15,COLUMNS($AV$9:BE14)),""))</f>
        <v>Loyalty 2 → Gain 5 health.</v>
      </c>
      <c r="BF15" s="1" t="str">
        <f>IF(IFERROR(INDEX($A$9:$X$304,$AS15,COLUMNS($AV$9:BF14)),"")=0,"",IFERROR(INDEX($A$9:$X$304,$AS15,COLUMNS($AV$9:BF14)),""))</f>
        <v/>
      </c>
      <c r="BG15" s="1" t="str">
        <f>IF(IFERROR(INDEX($A$9:$X$304,$AS15,COLUMNS($AV$9:BG14)),"")=0,"",IFERROR(INDEX($A$9:$X$304,$AS15,COLUMNS($AV$9:BG14)),""))</f>
        <v/>
      </c>
      <c r="BH15" s="1" t="str">
        <f>IF(IFERROR(INDEX($A$9:$X$304,$AS15,COLUMNS($AV$9:BH14)),"")=0,"",IFERROR(INDEX($A$9:$X$304,$AS15,COLUMNS($AV$9:BH14)),""))</f>
        <v/>
      </c>
      <c r="BI15" s="1" t="str">
        <f>IF(IFERROR(INDEX($A$9:$X$304,$AS15,COLUMNS($AV$9:BI14)),"")=0,"",IFERROR(INDEX($A$9:$X$304,$AS15,COLUMNS($AV$9:BI14)),""))</f>
        <v/>
      </c>
      <c r="BJ15" s="1" t="str">
        <f>IF(IFERROR(INDEX($A$9:$X$304,$AS15,COLUMNS($AV$9:BJ14)),"")=0,"",IFERROR(INDEX($A$9:$X$304,$AS15,COLUMNS($AV$9:BJ14)),""))</f>
        <v>ANGEL</v>
      </c>
      <c r="BK15" s="1" t="str">
        <f>IF(IFERROR(INDEX($A$9:$X$304,$AS15,COLUMNS($AV$9:BK14)),"")=0,"",IFERROR(INDEX($A$9:$X$304,$AS15,COLUMNS($AV$9:BK14)),""))</f>
        <v>Rare</v>
      </c>
      <c r="BL15" s="1" t="str">
        <f>IF(IFERROR(INDEX($A$9:$X$304,$AS15,COLUMNS($AV$9:BL14)),"")=0,"",IFERROR(INDEX($A$9:$X$304,$AS15,COLUMNS($AV$9:BL14)),""))</f>
        <v>Sarah McCulloch</v>
      </c>
      <c r="BM15" s="1" t="str">
        <f>IF(IFERROR(INDEX($A$9:$X$304,$AS15,COLUMNS($AV$9:BM14)),"")=0,"",IFERROR(INDEX($A$9:$X$304,$AS15,COLUMNS($AV$9:BM14)),""))</f>
        <v>Base Set</v>
      </c>
      <c r="BN15" s="3" t="b">
        <f>IF(IFERROR(INDEX($A$9:$X$304,$AS15,COLUMNS($AV$9:BN14)),"")=0,"",IFERROR(INDEX($A$9:$X$304,$AS15,COLUMNS($AV$9:BN14)),""))</f>
        <v>1</v>
      </c>
      <c r="BO15" s="3" t="b">
        <f>IF(IFERROR(INDEX($A$9:$X$304,$AS15,COLUMNS($AV$9:BO14)),"")=0,"",IFERROR(INDEX($A$9:$X$304,$AS15,COLUMNS($AV$9:BO14)),""))</f>
        <v>0</v>
      </c>
      <c r="BP15" s="3" t="b">
        <f>IF(IFERROR(INDEX($A$9:$X$304,$AS15,COLUMNS($AV$9:BP14)),"")=0,"",IFERROR(INDEX($A$9:$X$304,$AS15,COLUMNS($AV$9:BP14)),""))</f>
        <v>0</v>
      </c>
      <c r="BQ15" s="3" t="b">
        <f>IF(IFERROR(INDEX($A$9:$X$304,$AS15,COLUMNS($AV$9:BQ14)),"")=0,"",IFERROR(INDEX($A$9:$X$304,$AS15,COLUMNS($AV$9:BQ14)),""))</f>
        <v>0</v>
      </c>
      <c r="BR15" s="3" t="str">
        <f>IF(IFERROR(INDEX($A$9:$X$304,$AS15,COLUMNS($AV$9:BR14)),"")=0,"",IFERROR(INDEX($A$9:$X$304,$AS15,COLUMNS($AV$9:BR14)),""))</f>
        <v>http://www.epiccardgame.com/wp-content/uploads/2015/09/angel_of_light-215x300.jpg</v>
      </c>
      <c r="BS15" s="3" t="str">
        <f>IF(IFERROR(INDEX($A$9:$X$304,$AS15,COLUMNS($AV$9:BS14)),"")=0,"",IFERROR(INDEX($A$9:$X$304,$AS15,COLUMNS($AV$9:BS14)),""))</f>
        <v/>
      </c>
      <c r="BT15" s="3"/>
      <c r="BU15" s="15"/>
      <c r="BV15" t="s">
        <v>36</v>
      </c>
    </row>
    <row r="16" spans="1:74" ht="225.2" customHeight="1" x14ac:dyDescent="0.25">
      <c r="A16" t="s">
        <v>333</v>
      </c>
      <c r="B16">
        <v>1</v>
      </c>
      <c r="C16" t="s">
        <v>617</v>
      </c>
      <c r="E16" t="s">
        <v>620</v>
      </c>
      <c r="F16">
        <v>4</v>
      </c>
      <c r="G16">
        <v>5</v>
      </c>
      <c r="H16" t="s">
        <v>628</v>
      </c>
      <c r="I16" t="s">
        <v>766</v>
      </c>
      <c r="O16" t="s">
        <v>1064</v>
      </c>
      <c r="P16" t="s">
        <v>1113</v>
      </c>
      <c r="Q16" t="s">
        <v>1114</v>
      </c>
      <c r="R16" t="s">
        <v>1171</v>
      </c>
      <c r="S16" t="b">
        <v>1</v>
      </c>
      <c r="T16" t="b">
        <v>0</v>
      </c>
      <c r="U16" t="b">
        <v>0</v>
      </c>
      <c r="V16" t="b">
        <v>0</v>
      </c>
      <c r="W16" s="2" t="s">
        <v>1191</v>
      </c>
      <c r="X16" s="2"/>
      <c r="Y16" s="24">
        <v>8</v>
      </c>
      <c r="Z16">
        <f t="shared" si="0"/>
        <v>8</v>
      </c>
      <c r="AA16">
        <f t="shared" si="1"/>
        <v>8</v>
      </c>
      <c r="AB16">
        <f t="shared" si="2"/>
        <v>8</v>
      </c>
      <c r="AC16">
        <f t="shared" si="3"/>
        <v>0</v>
      </c>
      <c r="AD16">
        <f t="shared" si="4"/>
        <v>8</v>
      </c>
      <c r="AE16">
        <f t="shared" si="5"/>
        <v>8</v>
      </c>
      <c r="AF16">
        <f t="shared" si="6"/>
        <v>8</v>
      </c>
      <c r="AG16">
        <f t="shared" si="7"/>
        <v>8</v>
      </c>
      <c r="AH16">
        <f t="shared" si="8"/>
        <v>8</v>
      </c>
      <c r="AI16">
        <f t="shared" si="9"/>
        <v>0</v>
      </c>
      <c r="AJ16">
        <f t="shared" si="10"/>
        <v>0</v>
      </c>
      <c r="AK16">
        <f t="shared" si="11"/>
        <v>0</v>
      </c>
      <c r="AL16">
        <f t="shared" si="12"/>
        <v>0</v>
      </c>
      <c r="AM16">
        <f t="shared" si="13"/>
        <v>0</v>
      </c>
      <c r="AN16">
        <f t="shared" si="14"/>
        <v>8</v>
      </c>
      <c r="AO16">
        <f t="shared" si="15"/>
        <v>8</v>
      </c>
      <c r="AP16">
        <f t="shared" si="16"/>
        <v>8</v>
      </c>
      <c r="AQ16">
        <f t="shared" si="17"/>
        <v>8</v>
      </c>
      <c r="AR16" s="6">
        <f t="shared" si="18"/>
        <v>8</v>
      </c>
      <c r="AS16">
        <f t="shared" si="19"/>
        <v>8</v>
      </c>
      <c r="AV16" s="1" t="str">
        <f>IF(IFERROR(INDEX($A$9:$W$304,$AS16,COLUMNS($AV$9:AV15)),"")=0,"",IFERROR(INDEX($A$9:$W$304,$AS16,COLUMNS($AV$9:AV15)),""))</f>
        <v>Angel of Mercy</v>
      </c>
      <c r="AW16" s="1">
        <f>IFERROR(INDEX($A$9:$W$304,$AS16,COLUMNS($AV$9:AW15)),"")</f>
        <v>1</v>
      </c>
      <c r="AX16" s="1" t="str">
        <f>IF(IFERROR(INDEX($A$9:$X$304,$AS16,COLUMNS($AV$9:AX15)),"")=0,"",IFERROR(INDEX($A$9:$X$304,$AS16,COLUMNS($AV$9:AX15)),""))</f>
        <v>GOOD</v>
      </c>
      <c r="AY16" s="1" t="str">
        <f>IF(IFERROR(INDEX($A$9:$X$304,$AS16,COLUMNS($AV$9:AY15)),"")=0,"",IFERROR(INDEX($A$9:$X$304,$AS16,COLUMNS($AV$9:AY15)),""))</f>
        <v/>
      </c>
      <c r="AZ16" s="1" t="str">
        <f>IF(IFERROR(INDEX($A$9:$X$304,$AS16,COLUMNS($AV$9:AZ15)),"")=0,"",IFERROR(INDEX($A$9:$X$304,$AS16,COLUMNS($AV$9:AZ15)),""))</f>
        <v>CHAMPION</v>
      </c>
      <c r="BA16" s="1">
        <f>IF(IFERROR(INDEX($A$9:$X$304,$AS16,COLUMNS($AV$9:BA15)),"")=0,"",IFERROR(INDEX($A$9:$X$304,$AS16,COLUMNS($AV$9:BA15)),""))</f>
        <v>4</v>
      </c>
      <c r="BB16" s="1">
        <f>IF(IFERROR(INDEX($A$9:$X$304,$AS16,COLUMNS($AV$9:BB15)),"")=0,"",IFERROR(INDEX($A$9:$X$304,$AS16,COLUMNS($AV$9:BB15)),""))</f>
        <v>5</v>
      </c>
      <c r="BC16" s="1" t="str">
        <f>IF(IFERROR(INDEX($A$9:$X$304,$AS16,COLUMNS($AV$9:BC15)),"")=0,"",IFERROR(INDEX($A$9:$X$304,$AS16,COLUMNS($AV$9:BC15)),""))</f>
        <v>Airborne ◆ Ambush</v>
      </c>
      <c r="BD16" s="1" t="str">
        <f>IF(IFERROR(INDEX($A$9:$X$304,$AS16,COLUMNS($AV$9:BD15)),"")=0,"",IFERROR(INDEX($A$9:$X$304,$AS16,COLUMNS($AV$9:BD15)),""))</f>
        <v>At the start of your turn → You may put another good champion from your discard pile into play.</v>
      </c>
      <c r="BE16" s="1" t="str">
        <f>IF(IFERROR(INDEX($A$9:$X$304,$AS16,COLUMNS($AV$9:BE15)),"")=0,"",IFERROR(INDEX($A$9:$X$304,$AS16,COLUMNS($AV$9:BE15)),""))</f>
        <v/>
      </c>
      <c r="BF16" s="1" t="str">
        <f>IF(IFERROR(INDEX($A$9:$X$304,$AS16,COLUMNS($AV$9:BF15)),"")=0,"",IFERROR(INDEX($A$9:$X$304,$AS16,COLUMNS($AV$9:BF15)),""))</f>
        <v/>
      </c>
      <c r="BG16" s="1" t="str">
        <f>IF(IFERROR(INDEX($A$9:$X$304,$AS16,COLUMNS($AV$9:BG15)),"")=0,"",IFERROR(INDEX($A$9:$X$304,$AS16,COLUMNS($AV$9:BG15)),""))</f>
        <v/>
      </c>
      <c r="BH16" s="1" t="str">
        <f>IF(IFERROR(INDEX($A$9:$X$304,$AS16,COLUMNS($AV$9:BH15)),"")=0,"",IFERROR(INDEX($A$9:$X$304,$AS16,COLUMNS($AV$9:BH15)),""))</f>
        <v/>
      </c>
      <c r="BI16" s="1" t="str">
        <f>IF(IFERROR(INDEX($A$9:$X$304,$AS16,COLUMNS($AV$9:BI15)),"")=0,"",IFERROR(INDEX($A$9:$X$304,$AS16,COLUMNS($AV$9:BI15)),""))</f>
        <v/>
      </c>
      <c r="BJ16" s="1" t="str">
        <f>IF(IFERROR(INDEX($A$9:$X$304,$AS16,COLUMNS($AV$9:BJ15)),"")=0,"",IFERROR(INDEX($A$9:$X$304,$AS16,COLUMNS($AV$9:BJ15)),""))</f>
        <v>ANGEL</v>
      </c>
      <c r="BK16" s="1" t="str">
        <f>IF(IFERROR(INDEX($A$9:$X$304,$AS16,COLUMNS($AV$9:BK15)),"")=0,"",IFERROR(INDEX($A$9:$X$304,$AS16,COLUMNS($AV$9:BK15)),""))</f>
        <v>Rare</v>
      </c>
      <c r="BL16" s="1" t="str">
        <f>IF(IFERROR(INDEX($A$9:$X$304,$AS16,COLUMNS($AV$9:BL15)),"")=0,"",IFERROR(INDEX($A$9:$X$304,$AS16,COLUMNS($AV$9:BL15)),""))</f>
        <v>Jaan-Paul van Eeden</v>
      </c>
      <c r="BM16" s="1" t="str">
        <f>IF(IFERROR(INDEX($A$9:$X$304,$AS16,COLUMNS($AV$9:BM15)),"")=0,"",IFERROR(INDEX($A$9:$X$304,$AS16,COLUMNS($AV$9:BM15)),""))</f>
        <v>Base Set</v>
      </c>
      <c r="BN16" s="3" t="b">
        <f>IF(IFERROR(INDEX($A$9:$X$304,$AS16,COLUMNS($AV$9:BN15)),"")=0,"",IFERROR(INDEX($A$9:$X$304,$AS16,COLUMNS($AV$9:BN15)),""))</f>
        <v>1</v>
      </c>
      <c r="BO16" s="3" t="b">
        <f>IF(IFERROR(INDEX($A$9:$X$304,$AS16,COLUMNS($AV$9:BO15)),"")=0,"",IFERROR(INDEX($A$9:$X$304,$AS16,COLUMNS($AV$9:BO15)),""))</f>
        <v>0</v>
      </c>
      <c r="BP16" s="3" t="b">
        <f>IF(IFERROR(INDEX($A$9:$X$304,$AS16,COLUMNS($AV$9:BP15)),"")=0,"",IFERROR(INDEX($A$9:$X$304,$AS16,COLUMNS($AV$9:BP15)),""))</f>
        <v>0</v>
      </c>
      <c r="BQ16" s="3" t="b">
        <f>IF(IFERROR(INDEX($A$9:$X$304,$AS16,COLUMNS($AV$9:BQ15)),"")=0,"",IFERROR(INDEX($A$9:$X$304,$AS16,COLUMNS($AV$9:BQ15)),""))</f>
        <v>0</v>
      </c>
      <c r="BR16" s="3" t="str">
        <f>IF(IFERROR(INDEX($A$9:$X$304,$AS16,COLUMNS($AV$9:BR15)),"")=0,"",IFERROR(INDEX($A$9:$X$304,$AS16,COLUMNS($AV$9:BR15)),""))</f>
        <v>http://www.epiccardgame.com/wp-content/uploads/2015/09/angel_of_mercy-215x300.jpg</v>
      </c>
      <c r="BS16" s="3" t="str">
        <f>IF(IFERROR(INDEX($A$9:$X$304,$AS16,COLUMNS($AV$9:BS15)),"")=0,"",IFERROR(INDEX($A$9:$X$304,$AS16,COLUMNS($AV$9:BS15)),""))</f>
        <v/>
      </c>
      <c r="BT16" s="3"/>
      <c r="BU16" s="15"/>
      <c r="BV16" t="s">
        <v>37</v>
      </c>
    </row>
    <row r="17" spans="1:74" ht="225" customHeight="1" x14ac:dyDescent="0.25">
      <c r="A17" t="s">
        <v>334</v>
      </c>
      <c r="B17">
        <v>1</v>
      </c>
      <c r="C17" t="s">
        <v>617</v>
      </c>
      <c r="E17" t="s">
        <v>620</v>
      </c>
      <c r="F17">
        <v>7</v>
      </c>
      <c r="G17">
        <v>7</v>
      </c>
      <c r="H17" t="s">
        <v>628</v>
      </c>
      <c r="I17" t="s">
        <v>767</v>
      </c>
      <c r="O17" t="s">
        <v>1064</v>
      </c>
      <c r="P17" t="s">
        <v>1112</v>
      </c>
      <c r="Q17" t="s">
        <v>1120</v>
      </c>
      <c r="R17" t="s">
        <v>1172</v>
      </c>
      <c r="S17" t="b">
        <v>1</v>
      </c>
      <c r="T17" t="b">
        <v>0</v>
      </c>
      <c r="U17" t="b">
        <v>0</v>
      </c>
      <c r="V17" t="b">
        <v>0</v>
      </c>
      <c r="W17" s="2" t="s">
        <v>1192</v>
      </c>
      <c r="X17" s="2"/>
      <c r="Y17" s="24">
        <v>9</v>
      </c>
      <c r="Z17">
        <f t="shared" si="0"/>
        <v>9</v>
      </c>
      <c r="AA17">
        <f t="shared" si="1"/>
        <v>9</v>
      </c>
      <c r="AB17">
        <f t="shared" si="2"/>
        <v>9</v>
      </c>
      <c r="AC17">
        <f t="shared" si="3"/>
        <v>0</v>
      </c>
      <c r="AD17">
        <f t="shared" si="4"/>
        <v>9</v>
      </c>
      <c r="AE17">
        <f t="shared" si="5"/>
        <v>9</v>
      </c>
      <c r="AF17">
        <f t="shared" si="6"/>
        <v>9</v>
      </c>
      <c r="AG17">
        <f t="shared" si="7"/>
        <v>9</v>
      </c>
      <c r="AH17">
        <f t="shared" si="8"/>
        <v>9</v>
      </c>
      <c r="AI17">
        <f t="shared" si="9"/>
        <v>0</v>
      </c>
      <c r="AJ17">
        <f t="shared" si="10"/>
        <v>0</v>
      </c>
      <c r="AK17">
        <f t="shared" si="11"/>
        <v>0</v>
      </c>
      <c r="AL17">
        <f t="shared" si="12"/>
        <v>0</v>
      </c>
      <c r="AM17">
        <f t="shared" si="13"/>
        <v>0</v>
      </c>
      <c r="AN17">
        <f t="shared" si="14"/>
        <v>9</v>
      </c>
      <c r="AO17">
        <f t="shared" si="15"/>
        <v>9</v>
      </c>
      <c r="AP17">
        <f t="shared" si="16"/>
        <v>9</v>
      </c>
      <c r="AQ17">
        <f t="shared" si="17"/>
        <v>9</v>
      </c>
      <c r="AR17" s="6">
        <f t="shared" si="18"/>
        <v>9</v>
      </c>
      <c r="AS17">
        <f t="shared" si="19"/>
        <v>9</v>
      </c>
      <c r="AV17" s="1" t="str">
        <f>IF(IFERROR(INDEX($A$9:$W$304,$AS17,COLUMNS($AV$9:AV16)),"")=0,"",IFERROR(INDEX($A$9:$W$304,$AS17,COLUMNS($AV$9:AV16)),""))</f>
        <v>Angel of the Gate</v>
      </c>
      <c r="AW17" s="1">
        <f>IFERROR(INDEX($A$9:$W$304,$AS17,COLUMNS($AV$9:AW16)),"")</f>
        <v>1</v>
      </c>
      <c r="AX17" s="1" t="str">
        <f>IF(IFERROR(INDEX($A$9:$X$304,$AS17,COLUMNS($AV$9:AX16)),"")=0,"",IFERROR(INDEX($A$9:$X$304,$AS17,COLUMNS($AV$9:AX16)),""))</f>
        <v>GOOD</v>
      </c>
      <c r="AY17" s="1" t="str">
        <f>IF(IFERROR(INDEX($A$9:$X$304,$AS17,COLUMNS($AV$9:AY16)),"")=0,"",IFERROR(INDEX($A$9:$X$304,$AS17,COLUMNS($AV$9:AY16)),""))</f>
        <v/>
      </c>
      <c r="AZ17" s="1" t="str">
        <f>IF(IFERROR(INDEX($A$9:$X$304,$AS17,COLUMNS($AV$9:AZ16)),"")=0,"",IFERROR(INDEX($A$9:$X$304,$AS17,COLUMNS($AV$9:AZ16)),""))</f>
        <v>CHAMPION</v>
      </c>
      <c r="BA17" s="1">
        <f>IF(IFERROR(INDEX($A$9:$X$304,$AS17,COLUMNS($AV$9:BA16)),"")=0,"",IFERROR(INDEX($A$9:$X$304,$AS17,COLUMNS($AV$9:BA16)),""))</f>
        <v>7</v>
      </c>
      <c r="BB17" s="1">
        <f>IF(IFERROR(INDEX($A$9:$X$304,$AS17,COLUMNS($AV$9:BB16)),"")=0,"",IFERROR(INDEX($A$9:$X$304,$AS17,COLUMNS($AV$9:BB16)),""))</f>
        <v>7</v>
      </c>
      <c r="BC17" s="1" t="str">
        <f>IF(IFERROR(INDEX($A$9:$X$304,$AS17,COLUMNS($AV$9:BC16)),"")=0,"",IFERROR(INDEX($A$9:$X$304,$AS17,COLUMNS($AV$9:BC16)),""))</f>
        <v>Airborne ◆ Ambush</v>
      </c>
      <c r="BD17" s="1" t="str">
        <f>IF(IFERROR(INDEX($A$9:$X$304,$AS17,COLUMNS($AV$9:BD16)),"")=0,"",IFERROR(INDEX($A$9:$X$304,$AS17,COLUMNS($AV$9:BD16)),""))</f>
        <v>At the start of your turn → Gain 5 health.</v>
      </c>
      <c r="BE17" s="1" t="str">
        <f>IF(IFERROR(INDEX($A$9:$X$304,$AS17,COLUMNS($AV$9:BE16)),"")=0,"",IFERROR(INDEX($A$9:$X$304,$AS17,COLUMNS($AV$9:BE16)),""))</f>
        <v/>
      </c>
      <c r="BF17" s="1" t="str">
        <f>IF(IFERROR(INDEX($A$9:$X$304,$AS17,COLUMNS($AV$9:BF16)),"")=0,"",IFERROR(INDEX($A$9:$X$304,$AS17,COLUMNS($AV$9:BF16)),""))</f>
        <v/>
      </c>
      <c r="BG17" s="1" t="str">
        <f>IF(IFERROR(INDEX($A$9:$X$304,$AS17,COLUMNS($AV$9:BG16)),"")=0,"",IFERROR(INDEX($A$9:$X$304,$AS17,COLUMNS($AV$9:BG16)),""))</f>
        <v/>
      </c>
      <c r="BH17" s="1" t="str">
        <f>IF(IFERROR(INDEX($A$9:$X$304,$AS17,COLUMNS($AV$9:BH16)),"")=0,"",IFERROR(INDEX($A$9:$X$304,$AS17,COLUMNS($AV$9:BH16)),""))</f>
        <v/>
      </c>
      <c r="BI17" s="1" t="str">
        <f>IF(IFERROR(INDEX($A$9:$X$304,$AS17,COLUMNS($AV$9:BI16)),"")=0,"",IFERROR(INDEX($A$9:$X$304,$AS17,COLUMNS($AV$9:BI16)),""))</f>
        <v/>
      </c>
      <c r="BJ17" s="1" t="str">
        <f>IF(IFERROR(INDEX($A$9:$X$304,$AS17,COLUMNS($AV$9:BJ16)),"")=0,"",IFERROR(INDEX($A$9:$X$304,$AS17,COLUMNS($AV$9:BJ16)),""))</f>
        <v>ANGEL</v>
      </c>
      <c r="BK17" s="1" t="str">
        <f>IF(IFERROR(INDEX($A$9:$X$304,$AS17,COLUMNS($AV$9:BK16)),"")=0,"",IFERROR(INDEX($A$9:$X$304,$AS17,COLUMNS($AV$9:BK16)),""))</f>
        <v>Common</v>
      </c>
      <c r="BL17" s="1" t="str">
        <f>IF(IFERROR(INDEX($A$9:$X$304,$AS17,COLUMNS($AV$9:BL16)),"")=0,"",IFERROR(INDEX($A$9:$X$304,$AS17,COLUMNS($AV$9:BL16)),""))</f>
        <v>LEG Giordano</v>
      </c>
      <c r="BM17" s="1" t="str">
        <f>IF(IFERROR(INDEX($A$9:$X$304,$AS17,COLUMNS($AV$9:BM16)),"")=0,"",IFERROR(INDEX($A$9:$X$304,$AS17,COLUMNS($AV$9:BM16)),""))</f>
        <v>Uprising: Velden's Wrath</v>
      </c>
      <c r="BN17" s="3" t="b">
        <f>IF(IFERROR(INDEX($A$9:$X$304,$AS17,COLUMNS($AV$9:BN16)),"")=0,"",IFERROR(INDEX($A$9:$X$304,$AS17,COLUMNS($AV$9:BN16)),""))</f>
        <v>1</v>
      </c>
      <c r="BO17" s="3" t="b">
        <f>IF(IFERROR(INDEX($A$9:$X$304,$AS17,COLUMNS($AV$9:BO16)),"")=0,"",IFERROR(INDEX($A$9:$X$304,$AS17,COLUMNS($AV$9:BO16)),""))</f>
        <v>0</v>
      </c>
      <c r="BP17" s="3" t="b">
        <f>IF(IFERROR(INDEX($A$9:$X$304,$AS17,COLUMNS($AV$9:BP16)),"")=0,"",IFERROR(INDEX($A$9:$X$304,$AS17,COLUMNS($AV$9:BP16)),""))</f>
        <v>0</v>
      </c>
      <c r="BQ17" s="3" t="b">
        <f>IF(IFERROR(INDEX($A$9:$X$304,$AS17,COLUMNS($AV$9:BQ16)),"")=0,"",IFERROR(INDEX($A$9:$X$304,$AS17,COLUMNS($AV$9:BQ16)),""))</f>
        <v>0</v>
      </c>
      <c r="BR17" s="3" t="str">
        <f>IF(IFERROR(INDEX($A$9:$X$304,$AS17,COLUMNS($AV$9:BR16)),"")=0,"",IFERROR(INDEX($A$9:$X$304,$AS17,COLUMNS($AV$9:BR16)),""))</f>
        <v>https://www.epiccardgame.com/wp-content/uploads/2017/11/UPV-EN-angel-of-the-gate.jpg</v>
      </c>
      <c r="BS17" s="3" t="str">
        <f>IF(IFERROR(INDEX($A$9:$X$304,$AS17,COLUMNS($AV$9:BS16)),"")=0,"",IFERROR(INDEX($A$9:$X$304,$AS17,COLUMNS($AV$9:BS16)),""))</f>
        <v/>
      </c>
      <c r="BT17" s="3"/>
      <c r="BU17" s="15"/>
      <c r="BV17" t="s">
        <v>38</v>
      </c>
    </row>
    <row r="18" spans="1:74" ht="225.2" customHeight="1" x14ac:dyDescent="0.25">
      <c r="A18" t="s">
        <v>335</v>
      </c>
      <c r="B18">
        <v>1</v>
      </c>
      <c r="C18" t="s">
        <v>617</v>
      </c>
      <c r="E18" t="s">
        <v>620</v>
      </c>
      <c r="F18">
        <v>5</v>
      </c>
      <c r="G18">
        <v>9</v>
      </c>
      <c r="H18" t="s">
        <v>628</v>
      </c>
      <c r="I18" t="s">
        <v>768</v>
      </c>
      <c r="O18" t="s">
        <v>1064</v>
      </c>
      <c r="P18" t="s">
        <v>1112</v>
      </c>
      <c r="Q18" t="s">
        <v>1117</v>
      </c>
      <c r="R18" t="s">
        <v>1171</v>
      </c>
      <c r="S18" t="b">
        <v>1</v>
      </c>
      <c r="T18" t="b">
        <v>0</v>
      </c>
      <c r="U18" t="b">
        <v>0</v>
      </c>
      <c r="V18" t="b">
        <v>0</v>
      </c>
      <c r="W18" s="2" t="s">
        <v>1193</v>
      </c>
      <c r="X18" s="2"/>
      <c r="Y18" s="24">
        <v>10</v>
      </c>
      <c r="Z18">
        <f t="shared" si="0"/>
        <v>10</v>
      </c>
      <c r="AA18">
        <f t="shared" si="1"/>
        <v>10</v>
      </c>
      <c r="AB18">
        <f t="shared" si="2"/>
        <v>10</v>
      </c>
      <c r="AC18">
        <f t="shared" si="3"/>
        <v>0</v>
      </c>
      <c r="AD18">
        <f t="shared" si="4"/>
        <v>10</v>
      </c>
      <c r="AE18">
        <f t="shared" si="5"/>
        <v>10</v>
      </c>
      <c r="AF18">
        <f t="shared" si="6"/>
        <v>10</v>
      </c>
      <c r="AG18">
        <f t="shared" si="7"/>
        <v>10</v>
      </c>
      <c r="AH18">
        <f t="shared" si="8"/>
        <v>10</v>
      </c>
      <c r="AI18">
        <f t="shared" si="9"/>
        <v>0</v>
      </c>
      <c r="AJ18">
        <f t="shared" si="10"/>
        <v>0</v>
      </c>
      <c r="AK18">
        <f t="shared" si="11"/>
        <v>0</v>
      </c>
      <c r="AL18">
        <f t="shared" si="12"/>
        <v>0</v>
      </c>
      <c r="AM18">
        <f t="shared" si="13"/>
        <v>0</v>
      </c>
      <c r="AN18">
        <f t="shared" si="14"/>
        <v>10</v>
      </c>
      <c r="AO18">
        <f t="shared" si="15"/>
        <v>10</v>
      </c>
      <c r="AP18">
        <f t="shared" si="16"/>
        <v>10</v>
      </c>
      <c r="AQ18">
        <f t="shared" si="17"/>
        <v>10</v>
      </c>
      <c r="AR18" s="6">
        <f t="shared" si="18"/>
        <v>10</v>
      </c>
      <c r="AS18">
        <f t="shared" si="19"/>
        <v>10</v>
      </c>
      <c r="AV18" s="1" t="str">
        <f>IF(IFERROR(INDEX($A$9:$W$304,$AS18,COLUMNS($AV$9:AV17)),"")=0,"",IFERROR(INDEX($A$9:$W$304,$AS18,COLUMNS($AV$9:AV17)),""))</f>
        <v>Angelic Protector</v>
      </c>
      <c r="AW18" s="1">
        <f>IFERROR(INDEX($A$9:$W$304,$AS18,COLUMNS($AV$9:AW17)),"")</f>
        <v>1</v>
      </c>
      <c r="AX18" s="1" t="str">
        <f>IF(IFERROR(INDEX($A$9:$X$304,$AS18,COLUMNS($AV$9:AX17)),"")=0,"",IFERROR(INDEX($A$9:$X$304,$AS18,COLUMNS($AV$9:AX17)),""))</f>
        <v>GOOD</v>
      </c>
      <c r="AY18" s="1" t="str">
        <f>IF(IFERROR(INDEX($A$9:$X$304,$AS18,COLUMNS($AV$9:AY17)),"")=0,"",IFERROR(INDEX($A$9:$X$304,$AS18,COLUMNS($AV$9:AY17)),""))</f>
        <v/>
      </c>
      <c r="AZ18" s="1" t="str">
        <f>IF(IFERROR(INDEX($A$9:$X$304,$AS18,COLUMNS($AV$9:AZ17)),"")=0,"",IFERROR(INDEX($A$9:$X$304,$AS18,COLUMNS($AV$9:AZ17)),""))</f>
        <v>CHAMPION</v>
      </c>
      <c r="BA18" s="1">
        <f>IF(IFERROR(INDEX($A$9:$X$304,$AS18,COLUMNS($AV$9:BA17)),"")=0,"",IFERROR(INDEX($A$9:$X$304,$AS18,COLUMNS($AV$9:BA17)),""))</f>
        <v>5</v>
      </c>
      <c r="BB18" s="1">
        <f>IF(IFERROR(INDEX($A$9:$X$304,$AS18,COLUMNS($AV$9:BB17)),"")=0,"",IFERROR(INDEX($A$9:$X$304,$AS18,COLUMNS($AV$9:BB17)),""))</f>
        <v>9</v>
      </c>
      <c r="BC18" s="1" t="str">
        <f>IF(IFERROR(INDEX($A$9:$X$304,$AS18,COLUMNS($AV$9:BC17)),"")=0,"",IFERROR(INDEX($A$9:$X$304,$AS18,COLUMNS($AV$9:BC17)),""))</f>
        <v>Airborne ◆ Ambush</v>
      </c>
      <c r="BD18" s="1" t="str">
        <f>IF(IFERROR(INDEX($A$9:$X$304,$AS18,COLUMNS($AV$9:BD17)),"")=0,"",IFERROR(INDEX($A$9:$X$304,$AS18,COLUMNS($AV$9:BD17)),""))</f>
        <v>Tribute → Target champion gains unbreakable and untargetable this turn.</v>
      </c>
      <c r="BE18" s="1" t="str">
        <f>IF(IFERROR(INDEX($A$9:$X$304,$AS18,COLUMNS($AV$9:BE17)),"")=0,"",IFERROR(INDEX($A$9:$X$304,$AS18,COLUMNS($AV$9:BE17)),""))</f>
        <v/>
      </c>
      <c r="BF18" s="1" t="str">
        <f>IF(IFERROR(INDEX($A$9:$X$304,$AS18,COLUMNS($AV$9:BF17)),"")=0,"",IFERROR(INDEX($A$9:$X$304,$AS18,COLUMNS($AV$9:BF17)),""))</f>
        <v/>
      </c>
      <c r="BG18" s="1" t="str">
        <f>IF(IFERROR(INDEX($A$9:$X$304,$AS18,COLUMNS($AV$9:BG17)),"")=0,"",IFERROR(INDEX($A$9:$X$304,$AS18,COLUMNS($AV$9:BG17)),""))</f>
        <v/>
      </c>
      <c r="BH18" s="1" t="str">
        <f>IF(IFERROR(INDEX($A$9:$X$304,$AS18,COLUMNS($AV$9:BH17)),"")=0,"",IFERROR(INDEX($A$9:$X$304,$AS18,COLUMNS($AV$9:BH17)),""))</f>
        <v/>
      </c>
      <c r="BI18" s="1" t="str">
        <f>IF(IFERROR(INDEX($A$9:$X$304,$AS18,COLUMNS($AV$9:BI17)),"")=0,"",IFERROR(INDEX($A$9:$X$304,$AS18,COLUMNS($AV$9:BI17)),""))</f>
        <v/>
      </c>
      <c r="BJ18" s="1" t="str">
        <f>IF(IFERROR(INDEX($A$9:$X$304,$AS18,COLUMNS($AV$9:BJ17)),"")=0,"",IFERROR(INDEX($A$9:$X$304,$AS18,COLUMNS($AV$9:BJ17)),""))</f>
        <v>ANGEL</v>
      </c>
      <c r="BK18" s="1" t="str">
        <f>IF(IFERROR(INDEX($A$9:$X$304,$AS18,COLUMNS($AV$9:BK17)),"")=0,"",IFERROR(INDEX($A$9:$X$304,$AS18,COLUMNS($AV$9:BK17)),""))</f>
        <v>Common</v>
      </c>
      <c r="BL18" s="1" t="str">
        <f>IF(IFERROR(INDEX($A$9:$X$304,$AS18,COLUMNS($AV$9:BL17)),"")=0,"",IFERROR(INDEX($A$9:$X$304,$AS18,COLUMNS($AV$9:BL17)),""))</f>
        <v>Antonis Papantoniou</v>
      </c>
      <c r="BM18" s="1" t="str">
        <f>IF(IFERROR(INDEX($A$9:$X$304,$AS18,COLUMNS($AV$9:BM17)),"")=0,"",IFERROR(INDEX($A$9:$X$304,$AS18,COLUMNS($AV$9:BM17)),""))</f>
        <v>Base Set</v>
      </c>
      <c r="BN18" s="3" t="b">
        <f>IF(IFERROR(INDEX($A$9:$X$304,$AS18,COLUMNS($AV$9:BN17)),"")=0,"",IFERROR(INDEX($A$9:$X$304,$AS18,COLUMNS($AV$9:BN17)),""))</f>
        <v>1</v>
      </c>
      <c r="BO18" s="3" t="b">
        <f>IF(IFERROR(INDEX($A$9:$X$304,$AS18,COLUMNS($AV$9:BO17)),"")=0,"",IFERROR(INDEX($A$9:$X$304,$AS18,COLUMNS($AV$9:BO17)),""))</f>
        <v>0</v>
      </c>
      <c r="BP18" s="3" t="b">
        <f>IF(IFERROR(INDEX($A$9:$X$304,$AS18,COLUMNS($AV$9:BP17)),"")=0,"",IFERROR(INDEX($A$9:$X$304,$AS18,COLUMNS($AV$9:BP17)),""))</f>
        <v>0</v>
      </c>
      <c r="BQ18" s="3" t="b">
        <f>IF(IFERROR(INDEX($A$9:$X$304,$AS18,COLUMNS($AV$9:BQ17)),"")=0,"",IFERROR(INDEX($A$9:$X$304,$AS18,COLUMNS($AV$9:BQ17)),""))</f>
        <v>0</v>
      </c>
      <c r="BR18" s="3" t="str">
        <f>IF(IFERROR(INDEX($A$9:$X$304,$AS18,COLUMNS($AV$9:BR17)),"")=0,"",IFERROR(INDEX($A$9:$X$304,$AS18,COLUMNS($AV$9:BR17)),""))</f>
        <v>http://www.epiccardgame.com/wp-content/uploads/2015/09/angelic_protector-215x300.jpg</v>
      </c>
      <c r="BS18" s="3" t="str">
        <f>IF(IFERROR(INDEX($A$9:$X$304,$AS18,COLUMNS($AV$9:BS17)),"")=0,"",IFERROR(INDEX($A$9:$X$304,$AS18,COLUMNS($AV$9:BS17)),""))</f>
        <v/>
      </c>
      <c r="BT18" s="3"/>
      <c r="BU18" s="15"/>
      <c r="BV18" t="s">
        <v>39</v>
      </c>
    </row>
    <row r="19" spans="1:74" ht="225.2" customHeight="1" x14ac:dyDescent="0.25">
      <c r="A19" t="s">
        <v>336</v>
      </c>
      <c r="B19">
        <v>0</v>
      </c>
      <c r="C19" t="s">
        <v>617</v>
      </c>
      <c r="E19" t="s">
        <v>619</v>
      </c>
      <c r="H19" t="s">
        <v>629</v>
      </c>
      <c r="I19" t="s">
        <v>769</v>
      </c>
      <c r="O19" t="s">
        <v>1062</v>
      </c>
      <c r="P19" t="s">
        <v>1112</v>
      </c>
      <c r="Q19" t="s">
        <v>1121</v>
      </c>
      <c r="R19" t="s">
        <v>1173</v>
      </c>
      <c r="S19" t="b">
        <v>1</v>
      </c>
      <c r="T19" t="b">
        <v>1</v>
      </c>
      <c r="U19" t="b">
        <v>0</v>
      </c>
      <c r="V19" t="b">
        <v>0</v>
      </c>
      <c r="W19" s="2" t="s">
        <v>1194</v>
      </c>
      <c r="X19" s="2"/>
      <c r="Y19" s="24">
        <v>11</v>
      </c>
      <c r="Z19">
        <f t="shared" si="0"/>
        <v>11</v>
      </c>
      <c r="AA19">
        <f t="shared" si="1"/>
        <v>11</v>
      </c>
      <c r="AB19">
        <f t="shared" si="2"/>
        <v>11</v>
      </c>
      <c r="AC19">
        <f t="shared" si="3"/>
        <v>0</v>
      </c>
      <c r="AD19">
        <f t="shared" si="4"/>
        <v>11</v>
      </c>
      <c r="AE19">
        <f t="shared" si="5"/>
        <v>0</v>
      </c>
      <c r="AF19">
        <f t="shared" si="6"/>
        <v>0</v>
      </c>
      <c r="AG19">
        <f t="shared" si="7"/>
        <v>11</v>
      </c>
      <c r="AH19">
        <f t="shared" si="8"/>
        <v>11</v>
      </c>
      <c r="AI19">
        <f t="shared" si="9"/>
        <v>0</v>
      </c>
      <c r="AJ19">
        <f t="shared" si="10"/>
        <v>0</v>
      </c>
      <c r="AK19">
        <f t="shared" si="11"/>
        <v>0</v>
      </c>
      <c r="AL19">
        <f t="shared" si="12"/>
        <v>0</v>
      </c>
      <c r="AM19">
        <f t="shared" si="13"/>
        <v>0</v>
      </c>
      <c r="AN19">
        <f t="shared" si="14"/>
        <v>11</v>
      </c>
      <c r="AO19">
        <f t="shared" si="15"/>
        <v>11</v>
      </c>
      <c r="AP19">
        <f t="shared" si="16"/>
        <v>11</v>
      </c>
      <c r="AQ19">
        <f t="shared" si="17"/>
        <v>11</v>
      </c>
      <c r="AR19" s="6">
        <f t="shared" si="18"/>
        <v>11</v>
      </c>
      <c r="AS19">
        <f t="shared" si="19"/>
        <v>11</v>
      </c>
      <c r="AV19" s="1" t="str">
        <f>IF(IFERROR(INDEX($A$9:$W$304,$AS19,COLUMNS($AV$9:AV18)),"")=0,"",IFERROR(INDEX($A$9:$W$304,$AS19,COLUMNS($AV$9:AV18)),""))</f>
        <v>Angeline's Favor</v>
      </c>
      <c r="AW19" s="1">
        <f>IFERROR(INDEX($A$9:$W$304,$AS19,COLUMNS($AV$9:AW18)),"")</f>
        <v>0</v>
      </c>
      <c r="AX19" s="1" t="str">
        <f>IF(IFERROR(INDEX($A$9:$X$304,$AS19,COLUMNS($AV$9:AX18)),"")=0,"",IFERROR(INDEX($A$9:$X$304,$AS19,COLUMNS($AV$9:AX18)),""))</f>
        <v>GOOD</v>
      </c>
      <c r="AY19" s="1" t="str">
        <f>IF(IFERROR(INDEX($A$9:$X$304,$AS19,COLUMNS($AV$9:AY18)),"")=0,"",IFERROR(INDEX($A$9:$X$304,$AS19,COLUMNS($AV$9:AY18)),""))</f>
        <v/>
      </c>
      <c r="AZ19" s="1" t="str">
        <f>IF(IFERROR(INDEX($A$9:$X$304,$AS19,COLUMNS($AV$9:AZ18)),"")=0,"",IFERROR(INDEX($A$9:$X$304,$AS19,COLUMNS($AV$9:AZ18)),""))</f>
        <v>EVENT</v>
      </c>
      <c r="BA19" s="1" t="str">
        <f>IF(IFERROR(INDEX($A$9:$X$304,$AS19,COLUMNS($AV$9:BA18)),"")=0,"",IFERROR(INDEX($A$9:$X$304,$AS19,COLUMNS($AV$9:BA18)),""))</f>
        <v/>
      </c>
      <c r="BB19" s="1" t="str">
        <f>IF(IFERROR(INDEX($A$9:$X$304,$AS19,COLUMNS($AV$9:BB18)),"")=0,"",IFERROR(INDEX($A$9:$X$304,$AS19,COLUMNS($AV$9:BB18)),""))</f>
        <v/>
      </c>
      <c r="BC19" s="1" t="str">
        <f>IF(IFERROR(INDEX($A$9:$X$304,$AS19,COLUMNS($AV$9:BC18)),"")=0,"",IFERROR(INDEX($A$9:$X$304,$AS19,COLUMNS($AV$9:BC18)),""))</f>
        <v>Target champion gains airborne, +2 {offense} and +2 {defense} this turn.</v>
      </c>
      <c r="BD19" s="1" t="str">
        <f>IF(IFERROR(INDEX($A$9:$X$304,$AS19,COLUMNS($AV$9:BD18)),"")=0,"",IFERROR(INDEX($A$9:$X$304,$AS19,COLUMNS($AV$9:BD18)),""))</f>
        <v>{1}: Draw two cards.</v>
      </c>
      <c r="BE19" s="1" t="str">
        <f>IF(IFERROR(INDEX($A$9:$X$304,$AS19,COLUMNS($AV$9:BE18)),"")=0,"",IFERROR(INDEX($A$9:$X$304,$AS19,COLUMNS($AV$9:BE18)),""))</f>
        <v/>
      </c>
      <c r="BF19" s="1" t="str">
        <f>IF(IFERROR(INDEX($A$9:$X$304,$AS19,COLUMNS($AV$9:BF18)),"")=0,"",IFERROR(INDEX($A$9:$X$304,$AS19,COLUMNS($AV$9:BF18)),""))</f>
        <v/>
      </c>
      <c r="BG19" s="1" t="str">
        <f>IF(IFERROR(INDEX($A$9:$X$304,$AS19,COLUMNS($AV$9:BG18)),"")=0,"",IFERROR(INDEX($A$9:$X$304,$AS19,COLUMNS($AV$9:BG18)),""))</f>
        <v/>
      </c>
      <c r="BH19" s="1" t="str">
        <f>IF(IFERROR(INDEX($A$9:$X$304,$AS19,COLUMNS($AV$9:BH18)),"")=0,"",IFERROR(INDEX($A$9:$X$304,$AS19,COLUMNS($AV$9:BH18)),""))</f>
        <v/>
      </c>
      <c r="BI19" s="1" t="str">
        <f>IF(IFERROR(INDEX($A$9:$X$304,$AS19,COLUMNS($AV$9:BI18)),"")=0,"",IFERROR(INDEX($A$9:$X$304,$AS19,COLUMNS($AV$9:BI18)),""))</f>
        <v/>
      </c>
      <c r="BJ19" s="1" t="str">
        <f>IF(IFERROR(INDEX($A$9:$X$304,$AS19,COLUMNS($AV$9:BJ18)),"")=0,"",IFERROR(INDEX($A$9:$X$304,$AS19,COLUMNS($AV$9:BJ18)),""))</f>
        <v>None</v>
      </c>
      <c r="BK19" s="1" t="str">
        <f>IF(IFERROR(INDEX($A$9:$X$304,$AS19,COLUMNS($AV$9:BK18)),"")=0,"",IFERROR(INDEX($A$9:$X$304,$AS19,COLUMNS($AV$9:BK18)),""))</f>
        <v>Common</v>
      </c>
      <c r="BL19" s="1" t="str">
        <f>IF(IFERROR(INDEX($A$9:$X$304,$AS19,COLUMNS($AV$9:BL18)),"")=0,"",IFERROR(INDEX($A$9:$X$304,$AS19,COLUMNS($AV$9:BL18)),""))</f>
        <v>Michele Frigo</v>
      </c>
      <c r="BM19" s="1" t="str">
        <f>IF(IFERROR(INDEX($A$9:$X$304,$AS19,COLUMNS($AV$9:BM18)),"")=0,"",IFERROR(INDEX($A$9:$X$304,$AS19,COLUMNS($AV$9:BM18)),""))</f>
        <v>Pantheon: Angeline vs Scara</v>
      </c>
      <c r="BN19" s="3" t="b">
        <f>IF(IFERROR(INDEX($A$9:$X$304,$AS19,COLUMNS($AV$9:BN18)),"")=0,"",IFERROR(INDEX($A$9:$X$304,$AS19,COLUMNS($AV$9:BN18)),""))</f>
        <v>1</v>
      </c>
      <c r="BO19" s="3" t="b">
        <f>IF(IFERROR(INDEX($A$9:$X$304,$AS19,COLUMNS($AV$9:BO18)),"")=0,"",IFERROR(INDEX($A$9:$X$304,$AS19,COLUMNS($AV$9:BO18)),""))</f>
        <v>1</v>
      </c>
      <c r="BP19" s="3" t="b">
        <f>IF(IFERROR(INDEX($A$9:$X$304,$AS19,COLUMNS($AV$9:BP18)),"")=0,"",IFERROR(INDEX($A$9:$X$304,$AS19,COLUMNS($AV$9:BP18)),""))</f>
        <v>0</v>
      </c>
      <c r="BQ19" s="3" t="b">
        <f>IF(IFERROR(INDEX($A$9:$X$304,$AS19,COLUMNS($AV$9:BQ18)),"")=0,"",IFERROR(INDEX($A$9:$X$304,$AS19,COLUMNS($AV$9:BQ18)),""))</f>
        <v>0</v>
      </c>
      <c r="BR19" s="3" t="str">
        <f>IF(IFERROR(INDEX($A$9:$X$304,$AS19,COLUMNS($AV$9:BR18)),"")=0,"",IFERROR(INDEX($A$9:$X$304,$AS19,COLUMNS($AV$9:BR18)),""))</f>
        <v>https://www.epiccardgame.com/wp-content/uploads/2017/11/PNA-EN-03-angeline-s-favor.jpg</v>
      </c>
      <c r="BS19" s="3" t="str">
        <f>IF(IFERROR(INDEX($A$9:$X$304,$AS19,COLUMNS($AV$9:BS18)),"")=0,"",IFERROR(INDEX($A$9:$X$304,$AS19,COLUMNS($AV$9:BS18)),""))</f>
        <v/>
      </c>
      <c r="BT19" s="3"/>
      <c r="BU19" s="15"/>
      <c r="BV19" t="s">
        <v>40</v>
      </c>
    </row>
    <row r="20" spans="1:74" ht="225.2" customHeight="1" x14ac:dyDescent="0.25">
      <c r="A20" t="s">
        <v>337</v>
      </c>
      <c r="B20">
        <v>1</v>
      </c>
      <c r="C20" t="s">
        <v>617</v>
      </c>
      <c r="E20" t="s">
        <v>619</v>
      </c>
      <c r="H20" t="s">
        <v>630</v>
      </c>
      <c r="I20" t="s">
        <v>770</v>
      </c>
      <c r="O20" t="s">
        <v>1062</v>
      </c>
      <c r="P20" t="s">
        <v>1112</v>
      </c>
      <c r="Q20" t="s">
        <v>1122</v>
      </c>
      <c r="R20" t="s">
        <v>1174</v>
      </c>
      <c r="S20" t="b">
        <v>1</v>
      </c>
      <c r="T20" t="b">
        <v>1</v>
      </c>
      <c r="U20" t="b">
        <v>0</v>
      </c>
      <c r="V20" t="b">
        <v>0</v>
      </c>
      <c r="W20" s="2" t="s">
        <v>1195</v>
      </c>
      <c r="X20" s="2"/>
      <c r="Y20" s="24">
        <v>12</v>
      </c>
      <c r="Z20">
        <f t="shared" si="0"/>
        <v>12</v>
      </c>
      <c r="AA20">
        <f t="shared" si="1"/>
        <v>12</v>
      </c>
      <c r="AB20">
        <f t="shared" si="2"/>
        <v>12</v>
      </c>
      <c r="AC20">
        <f t="shared" si="3"/>
        <v>0</v>
      </c>
      <c r="AD20">
        <f t="shared" si="4"/>
        <v>12</v>
      </c>
      <c r="AE20">
        <f t="shared" si="5"/>
        <v>0</v>
      </c>
      <c r="AF20">
        <f t="shared" si="6"/>
        <v>0</v>
      </c>
      <c r="AG20">
        <f t="shared" si="7"/>
        <v>12</v>
      </c>
      <c r="AH20">
        <f t="shared" si="8"/>
        <v>12</v>
      </c>
      <c r="AI20">
        <f t="shared" si="9"/>
        <v>0</v>
      </c>
      <c r="AJ20">
        <f t="shared" si="10"/>
        <v>0</v>
      </c>
      <c r="AK20">
        <f t="shared" si="11"/>
        <v>0</v>
      </c>
      <c r="AL20">
        <f t="shared" si="12"/>
        <v>0</v>
      </c>
      <c r="AM20">
        <f t="shared" si="13"/>
        <v>0</v>
      </c>
      <c r="AN20">
        <f t="shared" si="14"/>
        <v>12</v>
      </c>
      <c r="AO20">
        <f t="shared" si="15"/>
        <v>12</v>
      </c>
      <c r="AP20">
        <f t="shared" si="16"/>
        <v>12</v>
      </c>
      <c r="AQ20">
        <f t="shared" si="17"/>
        <v>12</v>
      </c>
      <c r="AR20" s="6">
        <f t="shared" si="18"/>
        <v>12</v>
      </c>
      <c r="AS20">
        <f t="shared" si="19"/>
        <v>12</v>
      </c>
      <c r="AV20" s="1" t="str">
        <f>IF(IFERROR(INDEX($A$9:$W$304,$AS20,COLUMNS($AV$9:AV19)),"")=0,"",IFERROR(INDEX($A$9:$W$304,$AS20,COLUMNS($AV$9:AV19)),""))</f>
        <v>Angeline's Will</v>
      </c>
      <c r="AW20" s="1">
        <f>IFERROR(INDEX($A$9:$W$304,$AS20,COLUMNS($AV$9:AW19)),"")</f>
        <v>1</v>
      </c>
      <c r="AX20" s="1" t="str">
        <f>IF(IFERROR(INDEX($A$9:$X$304,$AS20,COLUMNS($AV$9:AX19)),"")=0,"",IFERROR(INDEX($A$9:$X$304,$AS20,COLUMNS($AV$9:AX19)),""))</f>
        <v>GOOD</v>
      </c>
      <c r="AY20" s="1" t="str">
        <f>IF(IFERROR(INDEX($A$9:$X$304,$AS20,COLUMNS($AV$9:AY19)),"")=0,"",IFERROR(INDEX($A$9:$X$304,$AS20,COLUMNS($AV$9:AY19)),""))</f>
        <v/>
      </c>
      <c r="AZ20" s="1" t="str">
        <f>IF(IFERROR(INDEX($A$9:$X$304,$AS20,COLUMNS($AV$9:AZ19)),"")=0,"",IFERROR(INDEX($A$9:$X$304,$AS20,COLUMNS($AV$9:AZ19)),""))</f>
        <v>EVENT</v>
      </c>
      <c r="BA20" s="1" t="str">
        <f>IF(IFERROR(INDEX($A$9:$X$304,$AS20,COLUMNS($AV$9:BA19)),"")=0,"",IFERROR(INDEX($A$9:$X$304,$AS20,COLUMNS($AV$9:BA19)),""))</f>
        <v/>
      </c>
      <c r="BB20" s="1" t="str">
        <f>IF(IFERROR(INDEX($A$9:$X$304,$AS20,COLUMNS($AV$9:BB19)),"")=0,"",IFERROR(INDEX($A$9:$X$304,$AS20,COLUMNS($AV$9:BB19)),""))</f>
        <v/>
      </c>
      <c r="BC20" s="1" t="str">
        <f>IF(IFERROR(INDEX($A$9:$X$304,$AS20,COLUMNS($AV$9:BC19)),"")=0,"",IFERROR(INDEX($A$9:$X$304,$AS20,COLUMNS($AV$9:BC19)),""))</f>
        <v>Gain 10 health.</v>
      </c>
      <c r="BD20" s="1" t="str">
        <f>IF(IFERROR(INDEX($A$9:$X$304,$AS20,COLUMNS($AV$9:BD19)),"")=0,"",IFERROR(INDEX($A$9:$X$304,$AS20,COLUMNS($AV$9:BD19)),""))</f>
        <v>If it’s your turn, banish target expended champion. If this is the first {1} card you’ve played this turn, gain {1} that may only be used to pay good costs.</v>
      </c>
      <c r="BE20" s="1" t="str">
        <f>IF(IFERROR(INDEX($A$9:$X$304,$AS20,COLUMNS($AV$9:BE19)),"")=0,"",IFERROR(INDEX($A$9:$X$304,$AS20,COLUMNS($AV$9:BE19)),""))</f>
        <v/>
      </c>
      <c r="BF20" s="1" t="str">
        <f>IF(IFERROR(INDEX($A$9:$X$304,$AS20,COLUMNS($AV$9:BF19)),"")=0,"",IFERROR(INDEX($A$9:$X$304,$AS20,COLUMNS($AV$9:BF19)),""))</f>
        <v/>
      </c>
      <c r="BG20" s="1" t="str">
        <f>IF(IFERROR(INDEX($A$9:$X$304,$AS20,COLUMNS($AV$9:BG19)),"")=0,"",IFERROR(INDEX($A$9:$X$304,$AS20,COLUMNS($AV$9:BG19)),""))</f>
        <v/>
      </c>
      <c r="BH20" s="1" t="str">
        <f>IF(IFERROR(INDEX($A$9:$X$304,$AS20,COLUMNS($AV$9:BH19)),"")=0,"",IFERROR(INDEX($A$9:$X$304,$AS20,COLUMNS($AV$9:BH19)),""))</f>
        <v/>
      </c>
      <c r="BI20" s="1" t="str">
        <f>IF(IFERROR(INDEX($A$9:$X$304,$AS20,COLUMNS($AV$9:BI19)),"")=0,"",IFERROR(INDEX($A$9:$X$304,$AS20,COLUMNS($AV$9:BI19)),""))</f>
        <v/>
      </c>
      <c r="BJ20" s="1" t="str">
        <f>IF(IFERROR(INDEX($A$9:$X$304,$AS20,COLUMNS($AV$9:BJ19)),"")=0,"",IFERROR(INDEX($A$9:$X$304,$AS20,COLUMNS($AV$9:BJ19)),""))</f>
        <v>None</v>
      </c>
      <c r="BK20" s="1" t="str">
        <f>IF(IFERROR(INDEX($A$9:$X$304,$AS20,COLUMNS($AV$9:BK19)),"")=0,"",IFERROR(INDEX($A$9:$X$304,$AS20,COLUMNS($AV$9:BK19)),""))</f>
        <v>Common</v>
      </c>
      <c r="BL20" s="1" t="str">
        <f>IF(IFERROR(INDEX($A$9:$X$304,$AS20,COLUMNS($AV$9:BL19)),"")=0,"",IFERROR(INDEX($A$9:$X$304,$AS20,COLUMNS($AV$9:BL19)),""))</f>
        <v>Andrey Palyanov</v>
      </c>
      <c r="BM20" s="1" t="str">
        <f>IF(IFERROR(INDEX($A$9:$X$304,$AS20,COLUMNS($AV$9:BM19)),"")=0,"",IFERROR(INDEX($A$9:$X$304,$AS20,COLUMNS($AV$9:BM19)),""))</f>
        <v>Pantheon: Furios vs Maligus</v>
      </c>
      <c r="BN20" s="3" t="b">
        <f>IF(IFERROR(INDEX($A$9:$X$304,$AS20,COLUMNS($AV$9:BN19)),"")=0,"",IFERROR(INDEX($A$9:$X$304,$AS20,COLUMNS($AV$9:BN19)),""))</f>
        <v>1</v>
      </c>
      <c r="BO20" s="3" t="b">
        <f>IF(IFERROR(INDEX($A$9:$X$304,$AS20,COLUMNS($AV$9:BO19)),"")=0,"",IFERROR(INDEX($A$9:$X$304,$AS20,COLUMNS($AV$9:BO19)),""))</f>
        <v>1</v>
      </c>
      <c r="BP20" s="3" t="b">
        <f>IF(IFERROR(INDEX($A$9:$X$304,$AS20,COLUMNS($AV$9:BP19)),"")=0,"",IFERROR(INDEX($A$9:$X$304,$AS20,COLUMNS($AV$9:BP19)),""))</f>
        <v>0</v>
      </c>
      <c r="BQ20" s="3" t="b">
        <f>IF(IFERROR(INDEX($A$9:$X$304,$AS20,COLUMNS($AV$9:BQ19)),"")=0,"",IFERROR(INDEX($A$9:$X$304,$AS20,COLUMNS($AV$9:BQ19)),""))</f>
        <v>0</v>
      </c>
      <c r="BR20" s="3" t="str">
        <f>IF(IFERROR(INDEX($A$9:$X$304,$AS20,COLUMNS($AV$9:BR19)),"")=0,"",IFERROR(INDEX($A$9:$X$304,$AS20,COLUMNS($AV$9:BR19)),""))</f>
        <v>https://www.epiccardgame.com/wp-content/uploads/2017/11/PNF-EN-06-angeline-s-will.jpg</v>
      </c>
      <c r="BS20" s="3" t="str">
        <f>IF(IFERROR(INDEX($A$9:$X$304,$AS20,COLUMNS($AV$9:BS19)),"")=0,"",IFERROR(INDEX($A$9:$X$304,$AS20,COLUMNS($AV$9:BS19)),""))</f>
        <v/>
      </c>
      <c r="BT20" s="3"/>
      <c r="BU20" s="15"/>
      <c r="BV20" t="s">
        <v>41</v>
      </c>
    </row>
    <row r="21" spans="1:74" ht="225.2" customHeight="1" x14ac:dyDescent="0.25">
      <c r="A21" t="s">
        <v>338</v>
      </c>
      <c r="B21">
        <v>0</v>
      </c>
      <c r="C21" t="s">
        <v>617</v>
      </c>
      <c r="E21" t="s">
        <v>621</v>
      </c>
      <c r="H21" t="s">
        <v>631</v>
      </c>
      <c r="I21" t="s">
        <v>771</v>
      </c>
      <c r="O21" t="s">
        <v>1065</v>
      </c>
      <c r="Q21" t="s">
        <v>1123</v>
      </c>
      <c r="R21" t="s">
        <v>1173</v>
      </c>
      <c r="S21" t="b">
        <v>1</v>
      </c>
      <c r="T21" t="b">
        <v>0</v>
      </c>
      <c r="U21" t="b">
        <v>0</v>
      </c>
      <c r="V21" t="b">
        <v>0</v>
      </c>
      <c r="W21" s="2" t="s">
        <v>1196</v>
      </c>
      <c r="X21" s="2"/>
      <c r="Y21" s="24">
        <v>13</v>
      </c>
      <c r="Z21">
        <f t="shared" si="0"/>
        <v>13</v>
      </c>
      <c r="AA21">
        <f t="shared" si="1"/>
        <v>13</v>
      </c>
      <c r="AB21">
        <f t="shared" si="2"/>
        <v>13</v>
      </c>
      <c r="AC21">
        <f t="shared" si="3"/>
        <v>0</v>
      </c>
      <c r="AD21">
        <f t="shared" si="4"/>
        <v>13</v>
      </c>
      <c r="AE21">
        <f t="shared" si="5"/>
        <v>0</v>
      </c>
      <c r="AF21">
        <f t="shared" si="6"/>
        <v>0</v>
      </c>
      <c r="AG21">
        <f t="shared" si="7"/>
        <v>13</v>
      </c>
      <c r="AH21">
        <f t="shared" si="8"/>
        <v>13</v>
      </c>
      <c r="AI21">
        <f t="shared" si="9"/>
        <v>0</v>
      </c>
      <c r="AJ21">
        <f t="shared" si="10"/>
        <v>0</v>
      </c>
      <c r="AK21">
        <f t="shared" si="11"/>
        <v>0</v>
      </c>
      <c r="AL21">
        <f t="shared" si="12"/>
        <v>0</v>
      </c>
      <c r="AM21">
        <f t="shared" si="13"/>
        <v>0</v>
      </c>
      <c r="AN21">
        <f t="shared" si="14"/>
        <v>13</v>
      </c>
      <c r="AO21">
        <f t="shared" si="15"/>
        <v>0</v>
      </c>
      <c r="AP21">
        <f t="shared" si="16"/>
        <v>13</v>
      </c>
      <c r="AQ21">
        <f t="shared" si="17"/>
        <v>13</v>
      </c>
      <c r="AR21" s="6">
        <f t="shared" si="18"/>
        <v>13</v>
      </c>
      <c r="AS21">
        <f t="shared" si="19"/>
        <v>13</v>
      </c>
      <c r="AV21" s="1" t="str">
        <f>IF(IFERROR(INDEX($A$9:$W$304,$AS21,COLUMNS($AV$9:AV20)),"")=0,"",IFERROR(INDEX($A$9:$W$304,$AS21,COLUMNS($AV$9:AV20)),""))</f>
        <v>Angeline, Silver Wing</v>
      </c>
      <c r="AW21" s="1">
        <f>IFERROR(INDEX($A$9:$W$304,$AS21,COLUMNS($AV$9:AW20)),"")</f>
        <v>0</v>
      </c>
      <c r="AX21" s="1" t="str">
        <f>IF(IFERROR(INDEX($A$9:$X$304,$AS21,COLUMNS($AV$9:AX20)),"")=0,"",IFERROR(INDEX($A$9:$X$304,$AS21,COLUMNS($AV$9:AX20)),""))</f>
        <v>GOOD</v>
      </c>
      <c r="AY21" s="1" t="str">
        <f>IF(IFERROR(INDEX($A$9:$X$304,$AS21,COLUMNS($AV$9:AY20)),"")=0,"",IFERROR(INDEX($A$9:$X$304,$AS21,COLUMNS($AV$9:AY20)),""))</f>
        <v/>
      </c>
      <c r="AZ21" s="1" t="str">
        <f>IF(IFERROR(INDEX($A$9:$X$304,$AS21,COLUMNS($AV$9:AZ20)),"")=0,"",IFERROR(INDEX($A$9:$X$304,$AS21,COLUMNS($AV$9:AZ20)),""))</f>
        <v>DEITY</v>
      </c>
      <c r="BA21" s="1" t="str">
        <f>IF(IFERROR(INDEX($A$9:$X$304,$AS21,COLUMNS($AV$9:BA20)),"")=0,"",IFERROR(INDEX($A$9:$X$304,$AS21,COLUMNS($AV$9:BA20)),""))</f>
        <v/>
      </c>
      <c r="BB21" s="1" t="str">
        <f>IF(IFERROR(INDEX($A$9:$X$304,$AS21,COLUMNS($AV$9:BB20)),"")=0,"",IFERROR(INDEX($A$9:$X$304,$AS21,COLUMNS($AV$9:BB20)),""))</f>
        <v/>
      </c>
      <c r="BC21" s="1" t="str">
        <f>IF(IFERROR(INDEX($A$9:$X$304,$AS21,COLUMNS($AV$9:BC20)),"")=0,"",IFERROR(INDEX($A$9:$X$304,$AS21,COLUMNS($AV$9:BC20)),""))</f>
        <v>{1}: Put a human token into play expended, then target champion and all other champions with the same name gain unbreakable, untargetable, and unbanishable this turn.</v>
      </c>
      <c r="BD21" s="1" t="str">
        <f>IF(IFERROR(INDEX($A$9:$X$304,$AS21,COLUMNS($AV$9:BD20)),"")=0,"",IFERROR(INDEX($A$9:$X$304,$AS21,COLUMNS($AV$9:BD20)),""))</f>
        <v>{good} → Put a human token into play, expended.</v>
      </c>
      <c r="BE21" s="1" t="str">
        <f>IF(IFERROR(INDEX($A$9:$X$304,$AS21,COLUMNS($AV$9:BE20)),"")=0,"",IFERROR(INDEX($A$9:$X$304,$AS21,COLUMNS($AV$9:BE20)),""))</f>
        <v/>
      </c>
      <c r="BF21" s="1" t="str">
        <f>IF(IFERROR(INDEX($A$9:$X$304,$AS21,COLUMNS($AV$9:BF20)),"")=0,"",IFERROR(INDEX($A$9:$X$304,$AS21,COLUMNS($AV$9:BF20)),""))</f>
        <v/>
      </c>
      <c r="BG21" s="1" t="str">
        <f>IF(IFERROR(INDEX($A$9:$X$304,$AS21,COLUMNS($AV$9:BG20)),"")=0,"",IFERROR(INDEX($A$9:$X$304,$AS21,COLUMNS($AV$9:BG20)),""))</f>
        <v/>
      </c>
      <c r="BH21" s="1" t="str">
        <f>IF(IFERROR(INDEX($A$9:$X$304,$AS21,COLUMNS($AV$9:BH20)),"")=0,"",IFERROR(INDEX($A$9:$X$304,$AS21,COLUMNS($AV$9:BH20)),""))</f>
        <v/>
      </c>
      <c r="BI21" s="1" t="str">
        <f>IF(IFERROR(INDEX($A$9:$X$304,$AS21,COLUMNS($AV$9:BI20)),"")=0,"",IFERROR(INDEX($A$9:$X$304,$AS21,COLUMNS($AV$9:BI20)),""))</f>
        <v/>
      </c>
      <c r="BJ21" s="1" t="str">
        <f>IF(IFERROR(INDEX($A$9:$X$304,$AS21,COLUMNS($AV$9:BJ20)),"")=0,"",IFERROR(INDEX($A$9:$X$304,$AS21,COLUMNS($AV$9:BJ20)),""))</f>
        <v>Goddess</v>
      </c>
      <c r="BK21" s="1" t="str">
        <f>IF(IFERROR(INDEX($A$9:$X$304,$AS21,COLUMNS($AV$9:BK20)),"")=0,"",IFERROR(INDEX($A$9:$X$304,$AS21,COLUMNS($AV$9:BK20)),""))</f>
        <v/>
      </c>
      <c r="BL21" s="1" t="str">
        <f>IF(IFERROR(INDEX($A$9:$X$304,$AS21,COLUMNS($AV$9:BL20)),"")=0,"",IFERROR(INDEX($A$9:$X$304,$AS21,COLUMNS($AV$9:BL20)),""))</f>
        <v>David Gaillet</v>
      </c>
      <c r="BM21" s="1" t="str">
        <f>IF(IFERROR(INDEX($A$9:$X$304,$AS21,COLUMNS($AV$9:BM20)),"")=0,"",IFERROR(INDEX($A$9:$X$304,$AS21,COLUMNS($AV$9:BM20)),""))</f>
        <v>Pantheon: Angeline vs Scara</v>
      </c>
      <c r="BN21" s="3" t="b">
        <f>IF(IFERROR(INDEX($A$9:$X$304,$AS21,COLUMNS($AV$9:BN20)),"")=0,"",IFERROR(INDEX($A$9:$X$304,$AS21,COLUMNS($AV$9:BN20)),""))</f>
        <v>1</v>
      </c>
      <c r="BO21" s="3" t="b">
        <f>IF(IFERROR(INDEX($A$9:$X$304,$AS21,COLUMNS($AV$9:BO20)),"")=0,"",IFERROR(INDEX($A$9:$X$304,$AS21,COLUMNS($AV$9:BO20)),""))</f>
        <v>0</v>
      </c>
      <c r="BP21" s="3" t="b">
        <f>IF(IFERROR(INDEX($A$9:$X$304,$AS21,COLUMNS($AV$9:BP20)),"")=0,"",IFERROR(INDEX($A$9:$X$304,$AS21,COLUMNS($AV$9:BP20)),""))</f>
        <v>0</v>
      </c>
      <c r="BQ21" s="3" t="b">
        <f>IF(IFERROR(INDEX($A$9:$X$304,$AS21,COLUMNS($AV$9:BQ20)),"")=0,"",IFERROR(INDEX($A$9:$X$304,$AS21,COLUMNS($AV$9:BQ20)),""))</f>
        <v>0</v>
      </c>
      <c r="BR21" s="3" t="str">
        <f>IF(IFERROR(INDEX($A$9:$X$304,$AS21,COLUMNS($AV$9:BR20)),"")=0,"",IFERROR(INDEX($A$9:$X$304,$AS21,COLUMNS($AV$9:BR20)),""))</f>
        <v>https://www.epiccardgame.com/wp-content/uploads/2017/11/PNA-EN-01-angeline.jpg</v>
      </c>
      <c r="BS21" s="3" t="str">
        <f>IF(IFERROR(INDEX($A$9:$X$304,$AS21,COLUMNS($AV$9:BS20)),"")=0,"",IFERROR(INDEX($A$9:$X$304,$AS21,COLUMNS($AV$9:BS20)),""))</f>
        <v/>
      </c>
      <c r="BT21" s="3"/>
      <c r="BU21" s="15"/>
      <c r="BV21" t="s">
        <v>42</v>
      </c>
    </row>
    <row r="22" spans="1:74" ht="225.2" customHeight="1" x14ac:dyDescent="0.25">
      <c r="A22" t="s">
        <v>339</v>
      </c>
      <c r="B22">
        <v>0</v>
      </c>
      <c r="C22" t="s">
        <v>615</v>
      </c>
      <c r="E22" t="s">
        <v>620</v>
      </c>
      <c r="F22">
        <v>7</v>
      </c>
      <c r="G22">
        <v>7</v>
      </c>
      <c r="H22" t="s">
        <v>24</v>
      </c>
      <c r="I22" t="s">
        <v>772</v>
      </c>
      <c r="O22" t="s">
        <v>1066</v>
      </c>
      <c r="P22" t="s">
        <v>1112</v>
      </c>
      <c r="Q22" t="s">
        <v>1119</v>
      </c>
      <c r="R22" t="s">
        <v>1175</v>
      </c>
      <c r="S22" t="b">
        <v>1</v>
      </c>
      <c r="T22" t="b">
        <v>0</v>
      </c>
      <c r="U22" t="b">
        <v>0</v>
      </c>
      <c r="V22" t="b">
        <v>0</v>
      </c>
      <c r="W22" s="2" t="s">
        <v>1197</v>
      </c>
      <c r="X22" s="2"/>
      <c r="Y22" s="24">
        <v>14</v>
      </c>
      <c r="Z22">
        <f t="shared" si="0"/>
        <v>14</v>
      </c>
      <c r="AA22">
        <f t="shared" si="1"/>
        <v>14</v>
      </c>
      <c r="AB22">
        <f t="shared" si="2"/>
        <v>14</v>
      </c>
      <c r="AC22">
        <f t="shared" si="3"/>
        <v>0</v>
      </c>
      <c r="AD22">
        <f t="shared" si="4"/>
        <v>14</v>
      </c>
      <c r="AE22">
        <f t="shared" si="5"/>
        <v>14</v>
      </c>
      <c r="AF22">
        <f t="shared" si="6"/>
        <v>14</v>
      </c>
      <c r="AG22">
        <f t="shared" si="7"/>
        <v>14</v>
      </c>
      <c r="AH22">
        <f t="shared" si="8"/>
        <v>14</v>
      </c>
      <c r="AI22">
        <f t="shared" si="9"/>
        <v>0</v>
      </c>
      <c r="AJ22">
        <f t="shared" si="10"/>
        <v>0</v>
      </c>
      <c r="AK22">
        <f t="shared" si="11"/>
        <v>0</v>
      </c>
      <c r="AL22">
        <f t="shared" si="12"/>
        <v>0</v>
      </c>
      <c r="AM22">
        <f t="shared" si="13"/>
        <v>0</v>
      </c>
      <c r="AN22">
        <f t="shared" si="14"/>
        <v>14</v>
      </c>
      <c r="AO22">
        <f t="shared" si="15"/>
        <v>14</v>
      </c>
      <c r="AP22">
        <f t="shared" si="16"/>
        <v>14</v>
      </c>
      <c r="AQ22">
        <f t="shared" si="17"/>
        <v>14</v>
      </c>
      <c r="AR22" s="6">
        <f t="shared" si="18"/>
        <v>14</v>
      </c>
      <c r="AS22">
        <f t="shared" si="19"/>
        <v>14</v>
      </c>
      <c r="AV22" s="1" t="str">
        <f>IF(IFERROR(INDEX($A$9:$W$304,$AS22,COLUMNS($AV$9:AV21)),"")=0,"",IFERROR(INDEX($A$9:$W$304,$AS22,COLUMNS($AV$9:AV21)),""))</f>
        <v>Ankylosaurus</v>
      </c>
      <c r="AW22" s="1">
        <f>IFERROR(INDEX($A$9:$W$304,$AS22,COLUMNS($AV$9:AW21)),"")</f>
        <v>0</v>
      </c>
      <c r="AX22" s="1" t="str">
        <f>IF(IFERROR(INDEX($A$9:$X$304,$AS22,COLUMNS($AV$9:AX21)),"")=0,"",IFERROR(INDEX($A$9:$X$304,$AS22,COLUMNS($AV$9:AX21)),""))</f>
        <v>WILD</v>
      </c>
      <c r="AY22" s="1" t="str">
        <f>IF(IFERROR(INDEX($A$9:$X$304,$AS22,COLUMNS($AV$9:AY21)),"")=0,"",IFERROR(INDEX($A$9:$X$304,$AS22,COLUMNS($AV$9:AY21)),""))</f>
        <v/>
      </c>
      <c r="AZ22" s="1" t="str">
        <f>IF(IFERROR(INDEX($A$9:$X$304,$AS22,COLUMNS($AV$9:AZ21)),"")=0,"",IFERROR(INDEX($A$9:$X$304,$AS22,COLUMNS($AV$9:AZ21)),""))</f>
        <v>CHAMPION</v>
      </c>
      <c r="BA22" s="1">
        <f>IF(IFERROR(INDEX($A$9:$X$304,$AS22,COLUMNS($AV$9:BA21)),"")=0,"",IFERROR(INDEX($A$9:$X$304,$AS22,COLUMNS($AV$9:BA21)),""))</f>
        <v>7</v>
      </c>
      <c r="BB22" s="1">
        <f>IF(IFERROR(INDEX($A$9:$X$304,$AS22,COLUMNS($AV$9:BB21)),"")=0,"",IFERROR(INDEX($A$9:$X$304,$AS22,COLUMNS($AV$9:BB21)),""))</f>
        <v>7</v>
      </c>
      <c r="BC22" s="1" t="str">
        <f>IF(IFERROR(INDEX($A$9:$X$304,$AS22,COLUMNS($AV$9:BC21)),"")=0,"",IFERROR(INDEX($A$9:$X$304,$AS22,COLUMNS($AV$9:BC21)),""))</f>
        <v>Breakthrough</v>
      </c>
      <c r="BD22" s="1" t="str">
        <f>IF(IFERROR(INDEX($A$9:$X$304,$AS22,COLUMNS($AV$9:BD21)),"")=0,"",IFERROR(INDEX($A$9:$X$304,$AS22,COLUMNS($AV$9:BD21)),""))</f>
        <v>Tribute → You may pay {1}. If you do, draw a card.</v>
      </c>
      <c r="BE22" s="1" t="str">
        <f>IF(IFERROR(INDEX($A$9:$X$304,$AS22,COLUMNS($AV$9:BE21)),"")=0,"",IFERROR(INDEX($A$9:$X$304,$AS22,COLUMNS($AV$9:BE21)),""))</f>
        <v/>
      </c>
      <c r="BF22" s="1" t="str">
        <f>IF(IFERROR(INDEX($A$9:$X$304,$AS22,COLUMNS($AV$9:BF21)),"")=0,"",IFERROR(INDEX($A$9:$X$304,$AS22,COLUMNS($AV$9:BF21)),""))</f>
        <v/>
      </c>
      <c r="BG22" s="1" t="str">
        <f>IF(IFERROR(INDEX($A$9:$X$304,$AS22,COLUMNS($AV$9:BG21)),"")=0,"",IFERROR(INDEX($A$9:$X$304,$AS22,COLUMNS($AV$9:BG21)),""))</f>
        <v/>
      </c>
      <c r="BH22" s="1" t="str">
        <f>IF(IFERROR(INDEX($A$9:$X$304,$AS22,COLUMNS($AV$9:BH21)),"")=0,"",IFERROR(INDEX($A$9:$X$304,$AS22,COLUMNS($AV$9:BH21)),""))</f>
        <v/>
      </c>
      <c r="BI22" s="1" t="str">
        <f>IF(IFERROR(INDEX($A$9:$X$304,$AS22,COLUMNS($AV$9:BI21)),"")=0,"",IFERROR(INDEX($A$9:$X$304,$AS22,COLUMNS($AV$9:BI21)),""))</f>
        <v/>
      </c>
      <c r="BJ22" s="1" t="str">
        <f>IF(IFERROR(INDEX($A$9:$X$304,$AS22,COLUMNS($AV$9:BJ21)),"")=0,"",IFERROR(INDEX($A$9:$X$304,$AS22,COLUMNS($AV$9:BJ21)),""))</f>
        <v>DINOSAUR</v>
      </c>
      <c r="BK22" s="1" t="str">
        <f>IF(IFERROR(INDEX($A$9:$X$304,$AS22,COLUMNS($AV$9:BK21)),"")=0,"",IFERROR(INDEX($A$9:$X$304,$AS22,COLUMNS($AV$9:BK21)),""))</f>
        <v>Common</v>
      </c>
      <c r="BL22" s="1" t="str">
        <f>IF(IFERROR(INDEX($A$9:$X$304,$AS22,COLUMNS($AV$9:BL21)),"")=0,"",IFERROR(INDEX($A$9:$X$304,$AS22,COLUMNS($AV$9:BL21)),""))</f>
        <v>Sarah McCulloch</v>
      </c>
      <c r="BM22" s="1" t="str">
        <f>IF(IFERROR(INDEX($A$9:$X$304,$AS22,COLUMNS($AV$9:BM21)),"")=0,"",IFERROR(INDEX($A$9:$X$304,$AS22,COLUMNS($AV$9:BM21)),""))</f>
        <v>Tyrants: Helion's Deceit</v>
      </c>
      <c r="BN22" s="3" t="b">
        <f>IF(IFERROR(INDEX($A$9:$X$304,$AS22,COLUMNS($AV$9:BN21)),"")=0,"",IFERROR(INDEX($A$9:$X$304,$AS22,COLUMNS($AV$9:BN21)),""))</f>
        <v>1</v>
      </c>
      <c r="BO22" s="3" t="b">
        <f>IF(IFERROR(INDEX($A$9:$X$304,$AS22,COLUMNS($AV$9:BO21)),"")=0,"",IFERROR(INDEX($A$9:$X$304,$AS22,COLUMNS($AV$9:BO21)),""))</f>
        <v>0</v>
      </c>
      <c r="BP22" s="3" t="b">
        <f>IF(IFERROR(INDEX($A$9:$X$304,$AS22,COLUMNS($AV$9:BP21)),"")=0,"",IFERROR(INDEX($A$9:$X$304,$AS22,COLUMNS($AV$9:BP21)),""))</f>
        <v>0</v>
      </c>
      <c r="BQ22" s="3" t="b">
        <f>IF(IFERROR(INDEX($A$9:$X$304,$AS22,COLUMNS($AV$9:BQ21)),"")=0,"",IFERROR(INDEX($A$9:$X$304,$AS22,COLUMNS($AV$9:BQ21)),""))</f>
        <v>0</v>
      </c>
      <c r="BR22" s="3" t="str">
        <f>IF(IFERROR(INDEX($A$9:$X$304,$AS22,COLUMNS($AV$9:BR21)),"")=0,"",IFERROR(INDEX($A$9:$X$304,$AS22,COLUMNS($AV$9:BR21)),""))</f>
        <v>http://www.epiccardgame.com/wp-content/uploads/2016/03/ankylosaurus-214x300.jpg</v>
      </c>
      <c r="BS22" s="3" t="str">
        <f>IF(IFERROR(INDEX($A$9:$X$304,$AS22,COLUMNS($AV$9:BS21)),"")=0,"",IFERROR(INDEX($A$9:$X$304,$AS22,COLUMNS($AV$9:BS21)),""))</f>
        <v/>
      </c>
      <c r="BT22" s="3"/>
      <c r="BU22" s="15"/>
      <c r="BV22" t="s">
        <v>43</v>
      </c>
    </row>
    <row r="23" spans="1:74" ht="225" customHeight="1" x14ac:dyDescent="0.25">
      <c r="A23" t="s">
        <v>340</v>
      </c>
      <c r="B23">
        <v>1</v>
      </c>
      <c r="C23" t="s">
        <v>618</v>
      </c>
      <c r="E23" t="s">
        <v>619</v>
      </c>
      <c r="H23" t="s">
        <v>627</v>
      </c>
      <c r="I23" t="s">
        <v>773</v>
      </c>
      <c r="O23" t="s">
        <v>1062</v>
      </c>
      <c r="P23" t="s">
        <v>1112</v>
      </c>
      <c r="Q23" t="s">
        <v>1124</v>
      </c>
      <c r="R23" t="s">
        <v>1171</v>
      </c>
      <c r="S23" t="b">
        <v>1</v>
      </c>
      <c r="T23" t="b">
        <v>1</v>
      </c>
      <c r="U23" t="b">
        <v>0</v>
      </c>
      <c r="V23" t="b">
        <v>0</v>
      </c>
      <c r="W23" s="2" t="s">
        <v>1198</v>
      </c>
      <c r="X23" s="2"/>
      <c r="Y23" s="24">
        <v>15</v>
      </c>
      <c r="Z23">
        <f t="shared" si="0"/>
        <v>15</v>
      </c>
      <c r="AA23">
        <f t="shared" si="1"/>
        <v>15</v>
      </c>
      <c r="AB23">
        <f t="shared" si="2"/>
        <v>15</v>
      </c>
      <c r="AC23">
        <f t="shared" si="3"/>
        <v>0</v>
      </c>
      <c r="AD23">
        <f t="shared" si="4"/>
        <v>15</v>
      </c>
      <c r="AE23">
        <f t="shared" si="5"/>
        <v>0</v>
      </c>
      <c r="AF23">
        <f t="shared" si="6"/>
        <v>0</v>
      </c>
      <c r="AG23">
        <f t="shared" si="7"/>
        <v>15</v>
      </c>
      <c r="AH23">
        <f t="shared" si="8"/>
        <v>15</v>
      </c>
      <c r="AI23">
        <f t="shared" si="9"/>
        <v>0</v>
      </c>
      <c r="AJ23">
        <f t="shared" si="10"/>
        <v>0</v>
      </c>
      <c r="AK23">
        <f t="shared" si="11"/>
        <v>0</v>
      </c>
      <c r="AL23">
        <f t="shared" si="12"/>
        <v>0</v>
      </c>
      <c r="AM23">
        <f t="shared" si="13"/>
        <v>0</v>
      </c>
      <c r="AN23">
        <f t="shared" si="14"/>
        <v>15</v>
      </c>
      <c r="AO23">
        <f t="shared" si="15"/>
        <v>15</v>
      </c>
      <c r="AP23">
        <f t="shared" si="16"/>
        <v>15</v>
      </c>
      <c r="AQ23">
        <f t="shared" si="17"/>
        <v>15</v>
      </c>
      <c r="AR23" s="6">
        <f t="shared" si="18"/>
        <v>15</v>
      </c>
      <c r="AS23">
        <f t="shared" si="19"/>
        <v>15</v>
      </c>
      <c r="AV23" s="1" t="str">
        <f>IF(IFERROR(INDEX($A$9:$W$304,$AS23,COLUMNS($AV$9:AV22)),"")=0,"",IFERROR(INDEX($A$9:$W$304,$AS23,COLUMNS($AV$9:AV22)),""))</f>
        <v>Apocalypse</v>
      </c>
      <c r="AW23" s="1">
        <f>IFERROR(INDEX($A$9:$W$304,$AS23,COLUMNS($AV$9:AW22)),"")</f>
        <v>1</v>
      </c>
      <c r="AX23" s="1" t="str">
        <f>IF(IFERROR(INDEX($A$9:$X$304,$AS23,COLUMNS($AV$9:AX22)),"")=0,"",IFERROR(INDEX($A$9:$X$304,$AS23,COLUMNS($AV$9:AX22)),""))</f>
        <v>EVIL</v>
      </c>
      <c r="AY23" s="1" t="str">
        <f>IF(IFERROR(INDEX($A$9:$X$304,$AS23,COLUMNS($AV$9:AY22)),"")=0,"",IFERROR(INDEX($A$9:$X$304,$AS23,COLUMNS($AV$9:AY22)),""))</f>
        <v/>
      </c>
      <c r="AZ23" s="1" t="str">
        <f>IF(IFERROR(INDEX($A$9:$X$304,$AS23,COLUMNS($AV$9:AZ22)),"")=0,"",IFERROR(INDEX($A$9:$X$304,$AS23,COLUMNS($AV$9:AZ22)),""))</f>
        <v>EVENT</v>
      </c>
      <c r="BA23" s="1" t="str">
        <f>IF(IFERROR(INDEX($A$9:$X$304,$AS23,COLUMNS($AV$9:BA22)),"")=0,"",IFERROR(INDEX($A$9:$X$304,$AS23,COLUMNS($AV$9:BA22)),""))</f>
        <v/>
      </c>
      <c r="BB23" s="1" t="str">
        <f>IF(IFERROR(INDEX($A$9:$X$304,$AS23,COLUMNS($AV$9:BB22)),"")=0,"",IFERROR(INDEX($A$9:$X$304,$AS23,COLUMNS($AV$9:BB22)),""))</f>
        <v/>
      </c>
      <c r="BC23" s="1" t="str">
        <f>IF(IFERROR(INDEX($A$9:$X$304,$AS23,COLUMNS($AV$9:BC22)),"")=0,"",IFERROR(INDEX($A$9:$X$304,$AS23,COLUMNS($AV$9:BC22)),""))</f>
        <v>Draw two cards.</v>
      </c>
      <c r="BD23" s="1" t="str">
        <f>IF(IFERROR(INDEX($A$9:$X$304,$AS23,COLUMNS($AV$9:BD22)),"")=0,"",IFERROR(INDEX($A$9:$X$304,$AS23,COLUMNS($AV$9:BD22)),""))</f>
        <v>If it is your turn, break all champions.</v>
      </c>
      <c r="BE23" s="1" t="str">
        <f>IF(IFERROR(INDEX($A$9:$X$304,$AS23,COLUMNS($AV$9:BE22)),"")=0,"",IFERROR(INDEX($A$9:$X$304,$AS23,COLUMNS($AV$9:BE22)),""))</f>
        <v/>
      </c>
      <c r="BF23" s="1" t="str">
        <f>IF(IFERROR(INDEX($A$9:$X$304,$AS23,COLUMNS($AV$9:BF22)),"")=0,"",IFERROR(INDEX($A$9:$X$304,$AS23,COLUMNS($AV$9:BF22)),""))</f>
        <v/>
      </c>
      <c r="BG23" s="1" t="str">
        <f>IF(IFERROR(INDEX($A$9:$X$304,$AS23,COLUMNS($AV$9:BG22)),"")=0,"",IFERROR(INDEX($A$9:$X$304,$AS23,COLUMNS($AV$9:BG22)),""))</f>
        <v/>
      </c>
      <c r="BH23" s="1" t="str">
        <f>IF(IFERROR(INDEX($A$9:$X$304,$AS23,COLUMNS($AV$9:BH22)),"")=0,"",IFERROR(INDEX($A$9:$X$304,$AS23,COLUMNS($AV$9:BH22)),""))</f>
        <v/>
      </c>
      <c r="BI23" s="1" t="str">
        <f>IF(IFERROR(INDEX($A$9:$X$304,$AS23,COLUMNS($AV$9:BI22)),"")=0,"",IFERROR(INDEX($A$9:$X$304,$AS23,COLUMNS($AV$9:BI22)),""))</f>
        <v/>
      </c>
      <c r="BJ23" s="1" t="str">
        <f>IF(IFERROR(INDEX($A$9:$X$304,$AS23,COLUMNS($AV$9:BJ22)),"")=0,"",IFERROR(INDEX($A$9:$X$304,$AS23,COLUMNS($AV$9:BJ22)),""))</f>
        <v>None</v>
      </c>
      <c r="BK23" s="1" t="str">
        <f>IF(IFERROR(INDEX($A$9:$X$304,$AS23,COLUMNS($AV$9:BK22)),"")=0,"",IFERROR(INDEX($A$9:$X$304,$AS23,COLUMNS($AV$9:BK22)),""))</f>
        <v>Common</v>
      </c>
      <c r="BL23" s="1" t="str">
        <f>IF(IFERROR(INDEX($A$9:$X$304,$AS23,COLUMNS($AV$9:BL22)),"")=0,"",IFERROR(INDEX($A$9:$X$304,$AS23,COLUMNS($AV$9:BL22)),""))</f>
        <v>Souveraine</v>
      </c>
      <c r="BM23" s="1" t="str">
        <f>IF(IFERROR(INDEX($A$9:$X$304,$AS23,COLUMNS($AV$9:BM22)),"")=0,"",IFERROR(INDEX($A$9:$X$304,$AS23,COLUMNS($AV$9:BM22)),""))</f>
        <v>Base Set</v>
      </c>
      <c r="BN23" s="3" t="b">
        <f>IF(IFERROR(INDEX($A$9:$X$304,$AS23,COLUMNS($AV$9:BN22)),"")=0,"",IFERROR(INDEX($A$9:$X$304,$AS23,COLUMNS($AV$9:BN22)),""))</f>
        <v>1</v>
      </c>
      <c r="BO23" s="3" t="b">
        <f>IF(IFERROR(INDEX($A$9:$X$304,$AS23,COLUMNS($AV$9:BO22)),"")=0,"",IFERROR(INDEX($A$9:$X$304,$AS23,COLUMNS($AV$9:BO22)),""))</f>
        <v>1</v>
      </c>
      <c r="BP23" s="3" t="b">
        <f>IF(IFERROR(INDEX($A$9:$X$304,$AS23,COLUMNS($AV$9:BP22)),"")=0,"",IFERROR(INDEX($A$9:$X$304,$AS23,COLUMNS($AV$9:BP22)),""))</f>
        <v>0</v>
      </c>
      <c r="BQ23" s="3" t="b">
        <f>IF(IFERROR(INDEX($A$9:$X$304,$AS23,COLUMNS($AV$9:BQ22)),"")=0,"",IFERROR(INDEX($A$9:$X$304,$AS23,COLUMNS($AV$9:BQ22)),""))</f>
        <v>0</v>
      </c>
      <c r="BR23" s="3" t="str">
        <f>IF(IFERROR(INDEX($A$9:$X$304,$AS23,COLUMNS($AV$9:BR22)),"")=0,"",IFERROR(INDEX($A$9:$X$304,$AS23,COLUMNS($AV$9:BR22)),""))</f>
        <v>http://www.epiccardgame.com/wp-content/uploads/2015/09/apocalypse-215x300.jpg</v>
      </c>
      <c r="BS23" s="3" t="str">
        <f>IF(IFERROR(INDEX($A$9:$X$304,$AS23,COLUMNS($AV$9:BS22)),"")=0,"",IFERROR(INDEX($A$9:$X$304,$AS23,COLUMNS($AV$9:BS22)),""))</f>
        <v/>
      </c>
      <c r="BT23" s="3"/>
      <c r="BU23" s="15"/>
      <c r="BV23" t="s">
        <v>44</v>
      </c>
    </row>
    <row r="24" spans="1:74" ht="225" customHeight="1" x14ac:dyDescent="0.25">
      <c r="A24" t="s">
        <v>341</v>
      </c>
      <c r="B24">
        <v>0</v>
      </c>
      <c r="C24" t="s">
        <v>616</v>
      </c>
      <c r="E24" t="s">
        <v>619</v>
      </c>
      <c r="H24" t="s">
        <v>632</v>
      </c>
      <c r="I24" t="s">
        <v>774</v>
      </c>
      <c r="O24" t="s">
        <v>1062</v>
      </c>
      <c r="P24" t="s">
        <v>1113</v>
      </c>
      <c r="Q24" t="s">
        <v>1125</v>
      </c>
      <c r="R24" t="s">
        <v>1176</v>
      </c>
      <c r="S24" t="b">
        <v>0</v>
      </c>
      <c r="T24" t="b">
        <v>0</v>
      </c>
      <c r="U24" t="b">
        <v>0</v>
      </c>
      <c r="V24" t="b">
        <v>0</v>
      </c>
      <c r="W24" s="2" t="s">
        <v>1199</v>
      </c>
      <c r="X24" s="2"/>
      <c r="Y24" s="24">
        <v>16</v>
      </c>
      <c r="Z24">
        <f t="shared" si="0"/>
        <v>16</v>
      </c>
      <c r="AA24">
        <f t="shared" si="1"/>
        <v>16</v>
      </c>
      <c r="AB24">
        <f t="shared" si="2"/>
        <v>16</v>
      </c>
      <c r="AC24">
        <f t="shared" si="3"/>
        <v>0</v>
      </c>
      <c r="AD24">
        <f t="shared" si="4"/>
        <v>16</v>
      </c>
      <c r="AE24">
        <f t="shared" si="5"/>
        <v>0</v>
      </c>
      <c r="AF24">
        <f t="shared" si="6"/>
        <v>0</v>
      </c>
      <c r="AG24">
        <f t="shared" si="7"/>
        <v>16</v>
      </c>
      <c r="AH24">
        <f t="shared" si="8"/>
        <v>16</v>
      </c>
      <c r="AI24">
        <f t="shared" si="9"/>
        <v>0</v>
      </c>
      <c r="AJ24">
        <f t="shared" si="10"/>
        <v>0</v>
      </c>
      <c r="AK24">
        <f t="shared" si="11"/>
        <v>0</v>
      </c>
      <c r="AL24">
        <f t="shared" si="12"/>
        <v>0</v>
      </c>
      <c r="AM24">
        <f t="shared" si="13"/>
        <v>0</v>
      </c>
      <c r="AN24">
        <f t="shared" si="14"/>
        <v>16</v>
      </c>
      <c r="AO24">
        <f t="shared" si="15"/>
        <v>16</v>
      </c>
      <c r="AP24">
        <f t="shared" si="16"/>
        <v>16</v>
      </c>
      <c r="AQ24">
        <f t="shared" si="17"/>
        <v>16</v>
      </c>
      <c r="AR24" s="6">
        <f t="shared" si="18"/>
        <v>16</v>
      </c>
      <c r="AS24">
        <f t="shared" si="19"/>
        <v>16</v>
      </c>
      <c r="AV24" s="1" t="str">
        <f>IF(IFERROR(INDEX($A$9:$W$304,$AS24,COLUMNS($AV$9:AV23)),"")=0,"",IFERROR(INDEX($A$9:$W$304,$AS24,COLUMNS($AV$9:AV23)),""))</f>
        <v>Arcane Research</v>
      </c>
      <c r="AW24" s="1">
        <f>IFERROR(INDEX($A$9:$W$304,$AS24,COLUMNS($AV$9:AW23)),"")</f>
        <v>0</v>
      </c>
      <c r="AX24" s="1" t="str">
        <f>IF(IFERROR(INDEX($A$9:$X$304,$AS24,COLUMNS($AV$9:AX23)),"")=0,"",IFERROR(INDEX($A$9:$X$304,$AS24,COLUMNS($AV$9:AX23)),""))</f>
        <v>SAGE</v>
      </c>
      <c r="AY24" s="1" t="str">
        <f>IF(IFERROR(INDEX($A$9:$X$304,$AS24,COLUMNS($AV$9:AY23)),"")=0,"",IFERROR(INDEX($A$9:$X$304,$AS24,COLUMNS($AV$9:AY23)),""))</f>
        <v/>
      </c>
      <c r="AZ24" s="1" t="str">
        <f>IF(IFERROR(INDEX($A$9:$X$304,$AS24,COLUMNS($AV$9:AZ23)),"")=0,"",IFERROR(INDEX($A$9:$X$304,$AS24,COLUMNS($AV$9:AZ23)),""))</f>
        <v>EVENT</v>
      </c>
      <c r="BA24" s="1" t="str">
        <f>IF(IFERROR(INDEX($A$9:$X$304,$AS24,COLUMNS($AV$9:BA23)),"")=0,"",IFERROR(INDEX($A$9:$X$304,$AS24,COLUMNS($AV$9:BA23)),""))</f>
        <v/>
      </c>
      <c r="BB24" s="1" t="str">
        <f>IF(IFERROR(INDEX($A$9:$X$304,$AS24,COLUMNS($AV$9:BB23)),"")=0,"",IFERROR(INDEX($A$9:$X$304,$AS24,COLUMNS($AV$9:BB23)),""))</f>
        <v/>
      </c>
      <c r="BC24" s="1" t="str">
        <f>IF(IFERROR(INDEX($A$9:$X$304,$AS24,COLUMNS($AV$9:BC23)),"")=0,"",IFERROR(INDEX($A$9:$X$304,$AS24,COLUMNS($AV$9:BC23)),""))</f>
        <v>Banish this card and any number of cards from your discard pile.</v>
      </c>
      <c r="BD24" s="1" t="str">
        <f>IF(IFERROR(INDEX($A$9:$X$304,$AS24,COLUMNS($AV$9:BD23)),"")=0,"",IFERROR(INDEX($A$9:$X$304,$AS24,COLUMNS($AV$9:BD23)),""))</f>
        <v>For each card banished this way, reveal a card from the top of your deck. Put one of them into your hand and banish the rest.</v>
      </c>
      <c r="BE24" s="1" t="str">
        <f>IF(IFERROR(INDEX($A$9:$X$304,$AS24,COLUMNS($AV$9:BE23)),"")=0,"",IFERROR(INDEX($A$9:$X$304,$AS24,COLUMNS($AV$9:BE23)),""))</f>
        <v/>
      </c>
      <c r="BF24" s="1" t="str">
        <f>IF(IFERROR(INDEX($A$9:$X$304,$AS24,COLUMNS($AV$9:BF23)),"")=0,"",IFERROR(INDEX($A$9:$X$304,$AS24,COLUMNS($AV$9:BF23)),""))</f>
        <v/>
      </c>
      <c r="BG24" s="1" t="str">
        <f>IF(IFERROR(INDEX($A$9:$X$304,$AS24,COLUMNS($AV$9:BG23)),"")=0,"",IFERROR(INDEX($A$9:$X$304,$AS24,COLUMNS($AV$9:BG23)),""))</f>
        <v/>
      </c>
      <c r="BH24" s="1" t="str">
        <f>IF(IFERROR(INDEX($A$9:$X$304,$AS24,COLUMNS($AV$9:BH23)),"")=0,"",IFERROR(INDEX($A$9:$X$304,$AS24,COLUMNS($AV$9:BH23)),""))</f>
        <v/>
      </c>
      <c r="BI24" s="1" t="str">
        <f>IF(IFERROR(INDEX($A$9:$X$304,$AS24,COLUMNS($AV$9:BI23)),"")=0,"",IFERROR(INDEX($A$9:$X$304,$AS24,COLUMNS($AV$9:BI23)),""))</f>
        <v/>
      </c>
      <c r="BJ24" s="1" t="str">
        <f>IF(IFERROR(INDEX($A$9:$X$304,$AS24,COLUMNS($AV$9:BJ23)),"")=0,"",IFERROR(INDEX($A$9:$X$304,$AS24,COLUMNS($AV$9:BJ23)),""))</f>
        <v>None</v>
      </c>
      <c r="BK24" s="1" t="str">
        <f>IF(IFERROR(INDEX($A$9:$X$304,$AS24,COLUMNS($AV$9:BK23)),"")=0,"",IFERROR(INDEX($A$9:$X$304,$AS24,COLUMNS($AV$9:BK23)),""))</f>
        <v>Rare</v>
      </c>
      <c r="BL24" s="1" t="str">
        <f>IF(IFERROR(INDEX($A$9:$X$304,$AS24,COLUMNS($AV$9:BL23)),"")=0,"",IFERROR(INDEX($A$9:$X$304,$AS24,COLUMNS($AV$9:BL23)),""))</f>
        <v>Grant Griffin</v>
      </c>
      <c r="BM24" s="1" t="str">
        <f>IF(IFERROR(INDEX($A$9:$X$304,$AS24,COLUMNS($AV$9:BM23)),"")=0,"",IFERROR(INDEX($A$9:$X$304,$AS24,COLUMNS($AV$9:BM23)),""))</f>
        <v>Tyrants: Markus' Command</v>
      </c>
      <c r="BN24" s="3" t="b">
        <f>IF(IFERROR(INDEX($A$9:$X$304,$AS24,COLUMNS($AV$9:BN23)),"")=0,"",IFERROR(INDEX($A$9:$X$304,$AS24,COLUMNS($AV$9:BN23)),""))</f>
        <v>0</v>
      </c>
      <c r="BO24" s="3" t="b">
        <f>IF(IFERROR(INDEX($A$9:$X$304,$AS24,COLUMNS($AV$9:BO23)),"")=0,"",IFERROR(INDEX($A$9:$X$304,$AS24,COLUMNS($AV$9:BO23)),""))</f>
        <v>0</v>
      </c>
      <c r="BP24" s="3" t="b">
        <f>IF(IFERROR(INDEX($A$9:$X$304,$AS24,COLUMNS($AV$9:BP23)),"")=0,"",IFERROR(INDEX($A$9:$X$304,$AS24,COLUMNS($AV$9:BP23)),""))</f>
        <v>0</v>
      </c>
      <c r="BQ24" s="3" t="b">
        <f>IF(IFERROR(INDEX($A$9:$X$304,$AS24,COLUMNS($AV$9:BQ23)),"")=0,"",IFERROR(INDEX($A$9:$X$304,$AS24,COLUMNS($AV$9:BQ23)),""))</f>
        <v>0</v>
      </c>
      <c r="BR24" s="3" t="str">
        <f>IF(IFERROR(INDEX($A$9:$X$304,$AS24,COLUMNS($AV$9:BR23)),"")=0,"",IFERROR(INDEX($A$9:$X$304,$AS24,COLUMNS($AV$9:BR23)),""))</f>
        <v>http://www.epiccardgame.com/wp-content/uploads/2016/03/arcane_research-214x300.jpg</v>
      </c>
      <c r="BS24" s="3" t="str">
        <f>IF(IFERROR(INDEX($A$9:$X$304,$AS24,COLUMNS($AV$9:BS23)),"")=0,"",IFERROR(INDEX($A$9:$X$304,$AS24,COLUMNS($AV$9:BS23)),""))</f>
        <v/>
      </c>
      <c r="BT24" s="3"/>
      <c r="BU24" s="15"/>
      <c r="BV24" t="s">
        <v>45</v>
      </c>
    </row>
    <row r="25" spans="1:74" ht="225" customHeight="1" x14ac:dyDescent="0.25">
      <c r="A25" t="s">
        <v>342</v>
      </c>
      <c r="B25">
        <v>1</v>
      </c>
      <c r="C25" t="s">
        <v>618</v>
      </c>
      <c r="E25" t="s">
        <v>619</v>
      </c>
      <c r="H25" t="s">
        <v>627</v>
      </c>
      <c r="I25" t="s">
        <v>775</v>
      </c>
      <c r="O25" t="s">
        <v>1062</v>
      </c>
      <c r="P25" t="s">
        <v>1113</v>
      </c>
      <c r="Q25" t="s">
        <v>1114</v>
      </c>
      <c r="R25" t="s">
        <v>1171</v>
      </c>
      <c r="S25" t="b">
        <v>1</v>
      </c>
      <c r="T25" t="b">
        <v>1</v>
      </c>
      <c r="U25" t="b">
        <v>0</v>
      </c>
      <c r="V25" t="b">
        <v>0</v>
      </c>
      <c r="W25" s="2" t="s">
        <v>1200</v>
      </c>
      <c r="X25" s="2"/>
      <c r="Y25" s="24">
        <v>17</v>
      </c>
      <c r="Z25">
        <f t="shared" si="0"/>
        <v>17</v>
      </c>
      <c r="AA25">
        <f t="shared" si="1"/>
        <v>17</v>
      </c>
      <c r="AB25">
        <f t="shared" si="2"/>
        <v>17</v>
      </c>
      <c r="AC25">
        <f t="shared" si="3"/>
        <v>0</v>
      </c>
      <c r="AD25">
        <f t="shared" si="4"/>
        <v>17</v>
      </c>
      <c r="AE25">
        <f t="shared" si="5"/>
        <v>0</v>
      </c>
      <c r="AF25">
        <f t="shared" si="6"/>
        <v>0</v>
      </c>
      <c r="AG25">
        <f t="shared" si="7"/>
        <v>17</v>
      </c>
      <c r="AH25">
        <f t="shared" si="8"/>
        <v>17</v>
      </c>
      <c r="AI25">
        <f t="shared" si="9"/>
        <v>0</v>
      </c>
      <c r="AJ25">
        <f t="shared" si="10"/>
        <v>0</v>
      </c>
      <c r="AK25">
        <f t="shared" si="11"/>
        <v>0</v>
      </c>
      <c r="AL25">
        <f t="shared" si="12"/>
        <v>0</v>
      </c>
      <c r="AM25">
        <f t="shared" si="13"/>
        <v>0</v>
      </c>
      <c r="AN25">
        <f t="shared" si="14"/>
        <v>17</v>
      </c>
      <c r="AO25">
        <f t="shared" si="15"/>
        <v>17</v>
      </c>
      <c r="AP25">
        <f t="shared" si="16"/>
        <v>17</v>
      </c>
      <c r="AQ25">
        <f t="shared" si="17"/>
        <v>17</v>
      </c>
      <c r="AR25" s="6">
        <f t="shared" si="18"/>
        <v>17</v>
      </c>
      <c r="AS25">
        <f t="shared" si="19"/>
        <v>17</v>
      </c>
      <c r="AV25" s="1" t="str">
        <f>IF(IFERROR(INDEX($A$9:$W$304,$AS25,COLUMNS($AV$9:AV24)),"")=0,"",IFERROR(INDEX($A$9:$W$304,$AS25,COLUMNS($AV$9:AV24)),""))</f>
        <v>Army of the Apocalypse</v>
      </c>
      <c r="AW25" s="1">
        <f>IFERROR(INDEX($A$9:$W$304,$AS25,COLUMNS($AV$9:AW24)),"")</f>
        <v>1</v>
      </c>
      <c r="AX25" s="1" t="str">
        <f>IF(IFERROR(INDEX($A$9:$X$304,$AS25,COLUMNS($AV$9:AX24)),"")=0,"",IFERROR(INDEX($A$9:$X$304,$AS25,COLUMNS($AV$9:AX24)),""))</f>
        <v>EVIL</v>
      </c>
      <c r="AY25" s="1" t="str">
        <f>IF(IFERROR(INDEX($A$9:$X$304,$AS25,COLUMNS($AV$9:AY24)),"")=0,"",IFERROR(INDEX($A$9:$X$304,$AS25,COLUMNS($AV$9:AY24)),""))</f>
        <v/>
      </c>
      <c r="AZ25" s="1" t="str">
        <f>IF(IFERROR(INDEX($A$9:$X$304,$AS25,COLUMNS($AV$9:AZ24)),"")=0,"",IFERROR(INDEX($A$9:$X$304,$AS25,COLUMNS($AV$9:AZ24)),""))</f>
        <v>EVENT</v>
      </c>
      <c r="BA25" s="1" t="str">
        <f>IF(IFERROR(INDEX($A$9:$X$304,$AS25,COLUMNS($AV$9:BA24)),"")=0,"",IFERROR(INDEX($A$9:$X$304,$AS25,COLUMNS($AV$9:BA24)),""))</f>
        <v/>
      </c>
      <c r="BB25" s="1" t="str">
        <f>IF(IFERROR(INDEX($A$9:$X$304,$AS25,COLUMNS($AV$9:BB24)),"")=0,"",IFERROR(INDEX($A$9:$X$304,$AS25,COLUMNS($AV$9:BB24)),""))</f>
        <v/>
      </c>
      <c r="BC25" s="1" t="str">
        <f>IF(IFERROR(INDEX($A$9:$X$304,$AS25,COLUMNS($AV$9:BC24)),"")=0,"",IFERROR(INDEX($A$9:$X$304,$AS25,COLUMNS($AV$9:BC24)),""))</f>
        <v>Draw two cards.</v>
      </c>
      <c r="BD25" s="1" t="str">
        <f>IF(IFERROR(INDEX($A$9:$X$304,$AS25,COLUMNS($AV$9:BD24)),"")=0,"",IFERROR(INDEX($A$9:$X$304,$AS25,COLUMNS($AV$9:BD24)),""))</f>
        <v>If it is your turn, each player returns all champions in their discard pile to play without triggering loyalty or tribute abilities.</v>
      </c>
      <c r="BE25" s="1" t="str">
        <f>IF(IFERROR(INDEX($A$9:$X$304,$AS25,COLUMNS($AV$9:BE24)),"")=0,"",IFERROR(INDEX($A$9:$X$304,$AS25,COLUMNS($AV$9:BE24)),""))</f>
        <v/>
      </c>
      <c r="BF25" s="1" t="str">
        <f>IF(IFERROR(INDEX($A$9:$X$304,$AS25,COLUMNS($AV$9:BF24)),"")=0,"",IFERROR(INDEX($A$9:$X$304,$AS25,COLUMNS($AV$9:BF24)),""))</f>
        <v/>
      </c>
      <c r="BG25" s="1" t="str">
        <f>IF(IFERROR(INDEX($A$9:$X$304,$AS25,COLUMNS($AV$9:BG24)),"")=0,"",IFERROR(INDEX($A$9:$X$304,$AS25,COLUMNS($AV$9:BG24)),""))</f>
        <v/>
      </c>
      <c r="BH25" s="1" t="str">
        <f>IF(IFERROR(INDEX($A$9:$X$304,$AS25,COLUMNS($AV$9:BH24)),"")=0,"",IFERROR(INDEX($A$9:$X$304,$AS25,COLUMNS($AV$9:BH24)),""))</f>
        <v/>
      </c>
      <c r="BI25" s="1" t="str">
        <f>IF(IFERROR(INDEX($A$9:$X$304,$AS25,COLUMNS($AV$9:BI24)),"")=0,"",IFERROR(INDEX($A$9:$X$304,$AS25,COLUMNS($AV$9:BI24)),""))</f>
        <v/>
      </c>
      <c r="BJ25" s="1" t="str">
        <f>IF(IFERROR(INDEX($A$9:$X$304,$AS25,COLUMNS($AV$9:BJ24)),"")=0,"",IFERROR(INDEX($A$9:$X$304,$AS25,COLUMNS($AV$9:BJ24)),""))</f>
        <v>None</v>
      </c>
      <c r="BK25" s="1" t="str">
        <f>IF(IFERROR(INDEX($A$9:$X$304,$AS25,COLUMNS($AV$9:BK24)),"")=0,"",IFERROR(INDEX($A$9:$X$304,$AS25,COLUMNS($AV$9:BK24)),""))</f>
        <v>Rare</v>
      </c>
      <c r="BL25" s="1" t="str">
        <f>IF(IFERROR(INDEX($A$9:$X$304,$AS25,COLUMNS($AV$9:BL24)),"")=0,"",IFERROR(INDEX($A$9:$X$304,$AS25,COLUMNS($AV$9:BL24)),""))</f>
        <v>Jaan-Paul van Eeden</v>
      </c>
      <c r="BM25" s="1" t="str">
        <f>IF(IFERROR(INDEX($A$9:$X$304,$AS25,COLUMNS($AV$9:BM24)),"")=0,"",IFERROR(INDEX($A$9:$X$304,$AS25,COLUMNS($AV$9:BM24)),""))</f>
        <v>Base Set</v>
      </c>
      <c r="BN25" s="3" t="b">
        <f>IF(IFERROR(INDEX($A$9:$X$304,$AS25,COLUMNS($AV$9:BN24)),"")=0,"",IFERROR(INDEX($A$9:$X$304,$AS25,COLUMNS($AV$9:BN24)),""))</f>
        <v>1</v>
      </c>
      <c r="BO25" s="3" t="b">
        <f>IF(IFERROR(INDEX($A$9:$X$304,$AS25,COLUMNS($AV$9:BO24)),"")=0,"",IFERROR(INDEX($A$9:$X$304,$AS25,COLUMNS($AV$9:BO24)),""))</f>
        <v>1</v>
      </c>
      <c r="BP25" s="3" t="b">
        <f>IF(IFERROR(INDEX($A$9:$X$304,$AS25,COLUMNS($AV$9:BP24)),"")=0,"",IFERROR(INDEX($A$9:$X$304,$AS25,COLUMNS($AV$9:BP24)),""))</f>
        <v>0</v>
      </c>
      <c r="BQ25" s="3" t="b">
        <f>IF(IFERROR(INDEX($A$9:$X$304,$AS25,COLUMNS($AV$9:BQ24)),"")=0,"",IFERROR(INDEX($A$9:$X$304,$AS25,COLUMNS($AV$9:BQ24)),""))</f>
        <v>0</v>
      </c>
      <c r="BR25" s="3" t="str">
        <f>IF(IFERROR(INDEX($A$9:$X$304,$AS25,COLUMNS($AV$9:BR24)),"")=0,"",IFERROR(INDEX($A$9:$X$304,$AS25,COLUMNS($AV$9:BR24)),""))</f>
        <v>http://www.epiccardgame.com/wp-content/uploads/2015/09/army_of_the_apocalypse-215x300.jpg</v>
      </c>
      <c r="BS25" s="3" t="str">
        <f>IF(IFERROR(INDEX($A$9:$X$304,$AS25,COLUMNS($AV$9:BS24)),"")=0,"",IFERROR(INDEX($A$9:$X$304,$AS25,COLUMNS($AV$9:BS24)),""))</f>
        <v/>
      </c>
      <c r="BT25" s="3"/>
      <c r="BU25" s="15"/>
      <c r="BV25" t="s">
        <v>46</v>
      </c>
    </row>
    <row r="26" spans="1:74" ht="225" customHeight="1" x14ac:dyDescent="0.25">
      <c r="A26" t="s">
        <v>343</v>
      </c>
      <c r="B26">
        <v>1</v>
      </c>
      <c r="C26" t="s">
        <v>617</v>
      </c>
      <c r="E26" t="s">
        <v>620</v>
      </c>
      <c r="F26">
        <v>8</v>
      </c>
      <c r="G26">
        <v>8</v>
      </c>
      <c r="H26" t="s">
        <v>21</v>
      </c>
      <c r="I26" t="s">
        <v>776</v>
      </c>
      <c r="O26" t="s">
        <v>1063</v>
      </c>
      <c r="P26" t="s">
        <v>1113</v>
      </c>
      <c r="Q26" t="s">
        <v>1126</v>
      </c>
      <c r="R26" t="s">
        <v>1177</v>
      </c>
      <c r="S26" t="b">
        <v>1</v>
      </c>
      <c r="T26" t="b">
        <v>0</v>
      </c>
      <c r="U26" t="b">
        <v>0</v>
      </c>
      <c r="V26" t="b">
        <v>0</v>
      </c>
      <c r="W26" s="2" t="s">
        <v>1201</v>
      </c>
      <c r="X26" s="2"/>
      <c r="Y26" s="24">
        <v>18</v>
      </c>
      <c r="Z26">
        <f t="shared" si="0"/>
        <v>18</v>
      </c>
      <c r="AA26">
        <f t="shared" si="1"/>
        <v>18</v>
      </c>
      <c r="AB26">
        <f t="shared" si="2"/>
        <v>18</v>
      </c>
      <c r="AC26">
        <f t="shared" si="3"/>
        <v>0</v>
      </c>
      <c r="AD26">
        <f t="shared" si="4"/>
        <v>18</v>
      </c>
      <c r="AE26">
        <f t="shared" si="5"/>
        <v>18</v>
      </c>
      <c r="AF26">
        <f t="shared" si="6"/>
        <v>18</v>
      </c>
      <c r="AG26">
        <f t="shared" si="7"/>
        <v>18</v>
      </c>
      <c r="AH26">
        <f t="shared" si="8"/>
        <v>18</v>
      </c>
      <c r="AI26">
        <f t="shared" si="9"/>
        <v>0</v>
      </c>
      <c r="AJ26">
        <f t="shared" si="10"/>
        <v>0</v>
      </c>
      <c r="AK26">
        <f t="shared" si="11"/>
        <v>0</v>
      </c>
      <c r="AL26">
        <f t="shared" si="12"/>
        <v>0</v>
      </c>
      <c r="AM26">
        <f t="shared" si="13"/>
        <v>0</v>
      </c>
      <c r="AN26">
        <f t="shared" si="14"/>
        <v>18</v>
      </c>
      <c r="AO26">
        <f t="shared" si="15"/>
        <v>18</v>
      </c>
      <c r="AP26">
        <f t="shared" si="16"/>
        <v>18</v>
      </c>
      <c r="AQ26">
        <f t="shared" si="17"/>
        <v>18</v>
      </c>
      <c r="AR26" s="6">
        <f t="shared" si="18"/>
        <v>18</v>
      </c>
      <c r="AS26">
        <f t="shared" si="19"/>
        <v>18</v>
      </c>
      <c r="AV26" s="1" t="str">
        <f>IF(IFERROR(INDEX($A$9:$W$304,$AS26,COLUMNS($AV$9:AV25)),"")=0,"",IFERROR(INDEX($A$9:$W$304,$AS26,COLUMNS($AV$9:AV25)),""))</f>
        <v>Avenger of Covenant</v>
      </c>
      <c r="AW26" s="1">
        <f>IFERROR(INDEX($A$9:$W$304,$AS26,COLUMNS($AV$9:AW25)),"")</f>
        <v>1</v>
      </c>
      <c r="AX26" s="1" t="str">
        <f>IF(IFERROR(INDEX($A$9:$X$304,$AS26,COLUMNS($AV$9:AX25)),"")=0,"",IFERROR(INDEX($A$9:$X$304,$AS26,COLUMNS($AV$9:AX25)),""))</f>
        <v>GOOD</v>
      </c>
      <c r="AY26" s="1" t="str">
        <f>IF(IFERROR(INDEX($A$9:$X$304,$AS26,COLUMNS($AV$9:AY25)),"")=0,"",IFERROR(INDEX($A$9:$X$304,$AS26,COLUMNS($AV$9:AY25)),""))</f>
        <v/>
      </c>
      <c r="AZ26" s="1" t="str">
        <f>IF(IFERROR(INDEX($A$9:$X$304,$AS26,COLUMNS($AV$9:AZ25)),"")=0,"",IFERROR(INDEX($A$9:$X$304,$AS26,COLUMNS($AV$9:AZ25)),""))</f>
        <v>CHAMPION</v>
      </c>
      <c r="BA26" s="1">
        <f>IF(IFERROR(INDEX($A$9:$X$304,$AS26,COLUMNS($AV$9:BA25)),"")=0,"",IFERROR(INDEX($A$9:$X$304,$AS26,COLUMNS($AV$9:BA25)),""))</f>
        <v>8</v>
      </c>
      <c r="BB26" s="1">
        <f>IF(IFERROR(INDEX($A$9:$X$304,$AS26,COLUMNS($AV$9:BB25)),"")=0,"",IFERROR(INDEX($A$9:$X$304,$AS26,COLUMNS($AV$9:BB25)),""))</f>
        <v>8</v>
      </c>
      <c r="BC26" s="1" t="str">
        <f>IF(IFERROR(INDEX($A$9:$X$304,$AS26,COLUMNS($AV$9:BC25)),"")=0,"",IFERROR(INDEX($A$9:$X$304,$AS26,COLUMNS($AV$9:BC25)),""))</f>
        <v>Ambush</v>
      </c>
      <c r="BD26" s="1" t="str">
        <f>IF(IFERROR(INDEX($A$9:$X$304,$AS26,COLUMNS($AV$9:BD25)),"")=0,"",IFERROR(INDEX($A$9:$X$304,$AS26,COLUMNS($AV$9:BD25)),""))</f>
        <v>Tribute → Banish target champion that dealt damage to you this turn.</v>
      </c>
      <c r="BE26" s="1" t="str">
        <f>IF(IFERROR(INDEX($A$9:$X$304,$AS26,COLUMNS($AV$9:BE25)),"")=0,"",IFERROR(INDEX($A$9:$X$304,$AS26,COLUMNS($AV$9:BE25)),""))</f>
        <v/>
      </c>
      <c r="BF26" s="1" t="str">
        <f>IF(IFERROR(INDEX($A$9:$X$304,$AS26,COLUMNS($AV$9:BF25)),"")=0,"",IFERROR(INDEX($A$9:$X$304,$AS26,COLUMNS($AV$9:BF25)),""))</f>
        <v/>
      </c>
      <c r="BG26" s="1" t="str">
        <f>IF(IFERROR(INDEX($A$9:$X$304,$AS26,COLUMNS($AV$9:BG25)),"")=0,"",IFERROR(INDEX($A$9:$X$304,$AS26,COLUMNS($AV$9:BG25)),""))</f>
        <v/>
      </c>
      <c r="BH26" s="1" t="str">
        <f>IF(IFERROR(INDEX($A$9:$X$304,$AS26,COLUMNS($AV$9:BH25)),"")=0,"",IFERROR(INDEX($A$9:$X$304,$AS26,COLUMNS($AV$9:BH25)),""))</f>
        <v/>
      </c>
      <c r="BI26" s="1" t="str">
        <f>IF(IFERROR(INDEX($A$9:$X$304,$AS26,COLUMNS($AV$9:BI25)),"")=0,"",IFERROR(INDEX($A$9:$X$304,$AS26,COLUMNS($AV$9:BI25)),""))</f>
        <v/>
      </c>
      <c r="BJ26" s="1" t="str">
        <f>IF(IFERROR(INDEX($A$9:$X$304,$AS26,COLUMNS($AV$9:BJ25)),"")=0,"",IFERROR(INDEX($A$9:$X$304,$AS26,COLUMNS($AV$9:BJ25)),""))</f>
        <v>HUMAN</v>
      </c>
      <c r="BK26" s="1" t="str">
        <f>IF(IFERROR(INDEX($A$9:$X$304,$AS26,COLUMNS($AV$9:BK25)),"")=0,"",IFERROR(INDEX($A$9:$X$304,$AS26,COLUMNS($AV$9:BK25)),""))</f>
        <v>Rare</v>
      </c>
      <c r="BL26" s="1" t="str">
        <f>IF(IFERROR(INDEX($A$9:$X$304,$AS26,COLUMNS($AV$9:BL25)),"")=0,"",IFERROR(INDEX($A$9:$X$304,$AS26,COLUMNS($AV$9:BL25)),""))</f>
        <v>Jaime Tayag</v>
      </c>
      <c r="BM26" s="1" t="str">
        <f>IF(IFERROR(INDEX($A$9:$X$304,$AS26,COLUMNS($AV$9:BM25)),"")=0,"",IFERROR(INDEX($A$9:$X$304,$AS26,COLUMNS($AV$9:BM25)),""))</f>
        <v>Uprising: Will of Zannos</v>
      </c>
      <c r="BN26" s="3" t="b">
        <f>IF(IFERROR(INDEX($A$9:$X$304,$AS26,COLUMNS($AV$9:BN25)),"")=0,"",IFERROR(INDEX($A$9:$X$304,$AS26,COLUMNS($AV$9:BN25)),""))</f>
        <v>1</v>
      </c>
      <c r="BO26" s="3" t="b">
        <f>IF(IFERROR(INDEX($A$9:$X$304,$AS26,COLUMNS($AV$9:BO25)),"")=0,"",IFERROR(INDEX($A$9:$X$304,$AS26,COLUMNS($AV$9:BO25)),""))</f>
        <v>0</v>
      </c>
      <c r="BP26" s="3" t="b">
        <f>IF(IFERROR(INDEX($A$9:$X$304,$AS26,COLUMNS($AV$9:BP25)),"")=0,"",IFERROR(INDEX($A$9:$X$304,$AS26,COLUMNS($AV$9:BP25)),""))</f>
        <v>0</v>
      </c>
      <c r="BQ26" s="3" t="b">
        <f>IF(IFERROR(INDEX($A$9:$X$304,$AS26,COLUMNS($AV$9:BQ25)),"")=0,"",IFERROR(INDEX($A$9:$X$304,$AS26,COLUMNS($AV$9:BQ25)),""))</f>
        <v>0</v>
      </c>
      <c r="BR26" s="3" t="str">
        <f>IF(IFERROR(INDEX($A$9:$X$304,$AS26,COLUMNS($AV$9:BR25)),"")=0,"",IFERROR(INDEX($A$9:$X$304,$AS26,COLUMNS($AV$9:BR25)),""))</f>
        <v>https://www.epiccardgame.com/wp-content/uploads/2017/11/UPZ-EN-avenger-of-covenant.jpg</v>
      </c>
      <c r="BS26" s="3" t="str">
        <f>IF(IFERROR(INDEX($A$9:$X$304,$AS26,COLUMNS($AV$9:BS25)),"")=0,"",IFERROR(INDEX($A$9:$X$304,$AS26,COLUMNS($AV$9:BS25)),""))</f>
        <v/>
      </c>
      <c r="BT26" s="3"/>
      <c r="BU26" s="15"/>
      <c r="BV26" t="s">
        <v>47</v>
      </c>
    </row>
    <row r="27" spans="1:74" ht="225" customHeight="1" x14ac:dyDescent="0.25">
      <c r="A27" t="s">
        <v>344</v>
      </c>
      <c r="B27">
        <v>1</v>
      </c>
      <c r="C27" t="s">
        <v>617</v>
      </c>
      <c r="E27" t="s">
        <v>620</v>
      </c>
      <c r="F27">
        <v>6</v>
      </c>
      <c r="G27">
        <v>6</v>
      </c>
      <c r="H27" t="s">
        <v>633</v>
      </c>
      <c r="I27" t="s">
        <v>777</v>
      </c>
      <c r="O27" t="s">
        <v>1064</v>
      </c>
      <c r="P27" t="s">
        <v>1112</v>
      </c>
      <c r="Q27" t="s">
        <v>1118</v>
      </c>
      <c r="R27" t="s">
        <v>1171</v>
      </c>
      <c r="S27" t="b">
        <v>1</v>
      </c>
      <c r="T27" t="b">
        <v>0</v>
      </c>
      <c r="U27" t="b">
        <v>0</v>
      </c>
      <c r="V27" t="b">
        <v>0</v>
      </c>
      <c r="W27" s="2" t="s">
        <v>1202</v>
      </c>
      <c r="X27" s="2"/>
      <c r="Y27" s="24">
        <v>19</v>
      </c>
      <c r="Z27">
        <f t="shared" si="0"/>
        <v>19</v>
      </c>
      <c r="AA27">
        <f t="shared" si="1"/>
        <v>19</v>
      </c>
      <c r="AB27">
        <f t="shared" si="2"/>
        <v>19</v>
      </c>
      <c r="AC27">
        <f t="shared" si="3"/>
        <v>0</v>
      </c>
      <c r="AD27">
        <f t="shared" si="4"/>
        <v>19</v>
      </c>
      <c r="AE27">
        <f t="shared" si="5"/>
        <v>19</v>
      </c>
      <c r="AF27">
        <f t="shared" si="6"/>
        <v>19</v>
      </c>
      <c r="AG27">
        <f t="shared" si="7"/>
        <v>19</v>
      </c>
      <c r="AH27">
        <f t="shared" si="8"/>
        <v>19</v>
      </c>
      <c r="AI27">
        <f t="shared" si="9"/>
        <v>0</v>
      </c>
      <c r="AJ27">
        <f t="shared" si="10"/>
        <v>0</v>
      </c>
      <c r="AK27">
        <f t="shared" si="11"/>
        <v>0</v>
      </c>
      <c r="AL27">
        <f t="shared" si="12"/>
        <v>0</v>
      </c>
      <c r="AM27">
        <f t="shared" si="13"/>
        <v>0</v>
      </c>
      <c r="AN27">
        <f t="shared" si="14"/>
        <v>19</v>
      </c>
      <c r="AO27">
        <f t="shared" si="15"/>
        <v>19</v>
      </c>
      <c r="AP27">
        <f t="shared" si="16"/>
        <v>19</v>
      </c>
      <c r="AQ27">
        <f t="shared" si="17"/>
        <v>19</v>
      </c>
      <c r="AR27" s="6">
        <f t="shared" si="18"/>
        <v>19</v>
      </c>
      <c r="AS27">
        <f t="shared" si="19"/>
        <v>19</v>
      </c>
      <c r="AV27" s="1" t="str">
        <f>IF(IFERROR(INDEX($A$9:$W$304,$AS27,COLUMNS($AV$9:AV26)),"")=0,"",IFERROR(INDEX($A$9:$W$304,$AS27,COLUMNS($AV$9:AV26)),""))</f>
        <v>Avenging Angel</v>
      </c>
      <c r="AW27" s="1">
        <f>IFERROR(INDEX($A$9:$W$304,$AS27,COLUMNS($AV$9:AW26)),"")</f>
        <v>1</v>
      </c>
      <c r="AX27" s="1" t="str">
        <f>IF(IFERROR(INDEX($A$9:$X$304,$AS27,COLUMNS($AV$9:AX26)),"")=0,"",IFERROR(INDEX($A$9:$X$304,$AS27,COLUMNS($AV$9:AX26)),""))</f>
        <v>GOOD</v>
      </c>
      <c r="AY27" s="1" t="str">
        <f>IF(IFERROR(INDEX($A$9:$X$304,$AS27,COLUMNS($AV$9:AY26)),"")=0,"",IFERROR(INDEX($A$9:$X$304,$AS27,COLUMNS($AV$9:AY26)),""))</f>
        <v/>
      </c>
      <c r="AZ27" s="1" t="str">
        <f>IF(IFERROR(INDEX($A$9:$X$304,$AS27,COLUMNS($AV$9:AZ26)),"")=0,"",IFERROR(INDEX($A$9:$X$304,$AS27,COLUMNS($AV$9:AZ26)),""))</f>
        <v>CHAMPION</v>
      </c>
      <c r="BA27" s="1">
        <f>IF(IFERROR(INDEX($A$9:$X$304,$AS27,COLUMNS($AV$9:BA26)),"")=0,"",IFERROR(INDEX($A$9:$X$304,$AS27,COLUMNS($AV$9:BA26)),""))</f>
        <v>6</v>
      </c>
      <c r="BB27" s="1">
        <f>IF(IFERROR(INDEX($A$9:$X$304,$AS27,COLUMNS($AV$9:BB26)),"")=0,"",IFERROR(INDEX($A$9:$X$304,$AS27,COLUMNS($AV$9:BB26)),""))</f>
        <v>6</v>
      </c>
      <c r="BC27" s="1" t="str">
        <f>IF(IFERROR(INDEX($A$9:$X$304,$AS27,COLUMNS($AV$9:BC26)),"")=0,"",IFERROR(INDEX($A$9:$X$304,$AS27,COLUMNS($AV$9:BC26)),""))</f>
        <v>Airborne ◆ Blitz ◆ Righteous</v>
      </c>
      <c r="BD27" s="1" t="str">
        <f>IF(IFERROR(INDEX($A$9:$X$304,$AS27,COLUMNS($AV$9:BD26)),"")=0,"",IFERROR(INDEX($A$9:$X$304,$AS27,COLUMNS($AV$9:BD26)),""))</f>
        <v>While this card is expended, you cannot be attacked.</v>
      </c>
      <c r="BE27" s="1" t="str">
        <f>IF(IFERROR(INDEX($A$9:$X$304,$AS27,COLUMNS($AV$9:BE26)),"")=0,"",IFERROR(INDEX($A$9:$X$304,$AS27,COLUMNS($AV$9:BE26)),""))</f>
        <v/>
      </c>
      <c r="BF27" s="1" t="str">
        <f>IF(IFERROR(INDEX($A$9:$X$304,$AS27,COLUMNS($AV$9:BF26)),"")=0,"",IFERROR(INDEX($A$9:$X$304,$AS27,COLUMNS($AV$9:BF26)),""))</f>
        <v/>
      </c>
      <c r="BG27" s="1" t="str">
        <f>IF(IFERROR(INDEX($A$9:$X$304,$AS27,COLUMNS($AV$9:BG26)),"")=0,"",IFERROR(INDEX($A$9:$X$304,$AS27,COLUMNS($AV$9:BG26)),""))</f>
        <v/>
      </c>
      <c r="BH27" s="1" t="str">
        <f>IF(IFERROR(INDEX($A$9:$X$304,$AS27,COLUMNS($AV$9:BH26)),"")=0,"",IFERROR(INDEX($A$9:$X$304,$AS27,COLUMNS($AV$9:BH26)),""))</f>
        <v/>
      </c>
      <c r="BI27" s="1" t="str">
        <f>IF(IFERROR(INDEX($A$9:$X$304,$AS27,COLUMNS($AV$9:BI26)),"")=0,"",IFERROR(INDEX($A$9:$X$304,$AS27,COLUMNS($AV$9:BI26)),""))</f>
        <v/>
      </c>
      <c r="BJ27" s="1" t="str">
        <f>IF(IFERROR(INDEX($A$9:$X$304,$AS27,COLUMNS($AV$9:BJ26)),"")=0,"",IFERROR(INDEX($A$9:$X$304,$AS27,COLUMNS($AV$9:BJ26)),""))</f>
        <v>ANGEL</v>
      </c>
      <c r="BK27" s="1" t="str">
        <f>IF(IFERROR(INDEX($A$9:$X$304,$AS27,COLUMNS($AV$9:BK26)),"")=0,"",IFERROR(INDEX($A$9:$X$304,$AS27,COLUMNS($AV$9:BK26)),""))</f>
        <v>Common</v>
      </c>
      <c r="BL27" s="1" t="str">
        <f>IF(IFERROR(INDEX($A$9:$X$304,$AS27,COLUMNS($AV$9:BL26)),"")=0,"",IFERROR(INDEX($A$9:$X$304,$AS27,COLUMNS($AV$9:BL26)),""))</f>
        <v>L.Sean</v>
      </c>
      <c r="BM27" s="1" t="str">
        <f>IF(IFERROR(INDEX($A$9:$X$304,$AS27,COLUMNS($AV$9:BM26)),"")=0,"",IFERROR(INDEX($A$9:$X$304,$AS27,COLUMNS($AV$9:BM26)),""))</f>
        <v>Base Set</v>
      </c>
      <c r="BN27" s="3" t="b">
        <f>IF(IFERROR(INDEX($A$9:$X$304,$AS27,COLUMNS($AV$9:BN26)),"")=0,"",IFERROR(INDEX($A$9:$X$304,$AS27,COLUMNS($AV$9:BN26)),""))</f>
        <v>1</v>
      </c>
      <c r="BO27" s="3" t="b">
        <f>IF(IFERROR(INDEX($A$9:$X$304,$AS27,COLUMNS($AV$9:BO26)),"")=0,"",IFERROR(INDEX($A$9:$X$304,$AS27,COLUMNS($AV$9:BO26)),""))</f>
        <v>0</v>
      </c>
      <c r="BP27" s="3" t="b">
        <f>IF(IFERROR(INDEX($A$9:$X$304,$AS27,COLUMNS($AV$9:BP26)),"")=0,"",IFERROR(INDEX($A$9:$X$304,$AS27,COLUMNS($AV$9:BP26)),""))</f>
        <v>0</v>
      </c>
      <c r="BQ27" s="3" t="b">
        <f>IF(IFERROR(INDEX($A$9:$X$304,$AS27,COLUMNS($AV$9:BQ26)),"")=0,"",IFERROR(INDEX($A$9:$X$304,$AS27,COLUMNS($AV$9:BQ26)),""))</f>
        <v>0</v>
      </c>
      <c r="BR27" s="3" t="str">
        <f>IF(IFERROR(INDEX($A$9:$X$304,$AS27,COLUMNS($AV$9:BR26)),"")=0,"",IFERROR(INDEX($A$9:$X$304,$AS27,COLUMNS($AV$9:BR26)),""))</f>
        <v>http://www.epiccardgame.com/wp-content/uploads/2015/09/avenging_angel-215x300.jpg</v>
      </c>
      <c r="BS27" s="3" t="str">
        <f>IF(IFERROR(INDEX($A$9:$X$304,$AS27,COLUMNS($AV$9:BS26)),"")=0,"",IFERROR(INDEX($A$9:$X$304,$AS27,COLUMNS($AV$9:BS26)),""))</f>
        <v/>
      </c>
      <c r="BT27" s="3"/>
      <c r="BU27" s="15"/>
      <c r="BV27" t="s">
        <v>48</v>
      </c>
    </row>
    <row r="28" spans="1:74" ht="225.2" customHeight="1" x14ac:dyDescent="0.25">
      <c r="A28" t="s">
        <v>345</v>
      </c>
      <c r="B28">
        <v>1</v>
      </c>
      <c r="C28" t="s">
        <v>617</v>
      </c>
      <c r="E28" t="s">
        <v>619</v>
      </c>
      <c r="H28" t="s">
        <v>634</v>
      </c>
      <c r="I28" t="s">
        <v>778</v>
      </c>
      <c r="O28" t="s">
        <v>1062</v>
      </c>
      <c r="P28" t="s">
        <v>1112</v>
      </c>
      <c r="Q28" t="s">
        <v>1124</v>
      </c>
      <c r="R28" t="s">
        <v>1171</v>
      </c>
      <c r="S28" t="b">
        <v>1</v>
      </c>
      <c r="T28" t="b">
        <v>0</v>
      </c>
      <c r="U28" t="b">
        <v>0</v>
      </c>
      <c r="V28" t="b">
        <v>0</v>
      </c>
      <c r="W28" s="2" t="s">
        <v>1203</v>
      </c>
      <c r="X28" s="2"/>
      <c r="Y28" s="24">
        <v>20</v>
      </c>
      <c r="Z28">
        <f t="shared" si="0"/>
        <v>20</v>
      </c>
      <c r="AA28">
        <f t="shared" si="1"/>
        <v>20</v>
      </c>
      <c r="AB28">
        <f t="shared" si="2"/>
        <v>20</v>
      </c>
      <c r="AC28">
        <f t="shared" si="3"/>
        <v>0</v>
      </c>
      <c r="AD28">
        <f t="shared" si="4"/>
        <v>20</v>
      </c>
      <c r="AE28">
        <f t="shared" si="5"/>
        <v>0</v>
      </c>
      <c r="AF28">
        <f t="shared" si="6"/>
        <v>0</v>
      </c>
      <c r="AG28">
        <f t="shared" si="7"/>
        <v>20</v>
      </c>
      <c r="AH28">
        <f t="shared" si="8"/>
        <v>20</v>
      </c>
      <c r="AI28">
        <f t="shared" si="9"/>
        <v>0</v>
      </c>
      <c r="AJ28">
        <f t="shared" si="10"/>
        <v>0</v>
      </c>
      <c r="AK28">
        <f t="shared" si="11"/>
        <v>0</v>
      </c>
      <c r="AL28">
        <f t="shared" si="12"/>
        <v>0</v>
      </c>
      <c r="AM28">
        <f t="shared" si="13"/>
        <v>0</v>
      </c>
      <c r="AN28">
        <f t="shared" si="14"/>
        <v>20</v>
      </c>
      <c r="AO28">
        <f t="shared" si="15"/>
        <v>20</v>
      </c>
      <c r="AP28">
        <f t="shared" si="16"/>
        <v>20</v>
      </c>
      <c r="AQ28">
        <f t="shared" si="17"/>
        <v>20</v>
      </c>
      <c r="AR28" s="6">
        <f t="shared" si="18"/>
        <v>20</v>
      </c>
      <c r="AS28">
        <f t="shared" si="19"/>
        <v>20</v>
      </c>
      <c r="AV28" s="1" t="str">
        <f>IF(IFERROR(INDEX($A$9:$W$304,$AS28,COLUMNS($AV$9:AV27)),"")=0,"",IFERROR(INDEX($A$9:$W$304,$AS28,COLUMNS($AV$9:AV27)),""))</f>
        <v>Banishment</v>
      </c>
      <c r="AW28" s="1">
        <f>IFERROR(INDEX($A$9:$W$304,$AS28,COLUMNS($AV$9:AW27)),"")</f>
        <v>1</v>
      </c>
      <c r="AX28" s="1" t="str">
        <f>IF(IFERROR(INDEX($A$9:$X$304,$AS28,COLUMNS($AV$9:AX27)),"")=0,"",IFERROR(INDEX($A$9:$X$304,$AS28,COLUMNS($AV$9:AX27)),""))</f>
        <v>GOOD</v>
      </c>
      <c r="AY28" s="1" t="str">
        <f>IF(IFERROR(INDEX($A$9:$X$304,$AS28,COLUMNS($AV$9:AY27)),"")=0,"",IFERROR(INDEX($A$9:$X$304,$AS28,COLUMNS($AV$9:AY27)),""))</f>
        <v/>
      </c>
      <c r="AZ28" s="1" t="str">
        <f>IF(IFERROR(INDEX($A$9:$X$304,$AS28,COLUMNS($AV$9:AZ27)),"")=0,"",IFERROR(INDEX($A$9:$X$304,$AS28,COLUMNS($AV$9:AZ27)),""))</f>
        <v>EVENT</v>
      </c>
      <c r="BA28" s="1" t="str">
        <f>IF(IFERROR(INDEX($A$9:$X$304,$AS28,COLUMNS($AV$9:BA27)),"")=0,"",IFERROR(INDEX($A$9:$X$304,$AS28,COLUMNS($AV$9:BA27)),""))</f>
        <v/>
      </c>
      <c r="BB28" s="1" t="str">
        <f>IF(IFERROR(INDEX($A$9:$X$304,$AS28,COLUMNS($AV$9:BB27)),"")=0,"",IFERROR(INDEX($A$9:$X$304,$AS28,COLUMNS($AV$9:BB27)),""))</f>
        <v/>
      </c>
      <c r="BC28" s="1" t="str">
        <f>IF(IFERROR(INDEX($A$9:$X$304,$AS28,COLUMNS($AV$9:BC27)),"")=0,"",IFERROR(INDEX($A$9:$X$304,$AS28,COLUMNS($AV$9:BC27)),""))</f>
        <v>Banish target champion.</v>
      </c>
      <c r="BD28" s="1" t="str">
        <f>IF(IFERROR(INDEX($A$9:$X$304,$AS28,COLUMNS($AV$9:BD27)),"")=0,"",IFERROR(INDEX($A$9:$X$304,$AS28,COLUMNS($AV$9:BD27)),""))</f>
        <v>The player whose turn it is draws a card.</v>
      </c>
      <c r="BE28" s="1" t="str">
        <f>IF(IFERROR(INDEX($A$9:$X$304,$AS28,COLUMNS($AV$9:BE27)),"")=0,"",IFERROR(INDEX($A$9:$X$304,$AS28,COLUMNS($AV$9:BE27)),""))</f>
        <v/>
      </c>
      <c r="BF28" s="1" t="str">
        <f>IF(IFERROR(INDEX($A$9:$X$304,$AS28,COLUMNS($AV$9:BF27)),"")=0,"",IFERROR(INDEX($A$9:$X$304,$AS28,COLUMNS($AV$9:BF27)),""))</f>
        <v/>
      </c>
      <c r="BG28" s="1" t="str">
        <f>IF(IFERROR(INDEX($A$9:$X$304,$AS28,COLUMNS($AV$9:BG27)),"")=0,"",IFERROR(INDEX($A$9:$X$304,$AS28,COLUMNS($AV$9:BG27)),""))</f>
        <v/>
      </c>
      <c r="BH28" s="1" t="str">
        <f>IF(IFERROR(INDEX($A$9:$X$304,$AS28,COLUMNS($AV$9:BH27)),"")=0,"",IFERROR(INDEX($A$9:$X$304,$AS28,COLUMNS($AV$9:BH27)),""))</f>
        <v/>
      </c>
      <c r="BI28" s="1" t="str">
        <f>IF(IFERROR(INDEX($A$9:$X$304,$AS28,COLUMNS($AV$9:BI27)),"")=0,"",IFERROR(INDEX($A$9:$X$304,$AS28,COLUMNS($AV$9:BI27)),""))</f>
        <v/>
      </c>
      <c r="BJ28" s="1" t="str">
        <f>IF(IFERROR(INDEX($A$9:$X$304,$AS28,COLUMNS($AV$9:BJ27)),"")=0,"",IFERROR(INDEX($A$9:$X$304,$AS28,COLUMNS($AV$9:BJ27)),""))</f>
        <v>None</v>
      </c>
      <c r="BK28" s="1" t="str">
        <f>IF(IFERROR(INDEX($A$9:$X$304,$AS28,COLUMNS($AV$9:BK27)),"")=0,"",IFERROR(INDEX($A$9:$X$304,$AS28,COLUMNS($AV$9:BK27)),""))</f>
        <v>Common</v>
      </c>
      <c r="BL28" s="1" t="str">
        <f>IF(IFERROR(INDEX($A$9:$X$304,$AS28,COLUMNS($AV$9:BL27)),"")=0,"",IFERROR(INDEX($A$9:$X$304,$AS28,COLUMNS($AV$9:BL27)),""))</f>
        <v>Souveraine</v>
      </c>
      <c r="BM28" s="1" t="str">
        <f>IF(IFERROR(INDEX($A$9:$X$304,$AS28,COLUMNS($AV$9:BM27)),"")=0,"",IFERROR(INDEX($A$9:$X$304,$AS28,COLUMNS($AV$9:BM27)),""))</f>
        <v>Base Set</v>
      </c>
      <c r="BN28" s="3" t="b">
        <f>IF(IFERROR(INDEX($A$9:$X$304,$AS28,COLUMNS($AV$9:BN27)),"")=0,"",IFERROR(INDEX($A$9:$X$304,$AS28,COLUMNS($AV$9:BN27)),""))</f>
        <v>1</v>
      </c>
      <c r="BO28" s="3" t="b">
        <f>IF(IFERROR(INDEX($A$9:$X$304,$AS28,COLUMNS($AV$9:BO27)),"")=0,"",IFERROR(INDEX($A$9:$X$304,$AS28,COLUMNS($AV$9:BO27)),""))</f>
        <v>0</v>
      </c>
      <c r="BP28" s="3" t="b">
        <f>IF(IFERROR(INDEX($A$9:$X$304,$AS28,COLUMNS($AV$9:BP27)),"")=0,"",IFERROR(INDEX($A$9:$X$304,$AS28,COLUMNS($AV$9:BP27)),""))</f>
        <v>0</v>
      </c>
      <c r="BQ28" s="3" t="b">
        <f>IF(IFERROR(INDEX($A$9:$X$304,$AS28,COLUMNS($AV$9:BQ27)),"")=0,"",IFERROR(INDEX($A$9:$X$304,$AS28,COLUMNS($AV$9:BQ27)),""))</f>
        <v>0</v>
      </c>
      <c r="BR28" s="3" t="str">
        <f>IF(IFERROR(INDEX($A$9:$X$304,$AS28,COLUMNS($AV$9:BR27)),"")=0,"",IFERROR(INDEX($A$9:$X$304,$AS28,COLUMNS($AV$9:BR27)),""))</f>
        <v>http://www.epiccardgame.com/wp-content/uploads/2015/09/banishment-215x300.jpg</v>
      </c>
      <c r="BS28" s="3" t="str">
        <f>IF(IFERROR(INDEX($A$9:$X$304,$AS28,COLUMNS($AV$9:BS27)),"")=0,"",IFERROR(INDEX($A$9:$X$304,$AS28,COLUMNS($AV$9:BS27)),""))</f>
        <v/>
      </c>
      <c r="BT28" s="3"/>
      <c r="BU28" s="15"/>
      <c r="BV28" t="s">
        <v>49</v>
      </c>
    </row>
    <row r="29" spans="1:74" ht="225" customHeight="1" x14ac:dyDescent="0.25">
      <c r="A29" t="s">
        <v>346</v>
      </c>
      <c r="B29">
        <v>1</v>
      </c>
      <c r="C29" t="s">
        <v>615</v>
      </c>
      <c r="E29" t="s">
        <v>619</v>
      </c>
      <c r="H29" t="s">
        <v>635</v>
      </c>
      <c r="I29" t="s">
        <v>779</v>
      </c>
      <c r="O29" t="s">
        <v>1062</v>
      </c>
      <c r="P29" t="s">
        <v>1113</v>
      </c>
      <c r="Q29" t="s">
        <v>1127</v>
      </c>
      <c r="R29" t="s">
        <v>1176</v>
      </c>
      <c r="S29" t="b">
        <v>1</v>
      </c>
      <c r="T29" t="b">
        <v>0</v>
      </c>
      <c r="U29" t="b">
        <v>0</v>
      </c>
      <c r="V29" t="b">
        <v>0</v>
      </c>
      <c r="W29" s="2" t="s">
        <v>1204</v>
      </c>
      <c r="X29" s="2"/>
      <c r="Y29" s="24">
        <v>21</v>
      </c>
      <c r="Z29">
        <f t="shared" si="0"/>
        <v>21</v>
      </c>
      <c r="AA29">
        <f t="shared" si="1"/>
        <v>21</v>
      </c>
      <c r="AB29">
        <f t="shared" si="2"/>
        <v>21</v>
      </c>
      <c r="AC29">
        <f t="shared" si="3"/>
        <v>0</v>
      </c>
      <c r="AD29">
        <f t="shared" si="4"/>
        <v>21</v>
      </c>
      <c r="AE29">
        <f t="shared" si="5"/>
        <v>0</v>
      </c>
      <c r="AF29">
        <f t="shared" si="6"/>
        <v>0</v>
      </c>
      <c r="AG29">
        <f t="shared" si="7"/>
        <v>21</v>
      </c>
      <c r="AH29">
        <f t="shared" si="8"/>
        <v>21</v>
      </c>
      <c r="AI29">
        <f t="shared" si="9"/>
        <v>0</v>
      </c>
      <c r="AJ29">
        <f t="shared" si="10"/>
        <v>0</v>
      </c>
      <c r="AK29">
        <f t="shared" si="11"/>
        <v>0</v>
      </c>
      <c r="AL29">
        <f t="shared" si="12"/>
        <v>0</v>
      </c>
      <c r="AM29">
        <f t="shared" si="13"/>
        <v>0</v>
      </c>
      <c r="AN29">
        <f t="shared" si="14"/>
        <v>21</v>
      </c>
      <c r="AO29">
        <f t="shared" si="15"/>
        <v>21</v>
      </c>
      <c r="AP29">
        <f t="shared" si="16"/>
        <v>21</v>
      </c>
      <c r="AQ29">
        <f t="shared" si="17"/>
        <v>21</v>
      </c>
      <c r="AR29" s="6">
        <f t="shared" si="18"/>
        <v>21</v>
      </c>
      <c r="AS29">
        <f t="shared" si="19"/>
        <v>21</v>
      </c>
      <c r="AV29" s="1" t="str">
        <f>IF(IFERROR(INDEX($A$9:$W$304,$AS29,COLUMNS($AV$9:AV28)),"")=0,"",IFERROR(INDEX($A$9:$W$304,$AS29,COLUMNS($AV$9:AV28)),""))</f>
        <v>Battle Cry</v>
      </c>
      <c r="AW29" s="1">
        <f>IFERROR(INDEX($A$9:$W$304,$AS29,COLUMNS($AV$9:AW28)),"")</f>
        <v>1</v>
      </c>
      <c r="AX29" s="1" t="str">
        <f>IF(IFERROR(INDEX($A$9:$X$304,$AS29,COLUMNS($AV$9:AX28)),"")=0,"",IFERROR(INDEX($A$9:$X$304,$AS29,COLUMNS($AV$9:AX28)),""))</f>
        <v>WILD</v>
      </c>
      <c r="AY29" s="1" t="str">
        <f>IF(IFERROR(INDEX($A$9:$X$304,$AS29,COLUMNS($AV$9:AY28)),"")=0,"",IFERROR(INDEX($A$9:$X$304,$AS29,COLUMNS($AV$9:AY28)),""))</f>
        <v/>
      </c>
      <c r="AZ29" s="1" t="str">
        <f>IF(IFERROR(INDEX($A$9:$X$304,$AS29,COLUMNS($AV$9:AZ28)),"")=0,"",IFERROR(INDEX($A$9:$X$304,$AS29,COLUMNS($AV$9:AZ28)),""))</f>
        <v>EVENT</v>
      </c>
      <c r="BA29" s="1" t="str">
        <f>IF(IFERROR(INDEX($A$9:$X$304,$AS29,COLUMNS($AV$9:BA28)),"")=0,"",IFERROR(INDEX($A$9:$X$304,$AS29,COLUMNS($AV$9:BA28)),""))</f>
        <v/>
      </c>
      <c r="BB29" s="1" t="str">
        <f>IF(IFERROR(INDEX($A$9:$X$304,$AS29,COLUMNS($AV$9:BB28)),"")=0,"",IFERROR(INDEX($A$9:$X$304,$AS29,COLUMNS($AV$9:BB28)),""))</f>
        <v/>
      </c>
      <c r="BC29" s="1" t="str">
        <f>IF(IFERROR(INDEX($A$9:$X$304,$AS29,COLUMNS($AV$9:BC28)),"")=0,"",IFERROR(INDEX($A$9:$X$304,$AS29,COLUMNS($AV$9:BC28)),""))</f>
        <v>Your champions gain breakthrough, +3 {offense} and +3 {defense} this turn.</v>
      </c>
      <c r="BD29" s="1" t="str">
        <f>IF(IFERROR(INDEX($A$9:$X$304,$AS29,COLUMNS($AV$9:BD28)),"")=0,"",IFERROR(INDEX($A$9:$X$304,$AS29,COLUMNS($AV$9:BD28)),""))</f>
        <v>If it is an opponent's turn, draw two cards.</v>
      </c>
      <c r="BE29" s="1" t="str">
        <f>IF(IFERROR(INDEX($A$9:$X$304,$AS29,COLUMNS($AV$9:BE28)),"")=0,"",IFERROR(INDEX($A$9:$X$304,$AS29,COLUMNS($AV$9:BE28)),""))</f>
        <v/>
      </c>
      <c r="BF29" s="1" t="str">
        <f>IF(IFERROR(INDEX($A$9:$X$304,$AS29,COLUMNS($AV$9:BF28)),"")=0,"",IFERROR(INDEX($A$9:$X$304,$AS29,COLUMNS($AV$9:BF28)),""))</f>
        <v/>
      </c>
      <c r="BG29" s="1" t="str">
        <f>IF(IFERROR(INDEX($A$9:$X$304,$AS29,COLUMNS($AV$9:BG28)),"")=0,"",IFERROR(INDEX($A$9:$X$304,$AS29,COLUMNS($AV$9:BG28)),""))</f>
        <v/>
      </c>
      <c r="BH29" s="1" t="str">
        <f>IF(IFERROR(INDEX($A$9:$X$304,$AS29,COLUMNS($AV$9:BH28)),"")=0,"",IFERROR(INDEX($A$9:$X$304,$AS29,COLUMNS($AV$9:BH28)),""))</f>
        <v/>
      </c>
      <c r="BI29" s="1" t="str">
        <f>IF(IFERROR(INDEX($A$9:$X$304,$AS29,COLUMNS($AV$9:BI28)),"")=0,"",IFERROR(INDEX($A$9:$X$304,$AS29,COLUMNS($AV$9:BI28)),""))</f>
        <v/>
      </c>
      <c r="BJ29" s="1" t="str">
        <f>IF(IFERROR(INDEX($A$9:$X$304,$AS29,COLUMNS($AV$9:BJ28)),"")=0,"",IFERROR(INDEX($A$9:$X$304,$AS29,COLUMNS($AV$9:BJ28)),""))</f>
        <v>None</v>
      </c>
      <c r="BK29" s="1" t="str">
        <f>IF(IFERROR(INDEX($A$9:$X$304,$AS29,COLUMNS($AV$9:BK28)),"")=0,"",IFERROR(INDEX($A$9:$X$304,$AS29,COLUMNS($AV$9:BK28)),""))</f>
        <v>Rare</v>
      </c>
      <c r="BL29" s="1" t="str">
        <f>IF(IFERROR(INDEX($A$9:$X$304,$AS29,COLUMNS($AV$9:BL28)),"")=0,"",IFERROR(INDEX($A$9:$X$304,$AS29,COLUMNS($AV$9:BL28)),""))</f>
        <v>Johnny Morrow</v>
      </c>
      <c r="BM29" s="1" t="str">
        <f>IF(IFERROR(INDEX($A$9:$X$304,$AS29,COLUMNS($AV$9:BM28)),"")=0,"",IFERROR(INDEX($A$9:$X$304,$AS29,COLUMNS($AV$9:BM28)),""))</f>
        <v>Tyrants: Markus' Command</v>
      </c>
      <c r="BN29" s="3" t="b">
        <f>IF(IFERROR(INDEX($A$9:$X$304,$AS29,COLUMNS($AV$9:BN28)),"")=0,"",IFERROR(INDEX($A$9:$X$304,$AS29,COLUMNS($AV$9:BN28)),""))</f>
        <v>1</v>
      </c>
      <c r="BO29" s="3" t="b">
        <f>IF(IFERROR(INDEX($A$9:$X$304,$AS29,COLUMNS($AV$9:BO28)),"")=0,"",IFERROR(INDEX($A$9:$X$304,$AS29,COLUMNS($AV$9:BO28)),""))</f>
        <v>0</v>
      </c>
      <c r="BP29" s="3" t="b">
        <f>IF(IFERROR(INDEX($A$9:$X$304,$AS29,COLUMNS($AV$9:BP28)),"")=0,"",IFERROR(INDEX($A$9:$X$304,$AS29,COLUMNS($AV$9:BP28)),""))</f>
        <v>0</v>
      </c>
      <c r="BQ29" s="3" t="b">
        <f>IF(IFERROR(INDEX($A$9:$X$304,$AS29,COLUMNS($AV$9:BQ28)),"")=0,"",IFERROR(INDEX($A$9:$X$304,$AS29,COLUMNS($AV$9:BQ28)),""))</f>
        <v>0</v>
      </c>
      <c r="BR29" s="3" t="str">
        <f>IF(IFERROR(INDEX($A$9:$X$304,$AS29,COLUMNS($AV$9:BR28)),"")=0,"",IFERROR(INDEX($A$9:$X$304,$AS29,COLUMNS($AV$9:BR28)),""))</f>
        <v>http://www.epiccardgame.com/wp-content/uploads/2016/03/battle_cry-214x300.jpg</v>
      </c>
      <c r="BS29" s="3" t="str">
        <f>IF(IFERROR(INDEX($A$9:$X$304,$AS29,COLUMNS($AV$9:BS28)),"")=0,"",IFERROR(INDEX($A$9:$X$304,$AS29,COLUMNS($AV$9:BS28)),""))</f>
        <v/>
      </c>
      <c r="BT29" s="3"/>
      <c r="BU29" s="15"/>
      <c r="BV29" t="s">
        <v>50</v>
      </c>
    </row>
    <row r="30" spans="1:74" ht="225" customHeight="1" x14ac:dyDescent="0.25">
      <c r="A30" t="s">
        <v>347</v>
      </c>
      <c r="B30">
        <v>1</v>
      </c>
      <c r="C30" t="s">
        <v>615</v>
      </c>
      <c r="E30" t="s">
        <v>620</v>
      </c>
      <c r="F30">
        <v>7</v>
      </c>
      <c r="G30">
        <v>5</v>
      </c>
      <c r="H30" t="s">
        <v>636</v>
      </c>
      <c r="I30" t="s">
        <v>780</v>
      </c>
      <c r="L30" t="s">
        <v>1044</v>
      </c>
      <c r="O30" t="s">
        <v>1067</v>
      </c>
      <c r="P30" t="s">
        <v>1112</v>
      </c>
      <c r="Q30" t="s">
        <v>1118</v>
      </c>
      <c r="R30" t="s">
        <v>1171</v>
      </c>
      <c r="S30" t="b">
        <v>1</v>
      </c>
      <c r="T30" t="b">
        <v>0</v>
      </c>
      <c r="U30" t="b">
        <v>0</v>
      </c>
      <c r="V30" t="b">
        <v>0</v>
      </c>
      <c r="W30" s="2" t="s">
        <v>1205</v>
      </c>
      <c r="X30" s="2"/>
      <c r="Y30" s="24">
        <v>22</v>
      </c>
      <c r="Z30">
        <f t="shared" si="0"/>
        <v>22</v>
      </c>
      <c r="AA30">
        <f t="shared" si="1"/>
        <v>22</v>
      </c>
      <c r="AB30">
        <f t="shared" si="2"/>
        <v>22</v>
      </c>
      <c r="AC30">
        <f t="shared" si="3"/>
        <v>0</v>
      </c>
      <c r="AD30">
        <f t="shared" si="4"/>
        <v>22</v>
      </c>
      <c r="AE30">
        <f t="shared" si="5"/>
        <v>22</v>
      </c>
      <c r="AF30">
        <f t="shared" si="6"/>
        <v>22</v>
      </c>
      <c r="AG30">
        <f t="shared" si="7"/>
        <v>22</v>
      </c>
      <c r="AH30">
        <f t="shared" si="8"/>
        <v>22</v>
      </c>
      <c r="AI30">
        <f t="shared" si="9"/>
        <v>0</v>
      </c>
      <c r="AJ30">
        <f t="shared" si="10"/>
        <v>0</v>
      </c>
      <c r="AK30">
        <f t="shared" si="11"/>
        <v>22</v>
      </c>
      <c r="AL30">
        <f t="shared" si="12"/>
        <v>0</v>
      </c>
      <c r="AM30">
        <f t="shared" si="13"/>
        <v>0</v>
      </c>
      <c r="AN30">
        <f t="shared" si="14"/>
        <v>22</v>
      </c>
      <c r="AO30">
        <f t="shared" si="15"/>
        <v>22</v>
      </c>
      <c r="AP30">
        <f t="shared" si="16"/>
        <v>22</v>
      </c>
      <c r="AQ30">
        <f t="shared" si="17"/>
        <v>22</v>
      </c>
      <c r="AR30" s="6">
        <f t="shared" si="18"/>
        <v>22</v>
      </c>
      <c r="AS30">
        <f t="shared" si="19"/>
        <v>22</v>
      </c>
      <c r="AV30" s="1" t="str">
        <f>IF(IFERROR(INDEX($A$9:$W$304,$AS30,COLUMNS($AV$9:AV29)),"")=0,"",IFERROR(INDEX($A$9:$W$304,$AS30,COLUMNS($AV$9:AV29)),""))</f>
        <v>Bellowing Minotaur</v>
      </c>
      <c r="AW30" s="1">
        <f>IFERROR(INDEX($A$9:$W$304,$AS30,COLUMNS($AV$9:AW29)),"")</f>
        <v>1</v>
      </c>
      <c r="AX30" s="1" t="str">
        <f>IF(IFERROR(INDEX($A$9:$X$304,$AS30,COLUMNS($AV$9:AX29)),"")=0,"",IFERROR(INDEX($A$9:$X$304,$AS30,COLUMNS($AV$9:AX29)),""))</f>
        <v>WILD</v>
      </c>
      <c r="AY30" s="1" t="str">
        <f>IF(IFERROR(INDEX($A$9:$X$304,$AS30,COLUMNS($AV$9:AY29)),"")=0,"",IFERROR(INDEX($A$9:$X$304,$AS30,COLUMNS($AV$9:AY29)),""))</f>
        <v/>
      </c>
      <c r="AZ30" s="1" t="str">
        <f>IF(IFERROR(INDEX($A$9:$X$304,$AS30,COLUMNS($AV$9:AZ29)),"")=0,"",IFERROR(INDEX($A$9:$X$304,$AS30,COLUMNS($AV$9:AZ29)),""))</f>
        <v>CHAMPION</v>
      </c>
      <c r="BA30" s="1">
        <f>IF(IFERROR(INDEX($A$9:$X$304,$AS30,COLUMNS($AV$9:BA29)),"")=0,"",IFERROR(INDEX($A$9:$X$304,$AS30,COLUMNS($AV$9:BA29)),""))</f>
        <v>7</v>
      </c>
      <c r="BB30" s="1">
        <f>IF(IFERROR(INDEX($A$9:$X$304,$AS30,COLUMNS($AV$9:BB29)),"")=0,"",IFERROR(INDEX($A$9:$X$304,$AS30,COLUMNS($AV$9:BB29)),""))</f>
        <v>5</v>
      </c>
      <c r="BC30" s="1" t="str">
        <f>IF(IFERROR(INDEX($A$9:$X$304,$AS30,COLUMNS($AV$9:BC29)),"")=0,"",IFERROR(INDEX($A$9:$X$304,$AS30,COLUMNS($AV$9:BC29)),""))</f>
        <v>Blitz ◆ Breakthrough</v>
      </c>
      <c r="BD30" s="1" t="str">
        <f>IF(IFERROR(INDEX($A$9:$X$304,$AS30,COLUMNS($AV$9:BD29)),"")=0,"",IFERROR(INDEX($A$9:$X$304,$AS30,COLUMNS($AV$9:BD29)),""))</f>
        <v>Tribute → Your wild champions get +2 {offense} and +2 {defense} this turn.</v>
      </c>
      <c r="BE30" s="1" t="str">
        <f>IF(IFERROR(INDEX($A$9:$X$304,$AS30,COLUMNS($AV$9:BE29)),"")=0,"",IFERROR(INDEX($A$9:$X$304,$AS30,COLUMNS($AV$9:BE29)),""))</f>
        <v/>
      </c>
      <c r="BF30" s="1" t="str">
        <f>IF(IFERROR(INDEX($A$9:$X$304,$AS30,COLUMNS($AV$9:BF29)),"")=0,"",IFERROR(INDEX($A$9:$X$304,$AS30,COLUMNS($AV$9:BF29)),""))</f>
        <v/>
      </c>
      <c r="BG30" s="1" t="str">
        <f>IF(IFERROR(INDEX($A$9:$X$304,$AS30,COLUMNS($AV$9:BG29)),"")=0,"",IFERROR(INDEX($A$9:$X$304,$AS30,COLUMNS($AV$9:BG29)),""))</f>
        <v>{1}: Recall</v>
      </c>
      <c r="BH30" s="1" t="str">
        <f>IF(IFERROR(INDEX($A$9:$X$304,$AS30,COLUMNS($AV$9:BH29)),"")=0,"",IFERROR(INDEX($A$9:$X$304,$AS30,COLUMNS($AV$9:BH29)),""))</f>
        <v/>
      </c>
      <c r="BI30" s="1" t="str">
        <f>IF(IFERROR(INDEX($A$9:$X$304,$AS30,COLUMNS($AV$9:BI29)),"")=0,"",IFERROR(INDEX($A$9:$X$304,$AS30,COLUMNS($AV$9:BI29)),""))</f>
        <v/>
      </c>
      <c r="BJ30" s="1" t="str">
        <f>IF(IFERROR(INDEX($A$9:$X$304,$AS30,COLUMNS($AV$9:BJ29)),"")=0,"",IFERROR(INDEX($A$9:$X$304,$AS30,COLUMNS($AV$9:BJ29)),""))</f>
        <v>MINOTAUR</v>
      </c>
      <c r="BK30" s="1" t="str">
        <f>IF(IFERROR(INDEX($A$9:$X$304,$AS30,COLUMNS($AV$9:BK29)),"")=0,"",IFERROR(INDEX($A$9:$X$304,$AS30,COLUMNS($AV$9:BK29)),""))</f>
        <v>Common</v>
      </c>
      <c r="BL30" s="1" t="str">
        <f>IF(IFERROR(INDEX($A$9:$X$304,$AS30,COLUMNS($AV$9:BL29)),"")=0,"",IFERROR(INDEX($A$9:$X$304,$AS30,COLUMNS($AV$9:BL29)),""))</f>
        <v>L.Sean</v>
      </c>
      <c r="BM30" s="1" t="str">
        <f>IF(IFERROR(INDEX($A$9:$X$304,$AS30,COLUMNS($AV$9:BM29)),"")=0,"",IFERROR(INDEX($A$9:$X$304,$AS30,COLUMNS($AV$9:BM29)),""))</f>
        <v>Base Set</v>
      </c>
      <c r="BN30" s="3" t="b">
        <f>IF(IFERROR(INDEX($A$9:$X$304,$AS30,COLUMNS($AV$9:BN29)),"")=0,"",IFERROR(INDEX($A$9:$X$304,$AS30,COLUMNS($AV$9:BN29)),""))</f>
        <v>1</v>
      </c>
      <c r="BO30" s="3" t="b">
        <f>IF(IFERROR(INDEX($A$9:$X$304,$AS30,COLUMNS($AV$9:BO29)),"")=0,"",IFERROR(INDEX($A$9:$X$304,$AS30,COLUMNS($AV$9:BO29)),""))</f>
        <v>0</v>
      </c>
      <c r="BP30" s="3" t="b">
        <f>IF(IFERROR(INDEX($A$9:$X$304,$AS30,COLUMNS($AV$9:BP29)),"")=0,"",IFERROR(INDEX($A$9:$X$304,$AS30,COLUMNS($AV$9:BP29)),""))</f>
        <v>0</v>
      </c>
      <c r="BQ30" s="3" t="b">
        <f>IF(IFERROR(INDEX($A$9:$X$304,$AS30,COLUMNS($AV$9:BQ29)),"")=0,"",IFERROR(INDEX($A$9:$X$304,$AS30,COLUMNS($AV$9:BQ29)),""))</f>
        <v>0</v>
      </c>
      <c r="BR30" s="3" t="str">
        <f>IF(IFERROR(INDEX($A$9:$X$304,$AS30,COLUMNS($AV$9:BR29)),"")=0,"",IFERROR(INDEX($A$9:$X$304,$AS30,COLUMNS($AV$9:BR29)),""))</f>
        <v>http://www.epiccardgame.com/wp-content/uploads/2015/09/bellowing_minotaur-215x300.jpg</v>
      </c>
      <c r="BS30" s="3" t="str">
        <f>IF(IFERROR(INDEX($A$9:$X$304,$AS30,COLUMNS($AV$9:BS29)),"")=0,"",IFERROR(INDEX($A$9:$X$304,$AS30,COLUMNS($AV$9:BS29)),""))</f>
        <v/>
      </c>
      <c r="BT30" s="3"/>
      <c r="BU30" s="15"/>
      <c r="BV30" t="s">
        <v>51</v>
      </c>
    </row>
    <row r="31" spans="1:74" ht="225" customHeight="1" x14ac:dyDescent="0.25">
      <c r="A31" t="s">
        <v>348</v>
      </c>
      <c r="B31">
        <v>1</v>
      </c>
      <c r="C31" t="s">
        <v>618</v>
      </c>
      <c r="E31" t="s">
        <v>619</v>
      </c>
      <c r="H31" t="s">
        <v>627</v>
      </c>
      <c r="I31" t="s">
        <v>781</v>
      </c>
      <c r="O31" t="s">
        <v>1068</v>
      </c>
      <c r="P31" t="s">
        <v>1112</v>
      </c>
      <c r="Q31" t="s">
        <v>1116</v>
      </c>
      <c r="R31" t="s">
        <v>1171</v>
      </c>
      <c r="S31" t="b">
        <v>1</v>
      </c>
      <c r="T31" t="b">
        <v>1</v>
      </c>
      <c r="U31" t="b">
        <v>0</v>
      </c>
      <c r="V31" t="b">
        <v>0</v>
      </c>
      <c r="W31" s="2" t="s">
        <v>1206</v>
      </c>
      <c r="X31" s="2"/>
      <c r="Y31" s="24">
        <v>23</v>
      </c>
      <c r="Z31">
        <f t="shared" si="0"/>
        <v>23</v>
      </c>
      <c r="AA31">
        <f t="shared" si="1"/>
        <v>23</v>
      </c>
      <c r="AB31">
        <f t="shared" si="2"/>
        <v>23</v>
      </c>
      <c r="AC31">
        <f t="shared" si="3"/>
        <v>0</v>
      </c>
      <c r="AD31">
        <f t="shared" si="4"/>
        <v>23</v>
      </c>
      <c r="AE31">
        <f t="shared" si="5"/>
        <v>0</v>
      </c>
      <c r="AF31">
        <f t="shared" si="6"/>
        <v>0</v>
      </c>
      <c r="AG31">
        <f t="shared" si="7"/>
        <v>23</v>
      </c>
      <c r="AH31">
        <f t="shared" si="8"/>
        <v>23</v>
      </c>
      <c r="AI31">
        <f t="shared" si="9"/>
        <v>0</v>
      </c>
      <c r="AJ31">
        <f t="shared" si="10"/>
        <v>0</v>
      </c>
      <c r="AK31">
        <f t="shared" si="11"/>
        <v>0</v>
      </c>
      <c r="AL31">
        <f t="shared" si="12"/>
        <v>0</v>
      </c>
      <c r="AM31">
        <f t="shared" si="13"/>
        <v>0</v>
      </c>
      <c r="AN31">
        <f t="shared" si="14"/>
        <v>23</v>
      </c>
      <c r="AO31">
        <f t="shared" si="15"/>
        <v>23</v>
      </c>
      <c r="AP31">
        <f t="shared" si="16"/>
        <v>23</v>
      </c>
      <c r="AQ31">
        <f t="shared" si="17"/>
        <v>23</v>
      </c>
      <c r="AR31" s="6">
        <f t="shared" si="18"/>
        <v>23</v>
      </c>
      <c r="AS31">
        <f t="shared" si="19"/>
        <v>23</v>
      </c>
      <c r="AV31" s="1" t="str">
        <f>IF(IFERROR(INDEX($A$9:$W$304,$AS31,COLUMNS($AV$9:AV30)),"")=0,"",IFERROR(INDEX($A$9:$W$304,$AS31,COLUMNS($AV$9:AV30)),""))</f>
        <v>Bitten</v>
      </c>
      <c r="AW31" s="1">
        <f>IFERROR(INDEX($A$9:$W$304,$AS31,COLUMNS($AV$9:AW30)),"")</f>
        <v>1</v>
      </c>
      <c r="AX31" s="1" t="str">
        <f>IF(IFERROR(INDEX($A$9:$X$304,$AS31,COLUMNS($AV$9:AX30)),"")=0,"",IFERROR(INDEX($A$9:$X$304,$AS31,COLUMNS($AV$9:AX30)),""))</f>
        <v>EVIL</v>
      </c>
      <c r="AY31" s="1" t="str">
        <f>IF(IFERROR(INDEX($A$9:$X$304,$AS31,COLUMNS($AV$9:AY30)),"")=0,"",IFERROR(INDEX($A$9:$X$304,$AS31,COLUMNS($AV$9:AY30)),""))</f>
        <v/>
      </c>
      <c r="AZ31" s="1" t="str">
        <f>IF(IFERROR(INDEX($A$9:$X$304,$AS31,COLUMNS($AV$9:AZ30)),"")=0,"",IFERROR(INDEX($A$9:$X$304,$AS31,COLUMNS($AV$9:AZ30)),""))</f>
        <v>EVENT</v>
      </c>
      <c r="BA31" s="1" t="str">
        <f>IF(IFERROR(INDEX($A$9:$X$304,$AS31,COLUMNS($AV$9:BA30)),"")=0,"",IFERROR(INDEX($A$9:$X$304,$AS31,COLUMNS($AV$9:BA30)),""))</f>
        <v/>
      </c>
      <c r="BB31" s="1" t="str">
        <f>IF(IFERROR(INDEX($A$9:$X$304,$AS31,COLUMNS($AV$9:BB30)),"")=0,"",IFERROR(INDEX($A$9:$X$304,$AS31,COLUMNS($AV$9:BB30)),""))</f>
        <v/>
      </c>
      <c r="BC31" s="1" t="str">
        <f>IF(IFERROR(INDEX($A$9:$X$304,$AS31,COLUMNS($AV$9:BC30)),"")=0,"",IFERROR(INDEX($A$9:$X$304,$AS31,COLUMNS($AV$9:BC30)),""))</f>
        <v>Draw two cards.</v>
      </c>
      <c r="BD31" s="1" t="str">
        <f>IF(IFERROR(INDEX($A$9:$X$304,$AS31,COLUMNS($AV$9:BD30)),"")=0,"",IFERROR(INDEX($A$9:$X$304,$AS31,COLUMNS($AV$9:BD30)),""))</f>
        <v>Break target champion. The player whose turn it is puts a zombie token into play.</v>
      </c>
      <c r="BE31" s="1" t="str">
        <f>IF(IFERROR(INDEX($A$9:$X$304,$AS31,COLUMNS($AV$9:BE30)),"")=0,"",IFERROR(INDEX($A$9:$X$304,$AS31,COLUMNS($AV$9:BE30)),""))</f>
        <v/>
      </c>
      <c r="BF31" s="1" t="str">
        <f>IF(IFERROR(INDEX($A$9:$X$304,$AS31,COLUMNS($AV$9:BF30)),"")=0,"",IFERROR(INDEX($A$9:$X$304,$AS31,COLUMNS($AV$9:BF30)),""))</f>
        <v/>
      </c>
      <c r="BG31" s="1" t="str">
        <f>IF(IFERROR(INDEX($A$9:$X$304,$AS31,COLUMNS($AV$9:BG30)),"")=0,"",IFERROR(INDEX($A$9:$X$304,$AS31,COLUMNS($AV$9:BG30)),""))</f>
        <v/>
      </c>
      <c r="BH31" s="1" t="str">
        <f>IF(IFERROR(INDEX($A$9:$X$304,$AS31,COLUMNS($AV$9:BH30)),"")=0,"",IFERROR(INDEX($A$9:$X$304,$AS31,COLUMNS($AV$9:BH30)),""))</f>
        <v/>
      </c>
      <c r="BI31" s="1" t="str">
        <f>IF(IFERROR(INDEX($A$9:$X$304,$AS31,COLUMNS($AV$9:BI30)),"")=0,"",IFERROR(INDEX($A$9:$X$304,$AS31,COLUMNS($AV$9:BI30)),""))</f>
        <v/>
      </c>
      <c r="BJ31" s="1" t="str">
        <f>IF(IFERROR(INDEX($A$9:$X$304,$AS31,COLUMNS($AV$9:BJ30)),"")=0,"",IFERROR(INDEX($A$9:$X$304,$AS31,COLUMNS($AV$9:BJ30)),""))</f>
        <v>ZOMBIE</v>
      </c>
      <c r="BK31" s="1" t="str">
        <f>IF(IFERROR(INDEX($A$9:$X$304,$AS31,COLUMNS($AV$9:BK30)),"")=0,"",IFERROR(INDEX($A$9:$X$304,$AS31,COLUMNS($AV$9:BK30)),""))</f>
        <v>Common</v>
      </c>
      <c r="BL31" s="1" t="str">
        <f>IF(IFERROR(INDEX($A$9:$X$304,$AS31,COLUMNS($AV$9:BL30)),"")=0,"",IFERROR(INDEX($A$9:$X$304,$AS31,COLUMNS($AV$9:BL30)),""))</f>
        <v>Apsara</v>
      </c>
      <c r="BM31" s="1" t="str">
        <f>IF(IFERROR(INDEX($A$9:$X$304,$AS31,COLUMNS($AV$9:BM30)),"")=0,"",IFERROR(INDEX($A$9:$X$304,$AS31,COLUMNS($AV$9:BM30)),""))</f>
        <v>Base Set</v>
      </c>
      <c r="BN31" s="3" t="b">
        <f>IF(IFERROR(INDEX($A$9:$X$304,$AS31,COLUMNS($AV$9:BN30)),"")=0,"",IFERROR(INDEX($A$9:$X$304,$AS31,COLUMNS($AV$9:BN30)),""))</f>
        <v>1</v>
      </c>
      <c r="BO31" s="3" t="b">
        <f>IF(IFERROR(INDEX($A$9:$X$304,$AS31,COLUMNS($AV$9:BO30)),"")=0,"",IFERROR(INDEX($A$9:$X$304,$AS31,COLUMNS($AV$9:BO30)),""))</f>
        <v>1</v>
      </c>
      <c r="BP31" s="3" t="b">
        <f>IF(IFERROR(INDEX($A$9:$X$304,$AS31,COLUMNS($AV$9:BP30)),"")=0,"",IFERROR(INDEX($A$9:$X$304,$AS31,COLUMNS($AV$9:BP30)),""))</f>
        <v>0</v>
      </c>
      <c r="BQ31" s="3" t="b">
        <f>IF(IFERROR(INDEX($A$9:$X$304,$AS31,COLUMNS($AV$9:BQ30)),"")=0,"",IFERROR(INDEX($A$9:$X$304,$AS31,COLUMNS($AV$9:BQ30)),""))</f>
        <v>0</v>
      </c>
      <c r="BR31" s="3" t="str">
        <f>IF(IFERROR(INDEX($A$9:$X$304,$AS31,COLUMNS($AV$9:BR30)),"")=0,"",IFERROR(INDEX($A$9:$X$304,$AS31,COLUMNS($AV$9:BR30)),""))</f>
        <v>http://www.epiccardgame.com/wp-content/uploads/2015/09/bitten-215x300.jpg</v>
      </c>
      <c r="BS31" s="3" t="str">
        <f>IF(IFERROR(INDEX($A$9:$X$304,$AS31,COLUMNS($AV$9:BS30)),"")=0,"",IFERROR(INDEX($A$9:$X$304,$AS31,COLUMNS($AV$9:BS30)),""))</f>
        <v/>
      </c>
      <c r="BT31" s="3"/>
      <c r="BU31" s="15"/>
      <c r="BV31" t="s">
        <v>52</v>
      </c>
    </row>
    <row r="32" spans="1:74" ht="225" customHeight="1" x14ac:dyDescent="0.25">
      <c r="A32" t="s">
        <v>349</v>
      </c>
      <c r="B32">
        <v>0</v>
      </c>
      <c r="C32" t="s">
        <v>617</v>
      </c>
      <c r="E32" t="s">
        <v>619</v>
      </c>
      <c r="H32" t="s">
        <v>637</v>
      </c>
      <c r="I32" t="s">
        <v>23</v>
      </c>
      <c r="O32" t="s">
        <v>1062</v>
      </c>
      <c r="P32" t="s">
        <v>1113</v>
      </c>
      <c r="Q32" t="s">
        <v>1127</v>
      </c>
      <c r="R32" t="s">
        <v>1178</v>
      </c>
      <c r="S32" t="b">
        <v>0</v>
      </c>
      <c r="T32" t="b">
        <v>0</v>
      </c>
      <c r="U32" t="b">
        <v>0</v>
      </c>
      <c r="V32" t="b">
        <v>0</v>
      </c>
      <c r="W32" s="2" t="s">
        <v>1207</v>
      </c>
      <c r="X32" s="2"/>
      <c r="Y32" s="24">
        <v>24</v>
      </c>
      <c r="Z32">
        <f t="shared" si="0"/>
        <v>24</v>
      </c>
      <c r="AA32">
        <f t="shared" si="1"/>
        <v>24</v>
      </c>
      <c r="AB32">
        <f t="shared" si="2"/>
        <v>24</v>
      </c>
      <c r="AC32">
        <f t="shared" si="3"/>
        <v>0</v>
      </c>
      <c r="AD32">
        <f t="shared" si="4"/>
        <v>24</v>
      </c>
      <c r="AE32">
        <f t="shared" si="5"/>
        <v>0</v>
      </c>
      <c r="AF32">
        <f t="shared" si="6"/>
        <v>0</v>
      </c>
      <c r="AG32">
        <f t="shared" si="7"/>
        <v>24</v>
      </c>
      <c r="AH32">
        <f t="shared" si="8"/>
        <v>24</v>
      </c>
      <c r="AI32">
        <f t="shared" si="9"/>
        <v>0</v>
      </c>
      <c r="AJ32">
        <f t="shared" si="10"/>
        <v>0</v>
      </c>
      <c r="AK32">
        <f t="shared" si="11"/>
        <v>0</v>
      </c>
      <c r="AL32">
        <f t="shared" si="12"/>
        <v>0</v>
      </c>
      <c r="AM32">
        <f t="shared" si="13"/>
        <v>0</v>
      </c>
      <c r="AN32">
        <f t="shared" si="14"/>
        <v>24</v>
      </c>
      <c r="AO32">
        <f t="shared" si="15"/>
        <v>24</v>
      </c>
      <c r="AP32">
        <f t="shared" si="16"/>
        <v>24</v>
      </c>
      <c r="AQ32">
        <f t="shared" si="17"/>
        <v>24</v>
      </c>
      <c r="AR32" s="6">
        <f t="shared" si="18"/>
        <v>24</v>
      </c>
      <c r="AS32">
        <f t="shared" si="19"/>
        <v>24</v>
      </c>
      <c r="AV32" s="1" t="str">
        <f>IF(IFERROR(INDEX($A$9:$W$304,$AS32,COLUMNS($AV$9:AV31)),"")=0,"",IFERROR(INDEX($A$9:$W$304,$AS32,COLUMNS($AV$9:AV31)),""))</f>
        <v>Blind Faith</v>
      </c>
      <c r="AW32" s="1">
        <f>IFERROR(INDEX($A$9:$W$304,$AS32,COLUMNS($AV$9:AW31)),"")</f>
        <v>0</v>
      </c>
      <c r="AX32" s="1" t="str">
        <f>IF(IFERROR(INDEX($A$9:$X$304,$AS32,COLUMNS($AV$9:AX31)),"")=0,"",IFERROR(INDEX($A$9:$X$304,$AS32,COLUMNS($AV$9:AX31)),""))</f>
        <v>GOOD</v>
      </c>
      <c r="AY32" s="1" t="str">
        <f>IF(IFERROR(INDEX($A$9:$X$304,$AS32,COLUMNS($AV$9:AY31)),"")=0,"",IFERROR(INDEX($A$9:$X$304,$AS32,COLUMNS($AV$9:AY31)),""))</f>
        <v/>
      </c>
      <c r="AZ32" s="1" t="str">
        <f>IF(IFERROR(INDEX($A$9:$X$304,$AS32,COLUMNS($AV$9:AZ31)),"")=0,"",IFERROR(INDEX($A$9:$X$304,$AS32,COLUMNS($AV$9:AZ31)),""))</f>
        <v>EVENT</v>
      </c>
      <c r="BA32" s="1" t="str">
        <f>IF(IFERROR(INDEX($A$9:$X$304,$AS32,COLUMNS($AV$9:BA31)),"")=0,"",IFERROR(INDEX($A$9:$X$304,$AS32,COLUMNS($AV$9:BA31)),""))</f>
        <v/>
      </c>
      <c r="BB32" s="1" t="str">
        <f>IF(IFERROR(INDEX($A$9:$X$304,$AS32,COLUMNS($AV$9:BB31)),"")=0,"",IFERROR(INDEX($A$9:$X$304,$AS32,COLUMNS($AV$9:BB31)),""))</f>
        <v/>
      </c>
      <c r="BC32" s="1" t="str">
        <f>IF(IFERROR(INDEX($A$9:$X$304,$AS32,COLUMNS($AV$9:BC31)),"")=0,"",IFERROR(INDEX($A$9:$X$304,$AS32,COLUMNS($AV$9:BC31)),""))</f>
        <v>Each opposing champion loses its powers and abilities this turn. (For example, they would lose airborne.)</v>
      </c>
      <c r="BD32" s="1" t="str">
        <f>IF(IFERROR(INDEX($A$9:$X$304,$AS32,COLUMNS($AV$9:BD31)),"")=0,"",IFERROR(INDEX($A$9:$X$304,$AS32,COLUMNS($AV$9:BD31)),""))</f>
        <v>Recycle</v>
      </c>
      <c r="BE32" s="1" t="str">
        <f>IF(IFERROR(INDEX($A$9:$X$304,$AS32,COLUMNS($AV$9:BE31)),"")=0,"",IFERROR(INDEX($A$9:$X$304,$AS32,COLUMNS($AV$9:BE31)),""))</f>
        <v/>
      </c>
      <c r="BF32" s="1" t="str">
        <f>IF(IFERROR(INDEX($A$9:$X$304,$AS32,COLUMNS($AV$9:BF31)),"")=0,"",IFERROR(INDEX($A$9:$X$304,$AS32,COLUMNS($AV$9:BF31)),""))</f>
        <v/>
      </c>
      <c r="BG32" s="1" t="str">
        <f>IF(IFERROR(INDEX($A$9:$X$304,$AS32,COLUMNS($AV$9:BG31)),"")=0,"",IFERROR(INDEX($A$9:$X$304,$AS32,COLUMNS($AV$9:BG31)),""))</f>
        <v/>
      </c>
      <c r="BH32" s="1" t="str">
        <f>IF(IFERROR(INDEX($A$9:$X$304,$AS32,COLUMNS($AV$9:BH31)),"")=0,"",IFERROR(INDEX($A$9:$X$304,$AS32,COLUMNS($AV$9:BH31)),""))</f>
        <v/>
      </c>
      <c r="BI32" s="1" t="str">
        <f>IF(IFERROR(INDEX($A$9:$X$304,$AS32,COLUMNS($AV$9:BI31)),"")=0,"",IFERROR(INDEX($A$9:$X$304,$AS32,COLUMNS($AV$9:BI31)),""))</f>
        <v/>
      </c>
      <c r="BJ32" s="1" t="str">
        <f>IF(IFERROR(INDEX($A$9:$X$304,$AS32,COLUMNS($AV$9:BJ31)),"")=0,"",IFERROR(INDEX($A$9:$X$304,$AS32,COLUMNS($AV$9:BJ31)),""))</f>
        <v>None</v>
      </c>
      <c r="BK32" s="1" t="str">
        <f>IF(IFERROR(INDEX($A$9:$X$304,$AS32,COLUMNS($AV$9:BK31)),"")=0,"",IFERROR(INDEX($A$9:$X$304,$AS32,COLUMNS($AV$9:BK31)),""))</f>
        <v>Rare</v>
      </c>
      <c r="BL32" s="1" t="str">
        <f>IF(IFERROR(INDEX($A$9:$X$304,$AS32,COLUMNS($AV$9:BL31)),"")=0,"",IFERROR(INDEX($A$9:$X$304,$AS32,COLUMNS($AV$9:BL31)),""))</f>
        <v>Johnny Morrow</v>
      </c>
      <c r="BM32" s="1" t="str">
        <f>IF(IFERROR(INDEX($A$9:$X$304,$AS32,COLUMNS($AV$9:BM31)),"")=0,"",IFERROR(INDEX($A$9:$X$304,$AS32,COLUMNS($AV$9:BM31)),""))</f>
        <v>Tyrants: Draka's Rage</v>
      </c>
      <c r="BN32" s="3" t="b">
        <f>IF(IFERROR(INDEX($A$9:$X$304,$AS32,COLUMNS($AV$9:BN31)),"")=0,"",IFERROR(INDEX($A$9:$X$304,$AS32,COLUMNS($AV$9:BN31)),""))</f>
        <v>0</v>
      </c>
      <c r="BO32" s="3" t="b">
        <f>IF(IFERROR(INDEX($A$9:$X$304,$AS32,COLUMNS($AV$9:BO31)),"")=0,"",IFERROR(INDEX($A$9:$X$304,$AS32,COLUMNS($AV$9:BO31)),""))</f>
        <v>0</v>
      </c>
      <c r="BP32" s="3" t="b">
        <f>IF(IFERROR(INDEX($A$9:$X$304,$AS32,COLUMNS($AV$9:BP31)),"")=0,"",IFERROR(INDEX($A$9:$X$304,$AS32,COLUMNS($AV$9:BP31)),""))</f>
        <v>0</v>
      </c>
      <c r="BQ32" s="3" t="b">
        <f>IF(IFERROR(INDEX($A$9:$X$304,$AS32,COLUMNS($AV$9:BQ31)),"")=0,"",IFERROR(INDEX($A$9:$X$304,$AS32,COLUMNS($AV$9:BQ31)),""))</f>
        <v>0</v>
      </c>
      <c r="BR32" s="3" t="str">
        <f>IF(IFERROR(INDEX($A$9:$X$304,$AS32,COLUMNS($AV$9:BR31)),"")=0,"",IFERROR(INDEX($A$9:$X$304,$AS32,COLUMNS($AV$9:BR31)),""))</f>
        <v>http://www.epiccardgame.com/wp-content/uploads/2016/03/blind_faith-214x300.jpg</v>
      </c>
      <c r="BS32" s="3" t="str">
        <f>IF(IFERROR(INDEX($A$9:$X$304,$AS32,COLUMNS($AV$9:BS31)),"")=0,"",IFERROR(INDEX($A$9:$X$304,$AS32,COLUMNS($AV$9:BS31)),""))</f>
        <v/>
      </c>
      <c r="BT32" s="3"/>
      <c r="BU32" s="15"/>
      <c r="BV32" t="s">
        <v>53</v>
      </c>
    </row>
    <row r="33" spans="1:74" ht="225.2" customHeight="1" x14ac:dyDescent="0.25">
      <c r="A33" t="s">
        <v>350</v>
      </c>
      <c r="B33">
        <v>1</v>
      </c>
      <c r="C33" t="s">
        <v>616</v>
      </c>
      <c r="E33" t="s">
        <v>620</v>
      </c>
      <c r="F33">
        <v>6</v>
      </c>
      <c r="G33">
        <v>4</v>
      </c>
      <c r="H33" t="s">
        <v>25</v>
      </c>
      <c r="I33" t="s">
        <v>782</v>
      </c>
      <c r="J33" t="s">
        <v>969</v>
      </c>
      <c r="O33" t="s">
        <v>1069</v>
      </c>
      <c r="P33" t="s">
        <v>1112</v>
      </c>
      <c r="Q33" t="s">
        <v>1114</v>
      </c>
      <c r="R33" t="s">
        <v>1171</v>
      </c>
      <c r="S33" t="b">
        <v>1</v>
      </c>
      <c r="T33" t="b">
        <v>0</v>
      </c>
      <c r="U33" t="b">
        <v>0</v>
      </c>
      <c r="V33" t="b">
        <v>0</v>
      </c>
      <c r="W33" s="2" t="s">
        <v>1208</v>
      </c>
      <c r="X33" s="2"/>
      <c r="Y33" s="24">
        <v>25</v>
      </c>
      <c r="Z33">
        <f t="shared" si="0"/>
        <v>25</v>
      </c>
      <c r="AA33">
        <f t="shared" si="1"/>
        <v>25</v>
      </c>
      <c r="AB33">
        <f t="shared" si="2"/>
        <v>25</v>
      </c>
      <c r="AC33">
        <f t="shared" si="3"/>
        <v>0</v>
      </c>
      <c r="AD33">
        <f t="shared" si="4"/>
        <v>25</v>
      </c>
      <c r="AE33">
        <f t="shared" si="5"/>
        <v>25</v>
      </c>
      <c r="AF33">
        <f t="shared" si="6"/>
        <v>25</v>
      </c>
      <c r="AG33">
        <f t="shared" si="7"/>
        <v>25</v>
      </c>
      <c r="AH33">
        <f t="shared" si="8"/>
        <v>25</v>
      </c>
      <c r="AI33">
        <f t="shared" si="9"/>
        <v>25</v>
      </c>
      <c r="AJ33">
        <f t="shared" si="10"/>
        <v>0</v>
      </c>
      <c r="AK33">
        <f t="shared" si="11"/>
        <v>0</v>
      </c>
      <c r="AL33">
        <f t="shared" si="12"/>
        <v>0</v>
      </c>
      <c r="AM33">
        <f t="shared" si="13"/>
        <v>0</v>
      </c>
      <c r="AN33">
        <f t="shared" si="14"/>
        <v>25</v>
      </c>
      <c r="AO33">
        <f t="shared" si="15"/>
        <v>25</v>
      </c>
      <c r="AP33">
        <f t="shared" si="16"/>
        <v>25</v>
      </c>
      <c r="AQ33">
        <f t="shared" si="17"/>
        <v>25</v>
      </c>
      <c r="AR33" s="6">
        <f t="shared" si="18"/>
        <v>25</v>
      </c>
      <c r="AS33">
        <f t="shared" si="19"/>
        <v>25</v>
      </c>
      <c r="AV33" s="1" t="str">
        <f>IF(IFERROR(INDEX($A$9:$W$304,$AS33,COLUMNS($AV$9:AV32)),"")=0,"",IFERROR(INDEX($A$9:$W$304,$AS33,COLUMNS($AV$9:AV32)),""))</f>
        <v>Blue Dragon</v>
      </c>
      <c r="AW33" s="1">
        <f>IFERROR(INDEX($A$9:$W$304,$AS33,COLUMNS($AV$9:AW32)),"")</f>
        <v>1</v>
      </c>
      <c r="AX33" s="1" t="str">
        <f>IF(IFERROR(INDEX($A$9:$X$304,$AS33,COLUMNS($AV$9:AX32)),"")=0,"",IFERROR(INDEX($A$9:$X$304,$AS33,COLUMNS($AV$9:AX32)),""))</f>
        <v>SAGE</v>
      </c>
      <c r="AY33" s="1" t="str">
        <f>IF(IFERROR(INDEX($A$9:$X$304,$AS33,COLUMNS($AV$9:AY32)),"")=0,"",IFERROR(INDEX($A$9:$X$304,$AS33,COLUMNS($AV$9:AY32)),""))</f>
        <v/>
      </c>
      <c r="AZ33" s="1" t="str">
        <f>IF(IFERROR(INDEX($A$9:$X$304,$AS33,COLUMNS($AV$9:AZ32)),"")=0,"",IFERROR(INDEX($A$9:$X$304,$AS33,COLUMNS($AV$9:AZ32)),""))</f>
        <v>CHAMPION</v>
      </c>
      <c r="BA33" s="1">
        <f>IF(IFERROR(INDEX($A$9:$X$304,$AS33,COLUMNS($AV$9:BA32)),"")=0,"",IFERROR(INDEX($A$9:$X$304,$AS33,COLUMNS($AV$9:BA32)),""))</f>
        <v>6</v>
      </c>
      <c r="BB33" s="1">
        <f>IF(IFERROR(INDEX($A$9:$X$304,$AS33,COLUMNS($AV$9:BB32)),"")=0,"",IFERROR(INDEX($A$9:$X$304,$AS33,COLUMNS($AV$9:BB32)),""))</f>
        <v>4</v>
      </c>
      <c r="BC33" s="1" t="str">
        <f>IF(IFERROR(INDEX($A$9:$X$304,$AS33,COLUMNS($AV$9:BC32)),"")=0,"",IFERROR(INDEX($A$9:$X$304,$AS33,COLUMNS($AV$9:BC32)),""))</f>
        <v>Airborne</v>
      </c>
      <c r="BD33" s="1" t="str">
        <f>IF(IFERROR(INDEX($A$9:$X$304,$AS33,COLUMNS($AV$9:BD32)),"")=0,"",IFERROR(INDEX($A$9:$X$304,$AS33,COLUMNS($AV$9:BD32)),""))</f>
        <v>Tribute → Draw a card and deal 2 damage to a target.</v>
      </c>
      <c r="BE33" s="1" t="str">
        <f>IF(IFERROR(INDEX($A$9:$X$304,$AS33,COLUMNS($AV$9:BE32)),"")=0,"",IFERROR(INDEX($A$9:$X$304,$AS33,COLUMNS($AV$9:BE32)),""))</f>
        <v>{sage} → Deal 2 damage to a target.</v>
      </c>
      <c r="BF33" s="1" t="str">
        <f>IF(IFERROR(INDEX($A$9:$X$304,$AS33,COLUMNS($AV$9:BF32)),"")=0,"",IFERROR(INDEX($A$9:$X$304,$AS33,COLUMNS($AV$9:BF32)),""))</f>
        <v/>
      </c>
      <c r="BG33" s="1" t="str">
        <f>IF(IFERROR(INDEX($A$9:$X$304,$AS33,COLUMNS($AV$9:BG32)),"")=0,"",IFERROR(INDEX($A$9:$X$304,$AS33,COLUMNS($AV$9:BG32)),""))</f>
        <v/>
      </c>
      <c r="BH33" s="1" t="str">
        <f>IF(IFERROR(INDEX($A$9:$X$304,$AS33,COLUMNS($AV$9:BH32)),"")=0,"",IFERROR(INDEX($A$9:$X$304,$AS33,COLUMNS($AV$9:BH32)),""))</f>
        <v/>
      </c>
      <c r="BI33" s="1" t="str">
        <f>IF(IFERROR(INDEX($A$9:$X$304,$AS33,COLUMNS($AV$9:BI32)),"")=0,"",IFERROR(INDEX($A$9:$X$304,$AS33,COLUMNS($AV$9:BI32)),""))</f>
        <v/>
      </c>
      <c r="BJ33" s="1" t="str">
        <f>IF(IFERROR(INDEX($A$9:$X$304,$AS33,COLUMNS($AV$9:BJ32)),"")=0,"",IFERROR(INDEX($A$9:$X$304,$AS33,COLUMNS($AV$9:BJ32)),""))</f>
        <v>DRAGON</v>
      </c>
      <c r="BK33" s="1" t="str">
        <f>IF(IFERROR(INDEX($A$9:$X$304,$AS33,COLUMNS($AV$9:BK32)),"")=0,"",IFERROR(INDEX($A$9:$X$304,$AS33,COLUMNS($AV$9:BK32)),""))</f>
        <v>Common</v>
      </c>
      <c r="BL33" s="1" t="str">
        <f>IF(IFERROR(INDEX($A$9:$X$304,$AS33,COLUMNS($AV$9:BL32)),"")=0,"",IFERROR(INDEX($A$9:$X$304,$AS33,COLUMNS($AV$9:BL32)),""))</f>
        <v>Jaan-Paul van Eeden</v>
      </c>
      <c r="BM33" s="1" t="str">
        <f>IF(IFERROR(INDEX($A$9:$X$304,$AS33,COLUMNS($AV$9:BM32)),"")=0,"",IFERROR(INDEX($A$9:$X$304,$AS33,COLUMNS($AV$9:BM32)),""))</f>
        <v>Base Set</v>
      </c>
      <c r="BN33" s="3" t="b">
        <f>IF(IFERROR(INDEX($A$9:$X$304,$AS33,COLUMNS($AV$9:BN32)),"")=0,"",IFERROR(INDEX($A$9:$X$304,$AS33,COLUMNS($AV$9:BN32)),""))</f>
        <v>1</v>
      </c>
      <c r="BO33" s="3" t="b">
        <f>IF(IFERROR(INDEX($A$9:$X$304,$AS33,COLUMNS($AV$9:BO32)),"")=0,"",IFERROR(INDEX($A$9:$X$304,$AS33,COLUMNS($AV$9:BO32)),""))</f>
        <v>0</v>
      </c>
      <c r="BP33" s="3" t="b">
        <f>IF(IFERROR(INDEX($A$9:$X$304,$AS33,COLUMNS($AV$9:BP32)),"")=0,"",IFERROR(INDEX($A$9:$X$304,$AS33,COLUMNS($AV$9:BP32)),""))</f>
        <v>0</v>
      </c>
      <c r="BQ33" s="3" t="b">
        <f>IF(IFERROR(INDEX($A$9:$X$304,$AS33,COLUMNS($AV$9:BQ32)),"")=0,"",IFERROR(INDEX($A$9:$X$304,$AS33,COLUMNS($AV$9:BQ32)),""))</f>
        <v>0</v>
      </c>
      <c r="BR33" s="3" t="str">
        <f>IF(IFERROR(INDEX($A$9:$X$304,$AS33,COLUMNS($AV$9:BR32)),"")=0,"",IFERROR(INDEX($A$9:$X$304,$AS33,COLUMNS($AV$9:BR32)),""))</f>
        <v>http://www.epiccardgame.com/wp-content/uploads/2015/09/blue_dragon-215x300.jpg</v>
      </c>
      <c r="BS33" s="3" t="str">
        <f>IF(IFERROR(INDEX($A$9:$X$304,$AS33,COLUMNS($AV$9:BS32)),"")=0,"",IFERROR(INDEX($A$9:$X$304,$AS33,COLUMNS($AV$9:BS32)),""))</f>
        <v/>
      </c>
      <c r="BT33" s="3"/>
      <c r="BU33" s="15"/>
      <c r="BV33" t="s">
        <v>54</v>
      </c>
    </row>
    <row r="34" spans="1:74" ht="225" customHeight="1" x14ac:dyDescent="0.25">
      <c r="A34" t="s">
        <v>351</v>
      </c>
      <c r="B34">
        <v>0</v>
      </c>
      <c r="C34" t="s">
        <v>617</v>
      </c>
      <c r="E34" t="s">
        <v>620</v>
      </c>
      <c r="F34">
        <v>2</v>
      </c>
      <c r="G34">
        <v>1</v>
      </c>
      <c r="H34" t="s">
        <v>638</v>
      </c>
      <c r="L34" t="s">
        <v>1045</v>
      </c>
      <c r="O34" t="s">
        <v>1063</v>
      </c>
      <c r="P34" t="s">
        <v>1112</v>
      </c>
      <c r="Q34" t="s">
        <v>1128</v>
      </c>
      <c r="R34" t="s">
        <v>1177</v>
      </c>
      <c r="S34" t="b">
        <v>0</v>
      </c>
      <c r="T34" t="b">
        <v>0</v>
      </c>
      <c r="U34" t="b">
        <v>0</v>
      </c>
      <c r="V34" t="b">
        <v>0</v>
      </c>
      <c r="W34" s="2" t="s">
        <v>1209</v>
      </c>
      <c r="X34" s="2"/>
      <c r="Y34" s="24">
        <v>26</v>
      </c>
      <c r="Z34">
        <f t="shared" si="0"/>
        <v>26</v>
      </c>
      <c r="AA34">
        <f t="shared" si="1"/>
        <v>26</v>
      </c>
      <c r="AB34">
        <f t="shared" si="2"/>
        <v>26</v>
      </c>
      <c r="AC34">
        <f t="shared" si="3"/>
        <v>0</v>
      </c>
      <c r="AD34">
        <f t="shared" si="4"/>
        <v>26</v>
      </c>
      <c r="AE34">
        <f t="shared" si="5"/>
        <v>26</v>
      </c>
      <c r="AF34">
        <f t="shared" si="6"/>
        <v>26</v>
      </c>
      <c r="AG34">
        <f t="shared" si="7"/>
        <v>26</v>
      </c>
      <c r="AH34">
        <f t="shared" si="8"/>
        <v>0</v>
      </c>
      <c r="AI34">
        <f t="shared" si="9"/>
        <v>0</v>
      </c>
      <c r="AJ34">
        <f t="shared" si="10"/>
        <v>0</v>
      </c>
      <c r="AK34">
        <f t="shared" si="11"/>
        <v>26</v>
      </c>
      <c r="AL34">
        <f t="shared" si="12"/>
        <v>0</v>
      </c>
      <c r="AM34">
        <f t="shared" si="13"/>
        <v>0</v>
      </c>
      <c r="AN34">
        <f t="shared" si="14"/>
        <v>26</v>
      </c>
      <c r="AO34">
        <f t="shared" si="15"/>
        <v>26</v>
      </c>
      <c r="AP34">
        <f t="shared" si="16"/>
        <v>26</v>
      </c>
      <c r="AQ34">
        <f t="shared" si="17"/>
        <v>26</v>
      </c>
      <c r="AR34" s="6">
        <f t="shared" si="18"/>
        <v>26</v>
      </c>
      <c r="AS34">
        <f t="shared" si="19"/>
        <v>26</v>
      </c>
      <c r="AV34" s="1" t="str">
        <f>IF(IFERROR(INDEX($A$9:$W$304,$AS34,COLUMNS($AV$9:AV33)),"")=0,"",IFERROR(INDEX($A$9:$W$304,$AS34,COLUMNS($AV$9:AV33)),""))</f>
        <v>Bodyguard</v>
      </c>
      <c r="AW34" s="1">
        <f>IFERROR(INDEX($A$9:$W$304,$AS34,COLUMNS($AV$9:AW33)),"")</f>
        <v>0</v>
      </c>
      <c r="AX34" s="1" t="str">
        <f>IF(IFERROR(INDEX($A$9:$X$304,$AS34,COLUMNS($AV$9:AX33)),"")=0,"",IFERROR(INDEX($A$9:$X$304,$AS34,COLUMNS($AV$9:AX33)),""))</f>
        <v>GOOD</v>
      </c>
      <c r="AY34" s="1" t="str">
        <f>IF(IFERROR(INDEX($A$9:$X$304,$AS34,COLUMNS($AV$9:AY33)),"")=0,"",IFERROR(INDEX($A$9:$X$304,$AS34,COLUMNS($AV$9:AY33)),""))</f>
        <v/>
      </c>
      <c r="AZ34" s="1" t="str">
        <f>IF(IFERROR(INDEX($A$9:$X$304,$AS34,COLUMNS($AV$9:AZ33)),"")=0,"",IFERROR(INDEX($A$9:$X$304,$AS34,COLUMNS($AV$9:AZ33)),""))</f>
        <v>CHAMPION</v>
      </c>
      <c r="BA34" s="1">
        <f>IF(IFERROR(INDEX($A$9:$X$304,$AS34,COLUMNS($AV$9:BA33)),"")=0,"",IFERROR(INDEX($A$9:$X$304,$AS34,COLUMNS($AV$9:BA33)),""))</f>
        <v>2</v>
      </c>
      <c r="BB34" s="1">
        <f>IF(IFERROR(INDEX($A$9:$X$304,$AS34,COLUMNS($AV$9:BB33)),"")=0,"",IFERROR(INDEX($A$9:$X$304,$AS34,COLUMNS($AV$9:BB33)),""))</f>
        <v>1</v>
      </c>
      <c r="BC34" s="1" t="str">
        <f>IF(IFERROR(INDEX($A$9:$X$304,$AS34,COLUMNS($AV$9:BC33)),"")=0,"",IFERROR(INDEX($A$9:$X$304,$AS34,COLUMNS($AV$9:BC33)),""))</f>
        <v>Ambush ◆ Blitz</v>
      </c>
      <c r="BD34" s="1" t="str">
        <f>IF(IFERROR(INDEX($A$9:$X$304,$AS34,COLUMNS($AV$9:BD33)),"")=0,"",IFERROR(INDEX($A$9:$X$304,$AS34,COLUMNS($AV$9:BD33)),""))</f>
        <v/>
      </c>
      <c r="BE34" s="1" t="str">
        <f>IF(IFERROR(INDEX($A$9:$X$304,$AS34,COLUMNS($AV$9:BE33)),"")=0,"",IFERROR(INDEX($A$9:$X$304,$AS34,COLUMNS($AV$9:BE33)),""))</f>
        <v/>
      </c>
      <c r="BF34" s="1" t="str">
        <f>IF(IFERROR(INDEX($A$9:$X$304,$AS34,COLUMNS($AV$9:BF33)),"")=0,"",IFERROR(INDEX($A$9:$X$304,$AS34,COLUMNS($AV$9:BF33)),""))</f>
        <v/>
      </c>
      <c r="BG34" s="1" t="str">
        <f>IF(IFERROR(INDEX($A$9:$X$304,$AS34,COLUMNS($AV$9:BG33)),"")=0,"",IFERROR(INDEX($A$9:$X$304,$AS34,COLUMNS($AV$9:BG33)),""))</f>
        <v>{good} → Recall</v>
      </c>
      <c r="BH34" s="1" t="str">
        <f>IF(IFERROR(INDEX($A$9:$X$304,$AS34,COLUMNS($AV$9:BH33)),"")=0,"",IFERROR(INDEX($A$9:$X$304,$AS34,COLUMNS($AV$9:BH33)),""))</f>
        <v/>
      </c>
      <c r="BI34" s="1" t="str">
        <f>IF(IFERROR(INDEX($A$9:$X$304,$AS34,COLUMNS($AV$9:BI33)),"")=0,"",IFERROR(INDEX($A$9:$X$304,$AS34,COLUMNS($AV$9:BI33)),""))</f>
        <v/>
      </c>
      <c r="BJ34" s="1" t="str">
        <f>IF(IFERROR(INDEX($A$9:$X$304,$AS34,COLUMNS($AV$9:BJ33)),"")=0,"",IFERROR(INDEX($A$9:$X$304,$AS34,COLUMNS($AV$9:BJ33)),""))</f>
        <v>HUMAN</v>
      </c>
      <c r="BK34" s="1" t="str">
        <f>IF(IFERROR(INDEX($A$9:$X$304,$AS34,COLUMNS($AV$9:BK33)),"")=0,"",IFERROR(INDEX($A$9:$X$304,$AS34,COLUMNS($AV$9:BK33)),""))</f>
        <v>Common</v>
      </c>
      <c r="BL34" s="1" t="str">
        <f>IF(IFERROR(INDEX($A$9:$X$304,$AS34,COLUMNS($AV$9:BL33)),"")=0,"",IFERROR(INDEX($A$9:$X$304,$AS34,COLUMNS($AV$9:BL33)),""))</f>
        <v>Biagio D'Alessandro</v>
      </c>
      <c r="BM34" s="1" t="str">
        <f>IF(IFERROR(INDEX($A$9:$X$304,$AS34,COLUMNS($AV$9:BM33)),"")=0,"",IFERROR(INDEX($A$9:$X$304,$AS34,COLUMNS($AV$9:BM33)),""))</f>
        <v>Uprising: Will of Zannos</v>
      </c>
      <c r="BN34" s="3" t="b">
        <f>IF(IFERROR(INDEX($A$9:$X$304,$AS34,COLUMNS($AV$9:BN33)),"")=0,"",IFERROR(INDEX($A$9:$X$304,$AS34,COLUMNS($AV$9:BN33)),""))</f>
        <v>0</v>
      </c>
      <c r="BO34" s="3" t="b">
        <f>IF(IFERROR(INDEX($A$9:$X$304,$AS34,COLUMNS($AV$9:BO33)),"")=0,"",IFERROR(INDEX($A$9:$X$304,$AS34,COLUMNS($AV$9:BO33)),""))</f>
        <v>0</v>
      </c>
      <c r="BP34" s="3" t="b">
        <f>IF(IFERROR(INDEX($A$9:$X$304,$AS34,COLUMNS($AV$9:BP33)),"")=0,"",IFERROR(INDEX($A$9:$X$304,$AS34,COLUMNS($AV$9:BP33)),""))</f>
        <v>0</v>
      </c>
      <c r="BQ34" s="3" t="b">
        <f>IF(IFERROR(INDEX($A$9:$X$304,$AS34,COLUMNS($AV$9:BQ33)),"")=0,"",IFERROR(INDEX($A$9:$X$304,$AS34,COLUMNS($AV$9:BQ33)),""))</f>
        <v>0</v>
      </c>
      <c r="BR34" s="3" t="str">
        <f>IF(IFERROR(INDEX($A$9:$X$304,$AS34,COLUMNS($AV$9:BR33)),"")=0,"",IFERROR(INDEX($A$9:$X$304,$AS34,COLUMNS($AV$9:BR33)),""))</f>
        <v>https://www.epiccardgame.com/wp-content/uploads/2017/11/UPZ-EN-bodyguard.jpg</v>
      </c>
      <c r="BS34" s="3" t="str">
        <f>IF(IFERROR(INDEX($A$9:$X$304,$AS34,COLUMNS($AV$9:BS33)),"")=0,"",IFERROR(INDEX($A$9:$X$304,$AS34,COLUMNS($AV$9:BS33)),""))</f>
        <v/>
      </c>
      <c r="BT34" s="3"/>
      <c r="BU34" s="15"/>
      <c r="BV34" t="s">
        <v>55</v>
      </c>
    </row>
    <row r="35" spans="1:74" ht="225" customHeight="1" x14ac:dyDescent="0.25">
      <c r="A35" t="s">
        <v>352</v>
      </c>
      <c r="B35">
        <v>1</v>
      </c>
      <c r="C35" t="s">
        <v>615</v>
      </c>
      <c r="E35" t="s">
        <v>620</v>
      </c>
      <c r="F35">
        <v>8</v>
      </c>
      <c r="G35">
        <v>12</v>
      </c>
      <c r="H35" t="s">
        <v>24</v>
      </c>
      <c r="I35" t="s">
        <v>783</v>
      </c>
      <c r="O35" t="s">
        <v>1066</v>
      </c>
      <c r="P35" t="s">
        <v>1112</v>
      </c>
      <c r="Q35" t="s">
        <v>1127</v>
      </c>
      <c r="R35" t="s">
        <v>1175</v>
      </c>
      <c r="S35" t="b">
        <v>1</v>
      </c>
      <c r="T35" t="b">
        <v>0</v>
      </c>
      <c r="U35" t="b">
        <v>0</v>
      </c>
      <c r="V35" t="b">
        <v>0</v>
      </c>
      <c r="W35" s="2" t="s">
        <v>1210</v>
      </c>
      <c r="X35" s="2"/>
      <c r="Y35" s="24">
        <v>27</v>
      </c>
      <c r="Z35">
        <f t="shared" si="0"/>
        <v>27</v>
      </c>
      <c r="AA35">
        <f t="shared" si="1"/>
        <v>27</v>
      </c>
      <c r="AB35">
        <f t="shared" si="2"/>
        <v>27</v>
      </c>
      <c r="AC35">
        <f t="shared" si="3"/>
        <v>0</v>
      </c>
      <c r="AD35">
        <f t="shared" si="4"/>
        <v>27</v>
      </c>
      <c r="AE35">
        <f t="shared" si="5"/>
        <v>27</v>
      </c>
      <c r="AF35">
        <f t="shared" si="6"/>
        <v>27</v>
      </c>
      <c r="AG35">
        <f t="shared" si="7"/>
        <v>27</v>
      </c>
      <c r="AH35">
        <f t="shared" si="8"/>
        <v>27</v>
      </c>
      <c r="AI35">
        <f t="shared" si="9"/>
        <v>0</v>
      </c>
      <c r="AJ35">
        <f t="shared" si="10"/>
        <v>0</v>
      </c>
      <c r="AK35">
        <f t="shared" si="11"/>
        <v>0</v>
      </c>
      <c r="AL35">
        <f t="shared" si="12"/>
        <v>0</v>
      </c>
      <c r="AM35">
        <f t="shared" si="13"/>
        <v>0</v>
      </c>
      <c r="AN35">
        <f t="shared" si="14"/>
        <v>27</v>
      </c>
      <c r="AO35">
        <f t="shared" si="15"/>
        <v>27</v>
      </c>
      <c r="AP35">
        <f t="shared" si="16"/>
        <v>27</v>
      </c>
      <c r="AQ35">
        <f t="shared" si="17"/>
        <v>27</v>
      </c>
      <c r="AR35" s="6">
        <f t="shared" si="18"/>
        <v>27</v>
      </c>
      <c r="AS35">
        <f t="shared" si="19"/>
        <v>27</v>
      </c>
      <c r="AV35" s="1" t="str">
        <f>IF(IFERROR(INDEX($A$9:$W$304,$AS35,COLUMNS($AV$9:AV34)),"")=0,"",IFERROR(INDEX($A$9:$W$304,$AS35,COLUMNS($AV$9:AV34)),""))</f>
        <v>Brachiosaurus</v>
      </c>
      <c r="AW35" s="1">
        <f>IFERROR(INDEX($A$9:$W$304,$AS35,COLUMNS($AV$9:AW34)),"")</f>
        <v>1</v>
      </c>
      <c r="AX35" s="1" t="str">
        <f>IF(IFERROR(INDEX($A$9:$X$304,$AS35,COLUMNS($AV$9:AX34)),"")=0,"",IFERROR(INDEX($A$9:$X$304,$AS35,COLUMNS($AV$9:AX34)),""))</f>
        <v>WILD</v>
      </c>
      <c r="AY35" s="1" t="str">
        <f>IF(IFERROR(INDEX($A$9:$X$304,$AS35,COLUMNS($AV$9:AY34)),"")=0,"",IFERROR(INDEX($A$9:$X$304,$AS35,COLUMNS($AV$9:AY34)),""))</f>
        <v/>
      </c>
      <c r="AZ35" s="1" t="str">
        <f>IF(IFERROR(INDEX($A$9:$X$304,$AS35,COLUMNS($AV$9:AZ34)),"")=0,"",IFERROR(INDEX($A$9:$X$304,$AS35,COLUMNS($AV$9:AZ34)),""))</f>
        <v>CHAMPION</v>
      </c>
      <c r="BA35" s="1">
        <f>IF(IFERROR(INDEX($A$9:$X$304,$AS35,COLUMNS($AV$9:BA34)),"")=0,"",IFERROR(INDEX($A$9:$X$304,$AS35,COLUMNS($AV$9:BA34)),""))</f>
        <v>8</v>
      </c>
      <c r="BB35" s="1">
        <f>IF(IFERROR(INDEX($A$9:$X$304,$AS35,COLUMNS($AV$9:BB34)),"")=0,"",IFERROR(INDEX($A$9:$X$304,$AS35,COLUMNS($AV$9:BB34)),""))</f>
        <v>12</v>
      </c>
      <c r="BC35" s="1" t="str">
        <f>IF(IFERROR(INDEX($A$9:$X$304,$AS35,COLUMNS($AV$9:BC34)),"")=0,"",IFERROR(INDEX($A$9:$X$304,$AS35,COLUMNS($AV$9:BC34)),""))</f>
        <v>Breakthrough</v>
      </c>
      <c r="BD35" s="1" t="str">
        <f>IF(IFERROR(INDEX($A$9:$X$304,$AS35,COLUMNS($AV$9:BD34)),"")=0,"",IFERROR(INDEX($A$9:$X$304,$AS35,COLUMNS($AV$9:BD34)),""))</f>
        <v>Tribute → Gain {1}. This may only be used to play wild cards and powers.</v>
      </c>
      <c r="BE35" s="1" t="str">
        <f>IF(IFERROR(INDEX($A$9:$X$304,$AS35,COLUMNS($AV$9:BE34)),"")=0,"",IFERROR(INDEX($A$9:$X$304,$AS35,COLUMNS($AV$9:BE34)),""))</f>
        <v/>
      </c>
      <c r="BF35" s="1" t="str">
        <f>IF(IFERROR(INDEX($A$9:$X$304,$AS35,COLUMNS($AV$9:BF34)),"")=0,"",IFERROR(INDEX($A$9:$X$304,$AS35,COLUMNS($AV$9:BF34)),""))</f>
        <v/>
      </c>
      <c r="BG35" s="1" t="str">
        <f>IF(IFERROR(INDEX($A$9:$X$304,$AS35,COLUMNS($AV$9:BG34)),"")=0,"",IFERROR(INDEX($A$9:$X$304,$AS35,COLUMNS($AV$9:BG34)),""))</f>
        <v/>
      </c>
      <c r="BH35" s="1" t="str">
        <f>IF(IFERROR(INDEX($A$9:$X$304,$AS35,COLUMNS($AV$9:BH34)),"")=0,"",IFERROR(INDEX($A$9:$X$304,$AS35,COLUMNS($AV$9:BH34)),""))</f>
        <v/>
      </c>
      <c r="BI35" s="1" t="str">
        <f>IF(IFERROR(INDEX($A$9:$X$304,$AS35,COLUMNS($AV$9:BI34)),"")=0,"",IFERROR(INDEX($A$9:$X$304,$AS35,COLUMNS($AV$9:BI34)),""))</f>
        <v/>
      </c>
      <c r="BJ35" s="1" t="str">
        <f>IF(IFERROR(INDEX($A$9:$X$304,$AS35,COLUMNS($AV$9:BJ34)),"")=0,"",IFERROR(INDEX($A$9:$X$304,$AS35,COLUMNS($AV$9:BJ34)),""))</f>
        <v>DINOSAUR</v>
      </c>
      <c r="BK35" s="1" t="str">
        <f>IF(IFERROR(INDEX($A$9:$X$304,$AS35,COLUMNS($AV$9:BK34)),"")=0,"",IFERROR(INDEX($A$9:$X$304,$AS35,COLUMNS($AV$9:BK34)),""))</f>
        <v>Common</v>
      </c>
      <c r="BL35" s="1" t="str">
        <f>IF(IFERROR(INDEX($A$9:$X$304,$AS35,COLUMNS($AV$9:BL34)),"")=0,"",IFERROR(INDEX($A$9:$X$304,$AS35,COLUMNS($AV$9:BL34)),""))</f>
        <v>Johnny Morrow</v>
      </c>
      <c r="BM35" s="1" t="str">
        <f>IF(IFERROR(INDEX($A$9:$X$304,$AS35,COLUMNS($AV$9:BM34)),"")=0,"",IFERROR(INDEX($A$9:$X$304,$AS35,COLUMNS($AV$9:BM34)),""))</f>
        <v>Tyrants: Helion's Deceit</v>
      </c>
      <c r="BN35" s="3" t="b">
        <f>IF(IFERROR(INDEX($A$9:$X$304,$AS35,COLUMNS($AV$9:BN34)),"")=0,"",IFERROR(INDEX($A$9:$X$304,$AS35,COLUMNS($AV$9:BN34)),""))</f>
        <v>1</v>
      </c>
      <c r="BO35" s="3" t="b">
        <f>IF(IFERROR(INDEX($A$9:$X$304,$AS35,COLUMNS($AV$9:BO34)),"")=0,"",IFERROR(INDEX($A$9:$X$304,$AS35,COLUMNS($AV$9:BO34)),""))</f>
        <v>0</v>
      </c>
      <c r="BP35" s="3" t="b">
        <f>IF(IFERROR(INDEX($A$9:$X$304,$AS35,COLUMNS($AV$9:BP34)),"")=0,"",IFERROR(INDEX($A$9:$X$304,$AS35,COLUMNS($AV$9:BP34)),""))</f>
        <v>0</v>
      </c>
      <c r="BQ35" s="3" t="b">
        <f>IF(IFERROR(INDEX($A$9:$X$304,$AS35,COLUMNS($AV$9:BQ34)),"")=0,"",IFERROR(INDEX($A$9:$X$304,$AS35,COLUMNS($AV$9:BQ34)),""))</f>
        <v>0</v>
      </c>
      <c r="BR35" s="3" t="str">
        <f>IF(IFERROR(INDEX($A$9:$X$304,$AS35,COLUMNS($AV$9:BR34)),"")=0,"",IFERROR(INDEX($A$9:$X$304,$AS35,COLUMNS($AV$9:BR34)),""))</f>
        <v>http://www.epiccardgame.com/wp-content/uploads/2016/03/brachiosaurus-214x300.jpg</v>
      </c>
      <c r="BS35" s="3" t="str">
        <f>IF(IFERROR(INDEX($A$9:$X$304,$AS35,COLUMNS($AV$9:BS34)),"")=0,"",IFERROR(INDEX($A$9:$X$304,$AS35,COLUMNS($AV$9:BS34)),""))</f>
        <v/>
      </c>
      <c r="BT35" s="3"/>
      <c r="BU35" s="15"/>
      <c r="BV35" t="s">
        <v>56</v>
      </c>
    </row>
    <row r="36" spans="1:74" ht="225.2" customHeight="1" x14ac:dyDescent="0.25">
      <c r="A36" t="s">
        <v>353</v>
      </c>
      <c r="B36">
        <v>1</v>
      </c>
      <c r="C36" t="s">
        <v>615</v>
      </c>
      <c r="E36" t="s">
        <v>620</v>
      </c>
      <c r="F36">
        <v>14</v>
      </c>
      <c r="G36">
        <v>11</v>
      </c>
      <c r="H36" t="s">
        <v>639</v>
      </c>
      <c r="I36" t="s">
        <v>784</v>
      </c>
      <c r="O36" t="s">
        <v>1067</v>
      </c>
      <c r="P36" t="s">
        <v>1112</v>
      </c>
      <c r="Q36" t="s">
        <v>1117</v>
      </c>
      <c r="R36" t="s">
        <v>1179</v>
      </c>
      <c r="S36" t="b">
        <v>1</v>
      </c>
      <c r="T36" t="b">
        <v>0</v>
      </c>
      <c r="U36" t="b">
        <v>0</v>
      </c>
      <c r="V36" t="b">
        <v>0</v>
      </c>
      <c r="W36" s="2" t="s">
        <v>1211</v>
      </c>
      <c r="X36" s="2"/>
      <c r="Y36" s="24">
        <v>28</v>
      </c>
      <c r="Z36">
        <f t="shared" si="0"/>
        <v>28</v>
      </c>
      <c r="AA36">
        <f t="shared" si="1"/>
        <v>28</v>
      </c>
      <c r="AB36">
        <f t="shared" si="2"/>
        <v>28</v>
      </c>
      <c r="AC36">
        <f t="shared" si="3"/>
        <v>0</v>
      </c>
      <c r="AD36">
        <f t="shared" si="4"/>
        <v>28</v>
      </c>
      <c r="AE36">
        <f t="shared" si="5"/>
        <v>28</v>
      </c>
      <c r="AF36">
        <f t="shared" si="6"/>
        <v>28</v>
      </c>
      <c r="AG36">
        <f t="shared" si="7"/>
        <v>28</v>
      </c>
      <c r="AH36">
        <f t="shared" si="8"/>
        <v>28</v>
      </c>
      <c r="AI36">
        <f t="shared" si="9"/>
        <v>0</v>
      </c>
      <c r="AJ36">
        <f t="shared" si="10"/>
        <v>0</v>
      </c>
      <c r="AK36">
        <f t="shared" si="11"/>
        <v>0</v>
      </c>
      <c r="AL36">
        <f t="shared" si="12"/>
        <v>0</v>
      </c>
      <c r="AM36">
        <f t="shared" si="13"/>
        <v>0</v>
      </c>
      <c r="AN36">
        <f t="shared" si="14"/>
        <v>28</v>
      </c>
      <c r="AO36">
        <f t="shared" si="15"/>
        <v>28</v>
      </c>
      <c r="AP36">
        <f t="shared" si="16"/>
        <v>28</v>
      </c>
      <c r="AQ36">
        <f t="shared" si="17"/>
        <v>28</v>
      </c>
      <c r="AR36" s="6">
        <f t="shared" si="18"/>
        <v>28</v>
      </c>
      <c r="AS36">
        <f t="shared" si="19"/>
        <v>28</v>
      </c>
      <c r="AV36" s="1" t="str">
        <f>IF(IFERROR(INDEX($A$9:$W$304,$AS36,COLUMNS($AV$9:AV35)),"")=0,"",IFERROR(INDEX($A$9:$W$304,$AS36,COLUMNS($AV$9:AV35)),""))</f>
        <v>Brak, Fist of Lashnok</v>
      </c>
      <c r="AW36" s="1">
        <f>IFERROR(INDEX($A$9:$W$304,$AS36,COLUMNS($AV$9:AW35)),"")</f>
        <v>1</v>
      </c>
      <c r="AX36" s="1" t="str">
        <f>IF(IFERROR(INDEX($A$9:$X$304,$AS36,COLUMNS($AV$9:AX35)),"")=0,"",IFERROR(INDEX($A$9:$X$304,$AS36,COLUMNS($AV$9:AX35)),""))</f>
        <v>WILD</v>
      </c>
      <c r="AY36" s="1" t="str">
        <f>IF(IFERROR(INDEX($A$9:$X$304,$AS36,COLUMNS($AV$9:AY35)),"")=0,"",IFERROR(INDEX($A$9:$X$304,$AS36,COLUMNS($AV$9:AY35)),""))</f>
        <v/>
      </c>
      <c r="AZ36" s="1" t="str">
        <f>IF(IFERROR(INDEX($A$9:$X$304,$AS36,COLUMNS($AV$9:AZ35)),"")=0,"",IFERROR(INDEX($A$9:$X$304,$AS36,COLUMNS($AV$9:AZ35)),""))</f>
        <v>CHAMPION</v>
      </c>
      <c r="BA36" s="1">
        <f>IF(IFERROR(INDEX($A$9:$X$304,$AS36,COLUMNS($AV$9:BA35)),"")=0,"",IFERROR(INDEX($A$9:$X$304,$AS36,COLUMNS($AV$9:BA35)),""))</f>
        <v>14</v>
      </c>
      <c r="BB36" s="1">
        <f>IF(IFERROR(INDEX($A$9:$X$304,$AS36,COLUMNS($AV$9:BB35)),"")=0,"",IFERROR(INDEX($A$9:$X$304,$AS36,COLUMNS($AV$9:BB35)),""))</f>
        <v>11</v>
      </c>
      <c r="BC36" s="1" t="str">
        <f>IF(IFERROR(INDEX($A$9:$X$304,$AS36,COLUMNS($AV$9:BC35)),"")=0,"",IFERROR(INDEX($A$9:$X$304,$AS36,COLUMNS($AV$9:BC35)),""))</f>
        <v>Unblockable by champions with {offense} less than this card’s {offense}.</v>
      </c>
      <c r="BD36" s="1" t="str">
        <f>IF(IFERROR(INDEX($A$9:$X$304,$AS36,COLUMNS($AV$9:BD35)),"")=0,"",IFERROR(INDEX($A$9:$X$304,$AS36,COLUMNS($AV$9:BD35)),""))</f>
        <v>Loyalty 2 → Draw a card. This card gains unbreakable this turn.</v>
      </c>
      <c r="BE36" s="1" t="str">
        <f>IF(IFERROR(INDEX($A$9:$X$304,$AS36,COLUMNS($AV$9:BE35)),"")=0,"",IFERROR(INDEX($A$9:$X$304,$AS36,COLUMNS($AV$9:BE35)),""))</f>
        <v/>
      </c>
      <c r="BF36" s="1" t="str">
        <f>IF(IFERROR(INDEX($A$9:$X$304,$AS36,COLUMNS($AV$9:BF35)),"")=0,"",IFERROR(INDEX($A$9:$X$304,$AS36,COLUMNS($AV$9:BF35)),""))</f>
        <v/>
      </c>
      <c r="BG36" s="1" t="str">
        <f>IF(IFERROR(INDEX($A$9:$X$304,$AS36,COLUMNS($AV$9:BG35)),"")=0,"",IFERROR(INDEX($A$9:$X$304,$AS36,COLUMNS($AV$9:BG35)),""))</f>
        <v/>
      </c>
      <c r="BH36" s="1" t="str">
        <f>IF(IFERROR(INDEX($A$9:$X$304,$AS36,COLUMNS($AV$9:BH35)),"")=0,"",IFERROR(INDEX($A$9:$X$304,$AS36,COLUMNS($AV$9:BH35)),""))</f>
        <v/>
      </c>
      <c r="BI36" s="1" t="str">
        <f>IF(IFERROR(INDEX($A$9:$X$304,$AS36,COLUMNS($AV$9:BI35)),"")=0,"",IFERROR(INDEX($A$9:$X$304,$AS36,COLUMNS($AV$9:BI35)),""))</f>
        <v/>
      </c>
      <c r="BJ36" s="1" t="str">
        <f>IF(IFERROR(INDEX($A$9:$X$304,$AS36,COLUMNS($AV$9:BJ35)),"")=0,"",IFERROR(INDEX($A$9:$X$304,$AS36,COLUMNS($AV$9:BJ35)),""))</f>
        <v>MINOTAUR</v>
      </c>
      <c r="BK36" s="1" t="str">
        <f>IF(IFERROR(INDEX($A$9:$X$304,$AS36,COLUMNS($AV$9:BK35)),"")=0,"",IFERROR(INDEX($A$9:$X$304,$AS36,COLUMNS($AV$9:BK35)),""))</f>
        <v>Common</v>
      </c>
      <c r="BL36" s="1" t="str">
        <f>IF(IFERROR(INDEX($A$9:$X$304,$AS36,COLUMNS($AV$9:BL35)),"")=0,"",IFERROR(INDEX($A$9:$X$304,$AS36,COLUMNS($AV$9:BL35)),""))</f>
        <v>Antonis Papantoniou</v>
      </c>
      <c r="BM36" s="1" t="str">
        <f>IF(IFERROR(INDEX($A$9:$X$304,$AS36,COLUMNS($AV$9:BM35)),"")=0,"",IFERROR(INDEX($A$9:$X$304,$AS36,COLUMNS($AV$9:BM35)),""))</f>
        <v>Pantheon: Gareth vs Lashnok</v>
      </c>
      <c r="BN36" s="3" t="b">
        <f>IF(IFERROR(INDEX($A$9:$X$304,$AS36,COLUMNS($AV$9:BN35)),"")=0,"",IFERROR(INDEX($A$9:$X$304,$AS36,COLUMNS($AV$9:BN35)),""))</f>
        <v>1</v>
      </c>
      <c r="BO36" s="3" t="b">
        <f>IF(IFERROR(INDEX($A$9:$X$304,$AS36,COLUMNS($AV$9:BO35)),"")=0,"",IFERROR(INDEX($A$9:$X$304,$AS36,COLUMNS($AV$9:BO35)),""))</f>
        <v>0</v>
      </c>
      <c r="BP36" s="3" t="b">
        <f>IF(IFERROR(INDEX($A$9:$X$304,$AS36,COLUMNS($AV$9:BP35)),"")=0,"",IFERROR(INDEX($A$9:$X$304,$AS36,COLUMNS($AV$9:BP35)),""))</f>
        <v>0</v>
      </c>
      <c r="BQ36" s="3" t="b">
        <f>IF(IFERROR(INDEX($A$9:$X$304,$AS36,COLUMNS($AV$9:BQ35)),"")=0,"",IFERROR(INDEX($A$9:$X$304,$AS36,COLUMNS($AV$9:BQ35)),""))</f>
        <v>0</v>
      </c>
      <c r="BR36" s="3" t="str">
        <f>IF(IFERROR(INDEX($A$9:$X$304,$AS36,COLUMNS($AV$9:BR35)),"")=0,"",IFERROR(INDEX($A$9:$X$304,$AS36,COLUMNS($AV$9:BR35)),""))</f>
        <v>https://www.epiccardgame.com/wp-content/uploads/2017/11/PNG-EN-11-brak-fist-of-lashnok.jpg</v>
      </c>
      <c r="BS36" s="3" t="str">
        <f>IF(IFERROR(INDEX($A$9:$X$304,$AS36,COLUMNS($AV$9:BS35)),"")=0,"",IFERROR(INDEX($A$9:$X$304,$AS36,COLUMNS($AV$9:BS35)),""))</f>
        <v/>
      </c>
      <c r="BT36" s="3"/>
      <c r="BU36" s="15"/>
      <c r="BV36" t="s">
        <v>57</v>
      </c>
    </row>
    <row r="37" spans="1:74" ht="225" customHeight="1" x14ac:dyDescent="0.25">
      <c r="A37" t="s">
        <v>354</v>
      </c>
      <c r="B37">
        <v>0</v>
      </c>
      <c r="C37" t="s">
        <v>617</v>
      </c>
      <c r="E37" t="s">
        <v>620</v>
      </c>
      <c r="F37">
        <v>2</v>
      </c>
      <c r="G37">
        <v>5</v>
      </c>
      <c r="H37" t="s">
        <v>21</v>
      </c>
      <c r="I37" t="s">
        <v>785</v>
      </c>
      <c r="J37" t="s">
        <v>968</v>
      </c>
      <c r="O37" t="s">
        <v>1063</v>
      </c>
      <c r="P37" t="s">
        <v>1113</v>
      </c>
      <c r="Q37" t="s">
        <v>1129</v>
      </c>
      <c r="R37" t="s">
        <v>1180</v>
      </c>
      <c r="S37" t="b">
        <v>0</v>
      </c>
      <c r="T37" t="b">
        <v>0</v>
      </c>
      <c r="U37" t="b">
        <v>0</v>
      </c>
      <c r="V37" t="b">
        <v>0</v>
      </c>
      <c r="W37" s="2" t="s">
        <v>1212</v>
      </c>
      <c r="X37" s="2"/>
      <c r="Y37" s="24">
        <v>29</v>
      </c>
      <c r="Z37">
        <f t="shared" si="0"/>
        <v>29</v>
      </c>
      <c r="AA37">
        <f t="shared" si="1"/>
        <v>29</v>
      </c>
      <c r="AB37">
        <f t="shared" si="2"/>
        <v>29</v>
      </c>
      <c r="AC37">
        <f t="shared" si="3"/>
        <v>0</v>
      </c>
      <c r="AD37">
        <f t="shared" si="4"/>
        <v>29</v>
      </c>
      <c r="AE37">
        <f t="shared" si="5"/>
        <v>29</v>
      </c>
      <c r="AF37">
        <f t="shared" si="6"/>
        <v>29</v>
      </c>
      <c r="AG37">
        <f t="shared" si="7"/>
        <v>29</v>
      </c>
      <c r="AH37">
        <f t="shared" si="8"/>
        <v>29</v>
      </c>
      <c r="AI37">
        <f t="shared" si="9"/>
        <v>29</v>
      </c>
      <c r="AJ37">
        <f t="shared" si="10"/>
        <v>0</v>
      </c>
      <c r="AK37">
        <f t="shared" si="11"/>
        <v>0</v>
      </c>
      <c r="AL37">
        <f t="shared" si="12"/>
        <v>0</v>
      </c>
      <c r="AM37">
        <f t="shared" si="13"/>
        <v>0</v>
      </c>
      <c r="AN37">
        <f t="shared" si="14"/>
        <v>29</v>
      </c>
      <c r="AO37">
        <f t="shared" si="15"/>
        <v>29</v>
      </c>
      <c r="AP37">
        <f t="shared" si="16"/>
        <v>29</v>
      </c>
      <c r="AQ37">
        <f t="shared" si="17"/>
        <v>29</v>
      </c>
      <c r="AR37" s="6">
        <f t="shared" si="18"/>
        <v>29</v>
      </c>
      <c r="AS37">
        <f t="shared" si="19"/>
        <v>29</v>
      </c>
      <c r="AV37" s="1" t="str">
        <f>IF(IFERROR(INDEX($A$9:$W$304,$AS37,COLUMNS($AV$9:AV36)),"")=0,"",IFERROR(INDEX($A$9:$W$304,$AS37,COLUMNS($AV$9:AV36)),""))</f>
        <v>Brand, Rebel Fighter</v>
      </c>
      <c r="AW37" s="1">
        <f>IFERROR(INDEX($A$9:$W$304,$AS37,COLUMNS($AV$9:AW36)),"")</f>
        <v>0</v>
      </c>
      <c r="AX37" s="1" t="str">
        <f>IF(IFERROR(INDEX($A$9:$X$304,$AS37,COLUMNS($AV$9:AX36)),"")=0,"",IFERROR(INDEX($A$9:$X$304,$AS37,COLUMNS($AV$9:AX36)),""))</f>
        <v>GOOD</v>
      </c>
      <c r="AY37" s="1" t="str">
        <f>IF(IFERROR(INDEX($A$9:$X$304,$AS37,COLUMNS($AV$9:AY36)),"")=0,"",IFERROR(INDEX($A$9:$X$304,$AS37,COLUMNS($AV$9:AY36)),""))</f>
        <v/>
      </c>
      <c r="AZ37" s="1" t="str">
        <f>IF(IFERROR(INDEX($A$9:$X$304,$AS37,COLUMNS($AV$9:AZ36)),"")=0,"",IFERROR(INDEX($A$9:$X$304,$AS37,COLUMNS($AV$9:AZ36)),""))</f>
        <v>CHAMPION</v>
      </c>
      <c r="BA37" s="1">
        <f>IF(IFERROR(INDEX($A$9:$X$304,$AS37,COLUMNS($AV$9:BA36)),"")=0,"",IFERROR(INDEX($A$9:$X$304,$AS37,COLUMNS($AV$9:BA36)),""))</f>
        <v>2</v>
      </c>
      <c r="BB37" s="1">
        <f>IF(IFERROR(INDEX($A$9:$X$304,$AS37,COLUMNS($AV$9:BB36)),"")=0,"",IFERROR(INDEX($A$9:$X$304,$AS37,COLUMNS($AV$9:BB36)),""))</f>
        <v>5</v>
      </c>
      <c r="BC37" s="1" t="str">
        <f>IF(IFERROR(INDEX($A$9:$X$304,$AS37,COLUMNS($AV$9:BC36)),"")=0,"",IFERROR(INDEX($A$9:$X$304,$AS37,COLUMNS($AV$9:BC36)),""))</f>
        <v>Ambush</v>
      </c>
      <c r="BD37" s="1" t="str">
        <f>IF(IFERROR(INDEX($A$9:$X$304,$AS37,COLUMNS($AV$9:BD36)),"")=0,"",IFERROR(INDEX($A$9:$X$304,$AS37,COLUMNS($AV$9:BD36)),""))</f>
        <v>Tribute → Target champion gets +3 {offense} this turn.</v>
      </c>
      <c r="BE37" s="1" t="str">
        <f>IF(IFERROR(INDEX($A$9:$X$304,$AS37,COLUMNS($AV$9:BE36)),"")=0,"",IFERROR(INDEX($A$9:$X$304,$AS37,COLUMNS($AV$9:BE36)),""))</f>
        <v>Loyalty 2 → Gain 5 health.</v>
      </c>
      <c r="BF37" s="1" t="str">
        <f>IF(IFERROR(INDEX($A$9:$X$304,$AS37,COLUMNS($AV$9:BF36)),"")=0,"",IFERROR(INDEX($A$9:$X$304,$AS37,COLUMNS($AV$9:BF36)),""))</f>
        <v/>
      </c>
      <c r="BG37" s="1" t="str">
        <f>IF(IFERROR(INDEX($A$9:$X$304,$AS37,COLUMNS($AV$9:BG36)),"")=0,"",IFERROR(INDEX($A$9:$X$304,$AS37,COLUMNS($AV$9:BG36)),""))</f>
        <v/>
      </c>
      <c r="BH37" s="1" t="str">
        <f>IF(IFERROR(INDEX($A$9:$X$304,$AS37,COLUMNS($AV$9:BH36)),"")=0,"",IFERROR(INDEX($A$9:$X$304,$AS37,COLUMNS($AV$9:BH36)),""))</f>
        <v/>
      </c>
      <c r="BI37" s="1" t="str">
        <f>IF(IFERROR(INDEX($A$9:$X$304,$AS37,COLUMNS($AV$9:BI36)),"")=0,"",IFERROR(INDEX($A$9:$X$304,$AS37,COLUMNS($AV$9:BI36)),""))</f>
        <v/>
      </c>
      <c r="BJ37" s="1" t="str">
        <f>IF(IFERROR(INDEX($A$9:$X$304,$AS37,COLUMNS($AV$9:BJ36)),"")=0,"",IFERROR(INDEX($A$9:$X$304,$AS37,COLUMNS($AV$9:BJ36)),""))</f>
        <v>HUMAN</v>
      </c>
      <c r="BK37" s="1" t="str">
        <f>IF(IFERROR(INDEX($A$9:$X$304,$AS37,COLUMNS($AV$9:BK36)),"")=0,"",IFERROR(INDEX($A$9:$X$304,$AS37,COLUMNS($AV$9:BK36)),""))</f>
        <v>Rare</v>
      </c>
      <c r="BL37" s="1" t="str">
        <f>IF(IFERROR(INDEX($A$9:$X$304,$AS37,COLUMNS($AV$9:BL36)),"")=0,"",IFERROR(INDEX($A$9:$X$304,$AS37,COLUMNS($AV$9:BL36)),""))</f>
        <v>GiaLer Liew</v>
      </c>
      <c r="BM37" s="1" t="str">
        <f>IF(IFERROR(INDEX($A$9:$X$304,$AS37,COLUMNS($AV$9:BM36)),"")=0,"",IFERROR(INDEX($A$9:$X$304,$AS37,COLUMNS($AV$9:BM36)),""))</f>
        <v>Uprising: Flames of Scarros</v>
      </c>
      <c r="BN37" s="3" t="b">
        <f>IF(IFERROR(INDEX($A$9:$X$304,$AS37,COLUMNS($AV$9:BN36)),"")=0,"",IFERROR(INDEX($A$9:$X$304,$AS37,COLUMNS($AV$9:BN36)),""))</f>
        <v>0</v>
      </c>
      <c r="BO37" s="3" t="b">
        <f>IF(IFERROR(INDEX($A$9:$X$304,$AS37,COLUMNS($AV$9:BO36)),"")=0,"",IFERROR(INDEX($A$9:$X$304,$AS37,COLUMNS($AV$9:BO36)),""))</f>
        <v>0</v>
      </c>
      <c r="BP37" s="3" t="b">
        <f>IF(IFERROR(INDEX($A$9:$X$304,$AS37,COLUMNS($AV$9:BP36)),"")=0,"",IFERROR(INDEX($A$9:$X$304,$AS37,COLUMNS($AV$9:BP36)),""))</f>
        <v>0</v>
      </c>
      <c r="BQ37" s="3" t="b">
        <f>IF(IFERROR(INDEX($A$9:$X$304,$AS37,COLUMNS($AV$9:BQ36)),"")=0,"",IFERROR(INDEX($A$9:$X$304,$AS37,COLUMNS($AV$9:BQ36)),""))</f>
        <v>0</v>
      </c>
      <c r="BR37" s="3" t="str">
        <f>IF(IFERROR(INDEX($A$9:$X$304,$AS37,COLUMNS($AV$9:BR36)),"")=0,"",IFERROR(INDEX($A$9:$X$304,$AS37,COLUMNS($AV$9:BR36)),""))</f>
        <v>https://www.epiccardgame.com/wp-content/uploads/2017/11/UPS-EN-brand-rebel-fighter.jpg</v>
      </c>
      <c r="BS37" s="3" t="str">
        <f>IF(IFERROR(INDEX($A$9:$X$304,$AS37,COLUMNS($AV$9:BS36)),"")=0,"",IFERROR(INDEX($A$9:$X$304,$AS37,COLUMNS($AV$9:BS36)),""))</f>
        <v/>
      </c>
      <c r="BT37" s="3"/>
      <c r="BU37" s="15"/>
      <c r="BV37" t="s">
        <v>58</v>
      </c>
    </row>
    <row r="38" spans="1:74" ht="225" customHeight="1" x14ac:dyDescent="0.25">
      <c r="A38" t="s">
        <v>355</v>
      </c>
      <c r="B38">
        <v>0</v>
      </c>
      <c r="C38" t="s">
        <v>617</v>
      </c>
      <c r="E38" t="s">
        <v>619</v>
      </c>
      <c r="H38" t="s">
        <v>640</v>
      </c>
      <c r="I38" t="s">
        <v>786</v>
      </c>
      <c r="O38" t="s">
        <v>1063</v>
      </c>
      <c r="P38" t="s">
        <v>1112</v>
      </c>
      <c r="Q38" t="s">
        <v>1117</v>
      </c>
      <c r="R38" t="s">
        <v>1171</v>
      </c>
      <c r="S38" t="b">
        <v>0</v>
      </c>
      <c r="T38" t="b">
        <v>0</v>
      </c>
      <c r="U38" t="b">
        <v>0</v>
      </c>
      <c r="V38" t="b">
        <v>0</v>
      </c>
      <c r="W38" s="2" t="s">
        <v>1213</v>
      </c>
      <c r="X38" s="2"/>
      <c r="Y38" s="24">
        <v>30</v>
      </c>
      <c r="Z38">
        <f t="shared" si="0"/>
        <v>30</v>
      </c>
      <c r="AA38">
        <f t="shared" si="1"/>
        <v>30</v>
      </c>
      <c r="AB38">
        <f t="shared" si="2"/>
        <v>30</v>
      </c>
      <c r="AC38">
        <f t="shared" si="3"/>
        <v>0</v>
      </c>
      <c r="AD38">
        <f t="shared" si="4"/>
        <v>30</v>
      </c>
      <c r="AE38">
        <f t="shared" si="5"/>
        <v>0</v>
      </c>
      <c r="AF38">
        <f t="shared" si="6"/>
        <v>0</v>
      </c>
      <c r="AG38">
        <f t="shared" si="7"/>
        <v>30</v>
      </c>
      <c r="AH38">
        <f t="shared" si="8"/>
        <v>30</v>
      </c>
      <c r="AI38">
        <f t="shared" si="9"/>
        <v>0</v>
      </c>
      <c r="AJ38">
        <f t="shared" si="10"/>
        <v>0</v>
      </c>
      <c r="AK38">
        <f t="shared" si="11"/>
        <v>0</v>
      </c>
      <c r="AL38">
        <f t="shared" si="12"/>
        <v>0</v>
      </c>
      <c r="AM38">
        <f t="shared" si="13"/>
        <v>0</v>
      </c>
      <c r="AN38">
        <f t="shared" si="14"/>
        <v>30</v>
      </c>
      <c r="AO38">
        <f t="shared" si="15"/>
        <v>30</v>
      </c>
      <c r="AP38">
        <f t="shared" si="16"/>
        <v>30</v>
      </c>
      <c r="AQ38">
        <f t="shared" si="17"/>
        <v>30</v>
      </c>
      <c r="AR38" s="6">
        <f t="shared" si="18"/>
        <v>30</v>
      </c>
      <c r="AS38">
        <f t="shared" si="19"/>
        <v>30</v>
      </c>
      <c r="AV38" s="1" t="str">
        <f>IF(IFERROR(INDEX($A$9:$W$304,$AS38,COLUMNS($AV$9:AV37)),"")=0,"",IFERROR(INDEX($A$9:$W$304,$AS38,COLUMNS($AV$9:AV37)),""))</f>
        <v>Brave Squire</v>
      </c>
      <c r="AW38" s="1">
        <f>IFERROR(INDEX($A$9:$W$304,$AS38,COLUMNS($AV$9:AW37)),"")</f>
        <v>0</v>
      </c>
      <c r="AX38" s="1" t="str">
        <f>IF(IFERROR(INDEX($A$9:$X$304,$AS38,COLUMNS($AV$9:AX37)),"")=0,"",IFERROR(INDEX($A$9:$X$304,$AS38,COLUMNS($AV$9:AX37)),""))</f>
        <v>GOOD</v>
      </c>
      <c r="AY38" s="1" t="str">
        <f>IF(IFERROR(INDEX($A$9:$X$304,$AS38,COLUMNS($AV$9:AY37)),"")=0,"",IFERROR(INDEX($A$9:$X$304,$AS38,COLUMNS($AV$9:AY37)),""))</f>
        <v/>
      </c>
      <c r="AZ38" s="1" t="str">
        <f>IF(IFERROR(INDEX($A$9:$X$304,$AS38,COLUMNS($AV$9:AZ37)),"")=0,"",IFERROR(INDEX($A$9:$X$304,$AS38,COLUMNS($AV$9:AZ37)),""))</f>
        <v>EVENT</v>
      </c>
      <c r="BA38" s="1" t="str">
        <f>IF(IFERROR(INDEX($A$9:$X$304,$AS38,COLUMNS($AV$9:BA37)),"")=0,"",IFERROR(INDEX($A$9:$X$304,$AS38,COLUMNS($AV$9:BA37)),""))</f>
        <v/>
      </c>
      <c r="BB38" s="1" t="str">
        <f>IF(IFERROR(INDEX($A$9:$X$304,$AS38,COLUMNS($AV$9:BB37)),"")=0,"",IFERROR(INDEX($A$9:$X$304,$AS38,COLUMNS($AV$9:BB37)),""))</f>
        <v/>
      </c>
      <c r="BC38" s="1" t="str">
        <f>IF(IFERROR(INDEX($A$9:$X$304,$AS38,COLUMNS($AV$9:BC37)),"")=0,"",IFERROR(INDEX($A$9:$X$304,$AS38,COLUMNS($AV$9:BC37)),""))</f>
        <v>Put a human token into play.</v>
      </c>
      <c r="BD38" s="1" t="str">
        <f>IF(IFERROR(INDEX($A$9:$X$304,$AS38,COLUMNS($AV$9:BD37)),"")=0,"",IFERROR(INDEX($A$9:$X$304,$AS38,COLUMNS($AV$9:BD37)),""))</f>
        <v>Target champion gains unbreakable and +5 {offense} this turn.</v>
      </c>
      <c r="BE38" s="1" t="str">
        <f>IF(IFERROR(INDEX($A$9:$X$304,$AS38,COLUMNS($AV$9:BE37)),"")=0,"",IFERROR(INDEX($A$9:$X$304,$AS38,COLUMNS($AV$9:BE37)),""))</f>
        <v/>
      </c>
      <c r="BF38" s="1" t="str">
        <f>IF(IFERROR(INDEX($A$9:$X$304,$AS38,COLUMNS($AV$9:BF37)),"")=0,"",IFERROR(INDEX($A$9:$X$304,$AS38,COLUMNS($AV$9:BF37)),""))</f>
        <v/>
      </c>
      <c r="BG38" s="1" t="str">
        <f>IF(IFERROR(INDEX($A$9:$X$304,$AS38,COLUMNS($AV$9:BG37)),"")=0,"",IFERROR(INDEX($A$9:$X$304,$AS38,COLUMNS($AV$9:BG37)),""))</f>
        <v/>
      </c>
      <c r="BH38" s="1" t="str">
        <f>IF(IFERROR(INDEX($A$9:$X$304,$AS38,COLUMNS($AV$9:BH37)),"")=0,"",IFERROR(INDEX($A$9:$X$304,$AS38,COLUMNS($AV$9:BH37)),""))</f>
        <v/>
      </c>
      <c r="BI38" s="1" t="str">
        <f>IF(IFERROR(INDEX($A$9:$X$304,$AS38,COLUMNS($AV$9:BI37)),"")=0,"",IFERROR(INDEX($A$9:$X$304,$AS38,COLUMNS($AV$9:BI37)),""))</f>
        <v/>
      </c>
      <c r="BJ38" s="1" t="str">
        <f>IF(IFERROR(INDEX($A$9:$X$304,$AS38,COLUMNS($AV$9:BJ37)),"")=0,"",IFERROR(INDEX($A$9:$X$304,$AS38,COLUMNS($AV$9:BJ37)),""))</f>
        <v>HUMAN</v>
      </c>
      <c r="BK38" s="1" t="str">
        <f>IF(IFERROR(INDEX($A$9:$X$304,$AS38,COLUMNS($AV$9:BK37)),"")=0,"",IFERROR(INDEX($A$9:$X$304,$AS38,COLUMNS($AV$9:BK37)),""))</f>
        <v>Common</v>
      </c>
      <c r="BL38" s="1" t="str">
        <f>IF(IFERROR(INDEX($A$9:$X$304,$AS38,COLUMNS($AV$9:BL37)),"")=0,"",IFERROR(INDEX($A$9:$X$304,$AS38,COLUMNS($AV$9:BL37)),""))</f>
        <v>Antonis Papantoniou</v>
      </c>
      <c r="BM38" s="1" t="str">
        <f>IF(IFERROR(INDEX($A$9:$X$304,$AS38,COLUMNS($AV$9:BM37)),"")=0,"",IFERROR(INDEX($A$9:$X$304,$AS38,COLUMNS($AV$9:BM37)),""))</f>
        <v>Base Set</v>
      </c>
      <c r="BN38" s="3" t="b">
        <f>IF(IFERROR(INDEX($A$9:$X$304,$AS38,COLUMNS($AV$9:BN37)),"")=0,"",IFERROR(INDEX($A$9:$X$304,$AS38,COLUMNS($AV$9:BN37)),""))</f>
        <v>0</v>
      </c>
      <c r="BO38" s="3" t="b">
        <f>IF(IFERROR(INDEX($A$9:$X$304,$AS38,COLUMNS($AV$9:BO37)),"")=0,"",IFERROR(INDEX($A$9:$X$304,$AS38,COLUMNS($AV$9:BO37)),""))</f>
        <v>0</v>
      </c>
      <c r="BP38" s="3" t="b">
        <f>IF(IFERROR(INDEX($A$9:$X$304,$AS38,COLUMNS($AV$9:BP37)),"")=0,"",IFERROR(INDEX($A$9:$X$304,$AS38,COLUMNS($AV$9:BP37)),""))</f>
        <v>0</v>
      </c>
      <c r="BQ38" s="3" t="b">
        <f>IF(IFERROR(INDEX($A$9:$X$304,$AS38,COLUMNS($AV$9:BQ37)),"")=0,"",IFERROR(INDEX($A$9:$X$304,$AS38,COLUMNS($AV$9:BQ37)),""))</f>
        <v>0</v>
      </c>
      <c r="BR38" s="3" t="str">
        <f>IF(IFERROR(INDEX($A$9:$X$304,$AS38,COLUMNS($AV$9:BR37)),"")=0,"",IFERROR(INDEX($A$9:$X$304,$AS38,COLUMNS($AV$9:BR37)),""))</f>
        <v>http://www.epiccardgame.com/wp-content/uploads/2015/09/brave_squire-215x300.jpg</v>
      </c>
      <c r="BS38" s="3" t="str">
        <f>IF(IFERROR(INDEX($A$9:$X$304,$AS38,COLUMNS($AV$9:BS37)),"")=0,"",IFERROR(INDEX($A$9:$X$304,$AS38,COLUMNS($AV$9:BS37)),""))</f>
        <v/>
      </c>
      <c r="BT38" s="3"/>
      <c r="BU38" s="15"/>
      <c r="BV38" t="s">
        <v>59</v>
      </c>
    </row>
    <row r="39" spans="1:74" ht="225" customHeight="1" x14ac:dyDescent="0.25">
      <c r="A39" t="s">
        <v>356</v>
      </c>
      <c r="B39">
        <v>1</v>
      </c>
      <c r="C39" t="s">
        <v>615</v>
      </c>
      <c r="E39" t="s">
        <v>620</v>
      </c>
      <c r="F39">
        <v>5</v>
      </c>
      <c r="G39">
        <v>6</v>
      </c>
      <c r="H39" t="s">
        <v>641</v>
      </c>
      <c r="I39" t="s">
        <v>787</v>
      </c>
      <c r="O39" t="s">
        <v>1070</v>
      </c>
      <c r="P39" t="s">
        <v>1112</v>
      </c>
      <c r="Q39" t="s">
        <v>1130</v>
      </c>
      <c r="R39" t="s">
        <v>1170</v>
      </c>
      <c r="S39" t="b">
        <v>1</v>
      </c>
      <c r="T39" t="b">
        <v>0</v>
      </c>
      <c r="U39" t="b">
        <v>0</v>
      </c>
      <c r="V39" t="b">
        <v>0</v>
      </c>
      <c r="W39" s="2" t="s">
        <v>1214</v>
      </c>
      <c r="X39" s="2"/>
      <c r="Y39" s="24">
        <v>31</v>
      </c>
      <c r="Z39">
        <f t="shared" si="0"/>
        <v>31</v>
      </c>
      <c r="AA39">
        <f t="shared" si="1"/>
        <v>31</v>
      </c>
      <c r="AB39">
        <f t="shared" si="2"/>
        <v>31</v>
      </c>
      <c r="AC39">
        <f t="shared" si="3"/>
        <v>0</v>
      </c>
      <c r="AD39">
        <f t="shared" si="4"/>
        <v>31</v>
      </c>
      <c r="AE39">
        <f t="shared" si="5"/>
        <v>31</v>
      </c>
      <c r="AF39">
        <f t="shared" si="6"/>
        <v>31</v>
      </c>
      <c r="AG39">
        <f t="shared" si="7"/>
        <v>31</v>
      </c>
      <c r="AH39">
        <f t="shared" si="8"/>
        <v>31</v>
      </c>
      <c r="AI39">
        <f t="shared" si="9"/>
        <v>0</v>
      </c>
      <c r="AJ39">
        <f t="shared" si="10"/>
        <v>0</v>
      </c>
      <c r="AK39">
        <f t="shared" si="11"/>
        <v>0</v>
      </c>
      <c r="AL39">
        <f t="shared" si="12"/>
        <v>0</v>
      </c>
      <c r="AM39">
        <f t="shared" si="13"/>
        <v>0</v>
      </c>
      <c r="AN39">
        <f t="shared" si="14"/>
        <v>31</v>
      </c>
      <c r="AO39">
        <f t="shared" si="15"/>
        <v>31</v>
      </c>
      <c r="AP39">
        <f t="shared" si="16"/>
        <v>31</v>
      </c>
      <c r="AQ39">
        <f t="shared" si="17"/>
        <v>31</v>
      </c>
      <c r="AR39" s="6">
        <f t="shared" si="18"/>
        <v>31</v>
      </c>
      <c r="AS39">
        <f t="shared" si="19"/>
        <v>31</v>
      </c>
      <c r="AV39" s="1" t="str">
        <f>IF(IFERROR(INDEX($A$9:$W$304,$AS39,COLUMNS($AV$9:AV38)),"")=0,"",IFERROR(INDEX($A$9:$W$304,$AS39,COLUMNS($AV$9:AV38)),""))</f>
        <v>Bruger, the Pathfinder</v>
      </c>
      <c r="AW39" s="1">
        <f>IFERROR(INDEX($A$9:$W$304,$AS39,COLUMNS($AV$9:AW38)),"")</f>
        <v>1</v>
      </c>
      <c r="AX39" s="1" t="str">
        <f>IF(IFERROR(INDEX($A$9:$X$304,$AS39,COLUMNS($AV$9:AX38)),"")=0,"",IFERROR(INDEX($A$9:$X$304,$AS39,COLUMNS($AV$9:AX38)),""))</f>
        <v>WILD</v>
      </c>
      <c r="AY39" s="1" t="str">
        <f>IF(IFERROR(INDEX($A$9:$X$304,$AS39,COLUMNS($AV$9:AY38)),"")=0,"",IFERROR(INDEX($A$9:$X$304,$AS39,COLUMNS($AV$9:AY38)),""))</f>
        <v/>
      </c>
      <c r="AZ39" s="1" t="str">
        <f>IF(IFERROR(INDEX($A$9:$X$304,$AS39,COLUMNS($AV$9:AZ38)),"")=0,"",IFERROR(INDEX($A$9:$X$304,$AS39,COLUMNS($AV$9:AZ38)),""))</f>
        <v>CHAMPION</v>
      </c>
      <c r="BA39" s="1">
        <f>IF(IFERROR(INDEX($A$9:$X$304,$AS39,COLUMNS($AV$9:BA38)),"")=0,"",IFERROR(INDEX($A$9:$X$304,$AS39,COLUMNS($AV$9:BA38)),""))</f>
        <v>5</v>
      </c>
      <c r="BB39" s="1">
        <f>IF(IFERROR(INDEX($A$9:$X$304,$AS39,COLUMNS($AV$9:BB38)),"")=0,"",IFERROR(INDEX($A$9:$X$304,$AS39,COLUMNS($AV$9:BB38)),""))</f>
        <v>6</v>
      </c>
      <c r="BC39" s="1" t="str">
        <f>IF(IFERROR(INDEX($A$9:$X$304,$AS39,COLUMNS($AV$9:BC38)),"")=0,"",IFERROR(INDEX($A$9:$X$304,$AS39,COLUMNS($AV$9:BC38)),""))</f>
        <v>Ambush ◆ Unblockable</v>
      </c>
      <c r="BD39" s="1" t="str">
        <f>IF(IFERROR(INDEX($A$9:$X$304,$AS39,COLUMNS($AV$9:BD38)),"")=0,"",IFERROR(INDEX($A$9:$X$304,$AS39,COLUMNS($AV$9:BD38)),""))</f>
        <v>Tribute and/or when this card damages an opponent → Your wild champions get +3 {offense} and +3 {defense} this turn.</v>
      </c>
      <c r="BE39" s="1" t="str">
        <f>IF(IFERROR(INDEX($A$9:$X$304,$AS39,COLUMNS($AV$9:BE38)),"")=0,"",IFERROR(INDEX($A$9:$X$304,$AS39,COLUMNS($AV$9:BE38)),""))</f>
        <v/>
      </c>
      <c r="BF39" s="1" t="str">
        <f>IF(IFERROR(INDEX($A$9:$X$304,$AS39,COLUMNS($AV$9:BF38)),"")=0,"",IFERROR(INDEX($A$9:$X$304,$AS39,COLUMNS($AV$9:BF38)),""))</f>
        <v/>
      </c>
      <c r="BG39" s="1" t="str">
        <f>IF(IFERROR(INDEX($A$9:$X$304,$AS39,COLUMNS($AV$9:BG38)),"")=0,"",IFERROR(INDEX($A$9:$X$304,$AS39,COLUMNS($AV$9:BG38)),""))</f>
        <v/>
      </c>
      <c r="BH39" s="1" t="str">
        <f>IF(IFERROR(INDEX($A$9:$X$304,$AS39,COLUMNS($AV$9:BH38)),"")=0,"",IFERROR(INDEX($A$9:$X$304,$AS39,COLUMNS($AV$9:BH38)),""))</f>
        <v/>
      </c>
      <c r="BI39" s="1" t="str">
        <f>IF(IFERROR(INDEX($A$9:$X$304,$AS39,COLUMNS($AV$9:BI38)),"")=0,"",IFERROR(INDEX($A$9:$X$304,$AS39,COLUMNS($AV$9:BI38)),""))</f>
        <v/>
      </c>
      <c r="BJ39" s="1" t="str">
        <f>IF(IFERROR(INDEX($A$9:$X$304,$AS39,COLUMNS($AV$9:BJ38)),"")=0,"",IFERROR(INDEX($A$9:$X$304,$AS39,COLUMNS($AV$9:BJ38)),""))</f>
        <v>ELF</v>
      </c>
      <c r="BK39" s="1" t="str">
        <f>IF(IFERROR(INDEX($A$9:$X$304,$AS39,COLUMNS($AV$9:BK38)),"")=0,"",IFERROR(INDEX($A$9:$X$304,$AS39,COLUMNS($AV$9:BK38)),""))</f>
        <v>Common</v>
      </c>
      <c r="BL39" s="1" t="str">
        <f>IF(IFERROR(INDEX($A$9:$X$304,$AS39,COLUMNS($AV$9:BL38)),"")=0,"",IFERROR(INDEX($A$9:$X$304,$AS39,COLUMNS($AV$9:BL38)),""))</f>
        <v>Hinkle/Silva Art</v>
      </c>
      <c r="BM39" s="1" t="str">
        <f>IF(IFERROR(INDEX($A$9:$X$304,$AS39,COLUMNS($AV$9:BM38)),"")=0,"",IFERROR(INDEX($A$9:$X$304,$AS39,COLUMNS($AV$9:BM38)),""))</f>
        <v>Pantheon: Helena vs Zaltessa</v>
      </c>
      <c r="BN39" s="3" t="b">
        <f>IF(IFERROR(INDEX($A$9:$X$304,$AS39,COLUMNS($AV$9:BN38)),"")=0,"",IFERROR(INDEX($A$9:$X$304,$AS39,COLUMNS($AV$9:BN38)),""))</f>
        <v>1</v>
      </c>
      <c r="BO39" s="3" t="b">
        <f>IF(IFERROR(INDEX($A$9:$X$304,$AS39,COLUMNS($AV$9:BO38)),"")=0,"",IFERROR(INDEX($A$9:$X$304,$AS39,COLUMNS($AV$9:BO38)),""))</f>
        <v>0</v>
      </c>
      <c r="BP39" s="3" t="b">
        <f>IF(IFERROR(INDEX($A$9:$X$304,$AS39,COLUMNS($AV$9:BP38)),"")=0,"",IFERROR(INDEX($A$9:$X$304,$AS39,COLUMNS($AV$9:BP38)),""))</f>
        <v>0</v>
      </c>
      <c r="BQ39" s="3" t="b">
        <f>IF(IFERROR(INDEX($A$9:$X$304,$AS39,COLUMNS($AV$9:BQ38)),"")=0,"",IFERROR(INDEX($A$9:$X$304,$AS39,COLUMNS($AV$9:BQ38)),""))</f>
        <v>0</v>
      </c>
      <c r="BR39" s="3" t="str">
        <f>IF(IFERROR(INDEX($A$9:$X$304,$AS39,COLUMNS($AV$9:BR38)),"")=0,"",IFERROR(INDEX($A$9:$X$304,$AS39,COLUMNS($AV$9:BR38)),""))</f>
        <v>https://www.epiccardgame.com/wp-content/uploads/2017/11/PNH-EN-11-bruger-the-pathfinder.jpg</v>
      </c>
      <c r="BS39" s="3" t="str">
        <f>IF(IFERROR(INDEX($A$9:$X$304,$AS39,COLUMNS($AV$9:BS38)),"")=0,"",IFERROR(INDEX($A$9:$X$304,$AS39,COLUMNS($AV$9:BS38)),""))</f>
        <v/>
      </c>
      <c r="BT39" s="3"/>
      <c r="BU39" s="15"/>
      <c r="BV39" t="s">
        <v>60</v>
      </c>
    </row>
    <row r="40" spans="1:74" ht="225.2" customHeight="1" x14ac:dyDescent="0.25">
      <c r="A40" t="s">
        <v>357</v>
      </c>
      <c r="B40">
        <v>1</v>
      </c>
      <c r="C40" t="s">
        <v>615</v>
      </c>
      <c r="E40" t="s">
        <v>620</v>
      </c>
      <c r="F40">
        <v>18</v>
      </c>
      <c r="G40">
        <v>18</v>
      </c>
      <c r="H40" t="s">
        <v>24</v>
      </c>
      <c r="I40" t="s">
        <v>788</v>
      </c>
      <c r="O40" t="s">
        <v>1071</v>
      </c>
      <c r="P40" t="s">
        <v>1112</v>
      </c>
      <c r="Q40" t="s">
        <v>1116</v>
      </c>
      <c r="R40" t="s">
        <v>1171</v>
      </c>
      <c r="S40" t="b">
        <v>1</v>
      </c>
      <c r="T40" t="b">
        <v>0</v>
      </c>
      <c r="U40" t="b">
        <v>0</v>
      </c>
      <c r="V40" t="b">
        <v>0</v>
      </c>
      <c r="W40" s="2" t="s">
        <v>1215</v>
      </c>
      <c r="X40" s="2"/>
      <c r="Y40" s="24">
        <v>32</v>
      </c>
      <c r="Z40">
        <f t="shared" si="0"/>
        <v>32</v>
      </c>
      <c r="AA40">
        <f t="shared" si="1"/>
        <v>32</v>
      </c>
      <c r="AB40">
        <f t="shared" si="2"/>
        <v>32</v>
      </c>
      <c r="AC40">
        <f t="shared" si="3"/>
        <v>0</v>
      </c>
      <c r="AD40">
        <f t="shared" si="4"/>
        <v>32</v>
      </c>
      <c r="AE40">
        <f t="shared" si="5"/>
        <v>32</v>
      </c>
      <c r="AF40">
        <f t="shared" si="6"/>
        <v>32</v>
      </c>
      <c r="AG40">
        <f t="shared" si="7"/>
        <v>32</v>
      </c>
      <c r="AH40">
        <f t="shared" si="8"/>
        <v>32</v>
      </c>
      <c r="AI40">
        <f t="shared" si="9"/>
        <v>0</v>
      </c>
      <c r="AJ40">
        <f t="shared" si="10"/>
        <v>0</v>
      </c>
      <c r="AK40">
        <f t="shared" si="11"/>
        <v>0</v>
      </c>
      <c r="AL40">
        <f t="shared" si="12"/>
        <v>0</v>
      </c>
      <c r="AM40">
        <f t="shared" si="13"/>
        <v>0</v>
      </c>
      <c r="AN40">
        <f t="shared" si="14"/>
        <v>32</v>
      </c>
      <c r="AO40">
        <f t="shared" si="15"/>
        <v>32</v>
      </c>
      <c r="AP40">
        <f t="shared" si="16"/>
        <v>32</v>
      </c>
      <c r="AQ40">
        <f t="shared" si="17"/>
        <v>32</v>
      </c>
      <c r="AR40" s="6">
        <f t="shared" si="18"/>
        <v>32</v>
      </c>
      <c r="AS40">
        <f t="shared" si="19"/>
        <v>32</v>
      </c>
      <c r="AV40" s="1" t="str">
        <f>IF(IFERROR(INDEX($A$9:$W$304,$AS40,COLUMNS($AV$9:AV39)),"")=0,"",IFERROR(INDEX($A$9:$W$304,$AS40,COLUMNS($AV$9:AV39)),""))</f>
        <v>Burrowing Wurm</v>
      </c>
      <c r="AW40" s="1">
        <f>IFERROR(INDEX($A$9:$W$304,$AS40,COLUMNS($AV$9:AW39)),"")</f>
        <v>1</v>
      </c>
      <c r="AX40" s="1" t="str">
        <f>IF(IFERROR(INDEX($A$9:$X$304,$AS40,COLUMNS($AV$9:AX39)),"")=0,"",IFERROR(INDEX($A$9:$X$304,$AS40,COLUMNS($AV$9:AX39)),""))</f>
        <v>WILD</v>
      </c>
      <c r="AY40" s="1" t="str">
        <f>IF(IFERROR(INDEX($A$9:$X$304,$AS40,COLUMNS($AV$9:AY39)),"")=0,"",IFERROR(INDEX($A$9:$X$304,$AS40,COLUMNS($AV$9:AY39)),""))</f>
        <v/>
      </c>
      <c r="AZ40" s="1" t="str">
        <f>IF(IFERROR(INDEX($A$9:$X$304,$AS40,COLUMNS($AV$9:AZ39)),"")=0,"",IFERROR(INDEX($A$9:$X$304,$AS40,COLUMNS($AV$9:AZ39)),""))</f>
        <v>CHAMPION</v>
      </c>
      <c r="BA40" s="1">
        <f>IF(IFERROR(INDEX($A$9:$X$304,$AS40,COLUMNS($AV$9:BA39)),"")=0,"",IFERROR(INDEX($A$9:$X$304,$AS40,COLUMNS($AV$9:BA39)),""))</f>
        <v>18</v>
      </c>
      <c r="BB40" s="1">
        <f>IF(IFERROR(INDEX($A$9:$X$304,$AS40,COLUMNS($AV$9:BB39)),"")=0,"",IFERROR(INDEX($A$9:$X$304,$AS40,COLUMNS($AV$9:BB39)),""))</f>
        <v>18</v>
      </c>
      <c r="BC40" s="1" t="str">
        <f>IF(IFERROR(INDEX($A$9:$X$304,$AS40,COLUMNS($AV$9:BC39)),"")=0,"",IFERROR(INDEX($A$9:$X$304,$AS40,COLUMNS($AV$9:BC39)),""))</f>
        <v>Breakthrough</v>
      </c>
      <c r="BD40" s="1" t="str">
        <f>IF(IFERROR(INDEX($A$9:$X$304,$AS40,COLUMNS($AV$9:BD39)),"")=0,"",IFERROR(INDEX($A$9:$X$304,$AS40,COLUMNS($AV$9:BD39)),""))</f>
        <v>(Attackers with breakthrough may assign excess damage to the defending player equal to their total {offense} minus the total {defense} of all blocking champions.)</v>
      </c>
      <c r="BE40" s="1" t="str">
        <f>IF(IFERROR(INDEX($A$9:$X$304,$AS40,COLUMNS($AV$9:BE39)),"")=0,"",IFERROR(INDEX($A$9:$X$304,$AS40,COLUMNS($AV$9:BE39)),""))</f>
        <v/>
      </c>
      <c r="BF40" s="1" t="str">
        <f>IF(IFERROR(INDEX($A$9:$X$304,$AS40,COLUMNS($AV$9:BF39)),"")=0,"",IFERROR(INDEX($A$9:$X$304,$AS40,COLUMNS($AV$9:BF39)),""))</f>
        <v/>
      </c>
      <c r="BG40" s="1" t="str">
        <f>IF(IFERROR(INDEX($A$9:$X$304,$AS40,COLUMNS($AV$9:BG39)),"")=0,"",IFERROR(INDEX($A$9:$X$304,$AS40,COLUMNS($AV$9:BG39)),""))</f>
        <v/>
      </c>
      <c r="BH40" s="1" t="str">
        <f>IF(IFERROR(INDEX($A$9:$X$304,$AS40,COLUMNS($AV$9:BH39)),"")=0,"",IFERROR(INDEX($A$9:$X$304,$AS40,COLUMNS($AV$9:BH39)),""))</f>
        <v/>
      </c>
      <c r="BI40" s="1" t="str">
        <f>IF(IFERROR(INDEX($A$9:$X$304,$AS40,COLUMNS($AV$9:BI39)),"")=0,"",IFERROR(INDEX($A$9:$X$304,$AS40,COLUMNS($AV$9:BI39)),""))</f>
        <v/>
      </c>
      <c r="BJ40" s="1" t="str">
        <f>IF(IFERROR(INDEX($A$9:$X$304,$AS40,COLUMNS($AV$9:BJ39)),"")=0,"",IFERROR(INDEX($A$9:$X$304,$AS40,COLUMNS($AV$9:BJ39)),""))</f>
        <v>WURM</v>
      </c>
      <c r="BK40" s="1" t="str">
        <f>IF(IFERROR(INDEX($A$9:$X$304,$AS40,COLUMNS($AV$9:BK39)),"")=0,"",IFERROR(INDEX($A$9:$X$304,$AS40,COLUMNS($AV$9:BK39)),""))</f>
        <v>Common</v>
      </c>
      <c r="BL40" s="1" t="str">
        <f>IF(IFERROR(INDEX($A$9:$X$304,$AS40,COLUMNS($AV$9:BL39)),"")=0,"",IFERROR(INDEX($A$9:$X$304,$AS40,COLUMNS($AV$9:BL39)),""))</f>
        <v>Apsara</v>
      </c>
      <c r="BM40" s="1" t="str">
        <f>IF(IFERROR(INDEX($A$9:$X$304,$AS40,COLUMNS($AV$9:BM39)),"")=0,"",IFERROR(INDEX($A$9:$X$304,$AS40,COLUMNS($AV$9:BM39)),""))</f>
        <v>Base Set</v>
      </c>
      <c r="BN40" s="3" t="b">
        <f>IF(IFERROR(INDEX($A$9:$X$304,$AS40,COLUMNS($AV$9:BN39)),"")=0,"",IFERROR(INDEX($A$9:$X$304,$AS40,COLUMNS($AV$9:BN39)),""))</f>
        <v>1</v>
      </c>
      <c r="BO40" s="3" t="b">
        <f>IF(IFERROR(INDEX($A$9:$X$304,$AS40,COLUMNS($AV$9:BO39)),"")=0,"",IFERROR(INDEX($A$9:$X$304,$AS40,COLUMNS($AV$9:BO39)),""))</f>
        <v>0</v>
      </c>
      <c r="BP40" s="3" t="b">
        <f>IF(IFERROR(INDEX($A$9:$X$304,$AS40,COLUMNS($AV$9:BP39)),"")=0,"",IFERROR(INDEX($A$9:$X$304,$AS40,COLUMNS($AV$9:BP39)),""))</f>
        <v>0</v>
      </c>
      <c r="BQ40" s="3" t="b">
        <f>IF(IFERROR(INDEX($A$9:$X$304,$AS40,COLUMNS($AV$9:BQ39)),"")=0,"",IFERROR(INDEX($A$9:$X$304,$AS40,COLUMNS($AV$9:BQ39)),""))</f>
        <v>0</v>
      </c>
      <c r="BR40" s="3" t="str">
        <f>IF(IFERROR(INDEX($A$9:$X$304,$AS40,COLUMNS($AV$9:BR39)),"")=0,"",IFERROR(INDEX($A$9:$X$304,$AS40,COLUMNS($AV$9:BR39)),""))</f>
        <v>http://www.epiccardgame.com/wp-content/uploads/2015/09/burrowing_wurm-215x300.jpg</v>
      </c>
      <c r="BS40" s="3" t="str">
        <f>IF(IFERROR(INDEX($A$9:$X$304,$AS40,COLUMNS($AV$9:BS39)),"")=0,"",IFERROR(INDEX($A$9:$X$304,$AS40,COLUMNS($AV$9:BS39)),""))</f>
        <v/>
      </c>
      <c r="BT40" s="3"/>
      <c r="BU40" s="15"/>
      <c r="BV40" t="s">
        <v>61</v>
      </c>
    </row>
    <row r="41" spans="1:74" ht="225" customHeight="1" x14ac:dyDescent="0.25">
      <c r="A41" t="s">
        <v>358</v>
      </c>
      <c r="B41">
        <v>0</v>
      </c>
      <c r="C41" t="s">
        <v>617</v>
      </c>
      <c r="E41" t="s">
        <v>619</v>
      </c>
      <c r="H41" t="s">
        <v>642</v>
      </c>
      <c r="I41" t="s">
        <v>769</v>
      </c>
      <c r="O41" t="s">
        <v>1063</v>
      </c>
      <c r="P41" t="s">
        <v>1113</v>
      </c>
      <c r="Q41" t="s">
        <v>1117</v>
      </c>
      <c r="R41" t="s">
        <v>1170</v>
      </c>
      <c r="S41" t="b">
        <v>1</v>
      </c>
      <c r="T41" t="b">
        <v>1</v>
      </c>
      <c r="U41" t="b">
        <v>0</v>
      </c>
      <c r="V41" t="b">
        <v>0</v>
      </c>
      <c r="W41" s="2" t="s">
        <v>1216</v>
      </c>
      <c r="X41" s="2"/>
      <c r="Y41" s="24">
        <v>33</v>
      </c>
      <c r="Z41">
        <f t="shared" si="0"/>
        <v>33</v>
      </c>
      <c r="AA41">
        <f t="shared" si="1"/>
        <v>33</v>
      </c>
      <c r="AB41">
        <f t="shared" si="2"/>
        <v>33</v>
      </c>
      <c r="AC41">
        <f t="shared" si="3"/>
        <v>0</v>
      </c>
      <c r="AD41">
        <f t="shared" si="4"/>
        <v>33</v>
      </c>
      <c r="AE41">
        <f t="shared" si="5"/>
        <v>0</v>
      </c>
      <c r="AF41">
        <f t="shared" si="6"/>
        <v>0</v>
      </c>
      <c r="AG41">
        <f t="shared" si="7"/>
        <v>33</v>
      </c>
      <c r="AH41">
        <f t="shared" si="8"/>
        <v>33</v>
      </c>
      <c r="AI41">
        <f t="shared" si="9"/>
        <v>0</v>
      </c>
      <c r="AJ41">
        <f t="shared" si="10"/>
        <v>0</v>
      </c>
      <c r="AK41">
        <f t="shared" si="11"/>
        <v>0</v>
      </c>
      <c r="AL41">
        <f t="shared" si="12"/>
        <v>0</v>
      </c>
      <c r="AM41">
        <f t="shared" si="13"/>
        <v>0</v>
      </c>
      <c r="AN41">
        <f t="shared" si="14"/>
        <v>33</v>
      </c>
      <c r="AO41">
        <f t="shared" si="15"/>
        <v>33</v>
      </c>
      <c r="AP41">
        <f t="shared" si="16"/>
        <v>33</v>
      </c>
      <c r="AQ41">
        <f t="shared" si="17"/>
        <v>33</v>
      </c>
      <c r="AR41" s="6">
        <f t="shared" si="18"/>
        <v>33</v>
      </c>
      <c r="AS41">
        <f t="shared" si="19"/>
        <v>33</v>
      </c>
      <c r="AV41" s="1" t="str">
        <f>IF(IFERROR(INDEX($A$9:$W$304,$AS41,COLUMNS($AV$9:AV40)),"")=0,"",IFERROR(INDEX($A$9:$W$304,$AS41,COLUMNS($AV$9:AV40)),""))</f>
        <v>Cast Out</v>
      </c>
      <c r="AW41" s="1">
        <f>IFERROR(INDEX($A$9:$W$304,$AS41,COLUMNS($AV$9:AW40)),"")</f>
        <v>0</v>
      </c>
      <c r="AX41" s="1" t="str">
        <f>IF(IFERROR(INDEX($A$9:$X$304,$AS41,COLUMNS($AV$9:AX40)),"")=0,"",IFERROR(INDEX($A$9:$X$304,$AS41,COLUMNS($AV$9:AX40)),""))</f>
        <v>GOOD</v>
      </c>
      <c r="AY41" s="1" t="str">
        <f>IF(IFERROR(INDEX($A$9:$X$304,$AS41,COLUMNS($AV$9:AY40)),"")=0,"",IFERROR(INDEX($A$9:$X$304,$AS41,COLUMNS($AV$9:AY40)),""))</f>
        <v/>
      </c>
      <c r="AZ41" s="1" t="str">
        <f>IF(IFERROR(INDEX($A$9:$X$304,$AS41,COLUMNS($AV$9:AZ40)),"")=0,"",IFERROR(INDEX($A$9:$X$304,$AS41,COLUMNS($AV$9:AZ40)),""))</f>
        <v>EVENT</v>
      </c>
      <c r="BA41" s="1" t="str">
        <f>IF(IFERROR(INDEX($A$9:$X$304,$AS41,COLUMNS($AV$9:BA40)),"")=0,"",IFERROR(INDEX($A$9:$X$304,$AS41,COLUMNS($AV$9:BA40)),""))</f>
        <v/>
      </c>
      <c r="BB41" s="1" t="str">
        <f>IF(IFERROR(INDEX($A$9:$X$304,$AS41,COLUMNS($AV$9:BB40)),"")=0,"",IFERROR(INDEX($A$9:$X$304,$AS41,COLUMNS($AV$9:BB40)),""))</f>
        <v/>
      </c>
      <c r="BC41" s="1" t="str">
        <f>IF(IFERROR(INDEX($A$9:$X$304,$AS41,COLUMNS($AV$9:BC40)),"")=0,"",IFERROR(INDEX($A$9:$X$304,$AS41,COLUMNS($AV$9:BC40)),""))</f>
        <v>Put two human tokens into play. Banish target champion with less {defense} than or equal to the number of humans you have in play.</v>
      </c>
      <c r="BD41" s="1" t="str">
        <f>IF(IFERROR(INDEX($A$9:$X$304,$AS41,COLUMNS($AV$9:BD40)),"")=0,"",IFERROR(INDEX($A$9:$X$304,$AS41,COLUMNS($AV$9:BD40)),""))</f>
        <v>{1}: Draw two cards.</v>
      </c>
      <c r="BE41" s="1" t="str">
        <f>IF(IFERROR(INDEX($A$9:$X$304,$AS41,COLUMNS($AV$9:BE40)),"")=0,"",IFERROR(INDEX($A$9:$X$304,$AS41,COLUMNS($AV$9:BE40)),""))</f>
        <v/>
      </c>
      <c r="BF41" s="1" t="str">
        <f>IF(IFERROR(INDEX($A$9:$X$304,$AS41,COLUMNS($AV$9:BF40)),"")=0,"",IFERROR(INDEX($A$9:$X$304,$AS41,COLUMNS($AV$9:BF40)),""))</f>
        <v/>
      </c>
      <c r="BG41" s="1" t="str">
        <f>IF(IFERROR(INDEX($A$9:$X$304,$AS41,COLUMNS($AV$9:BG40)),"")=0,"",IFERROR(INDEX($A$9:$X$304,$AS41,COLUMNS($AV$9:BG40)),""))</f>
        <v/>
      </c>
      <c r="BH41" s="1" t="str">
        <f>IF(IFERROR(INDEX($A$9:$X$304,$AS41,COLUMNS($AV$9:BH40)),"")=0,"",IFERROR(INDEX($A$9:$X$304,$AS41,COLUMNS($AV$9:BH40)),""))</f>
        <v/>
      </c>
      <c r="BI41" s="1" t="str">
        <f>IF(IFERROR(INDEX($A$9:$X$304,$AS41,COLUMNS($AV$9:BI40)),"")=0,"",IFERROR(INDEX($A$9:$X$304,$AS41,COLUMNS($AV$9:BI40)),""))</f>
        <v/>
      </c>
      <c r="BJ41" s="1" t="str">
        <f>IF(IFERROR(INDEX($A$9:$X$304,$AS41,COLUMNS($AV$9:BJ40)),"")=0,"",IFERROR(INDEX($A$9:$X$304,$AS41,COLUMNS($AV$9:BJ40)),""))</f>
        <v>HUMAN</v>
      </c>
      <c r="BK41" s="1" t="str">
        <f>IF(IFERROR(INDEX($A$9:$X$304,$AS41,COLUMNS($AV$9:BK40)),"")=0,"",IFERROR(INDEX($A$9:$X$304,$AS41,COLUMNS($AV$9:BK40)),""))</f>
        <v>Rare</v>
      </c>
      <c r="BL41" s="1" t="str">
        <f>IF(IFERROR(INDEX($A$9:$X$304,$AS41,COLUMNS($AV$9:BL40)),"")=0,"",IFERROR(INDEX($A$9:$X$304,$AS41,COLUMNS($AV$9:BL40)),""))</f>
        <v>Antonis Papantoniou</v>
      </c>
      <c r="BM41" s="1" t="str">
        <f>IF(IFERROR(INDEX($A$9:$X$304,$AS41,COLUMNS($AV$9:BM40)),"")=0,"",IFERROR(INDEX($A$9:$X$304,$AS41,COLUMNS($AV$9:BM40)),""))</f>
        <v>Pantheon: Helena vs Zaltessa</v>
      </c>
      <c r="BN41" s="3" t="b">
        <f>IF(IFERROR(INDEX($A$9:$X$304,$AS41,COLUMNS($AV$9:BN40)),"")=0,"",IFERROR(INDEX($A$9:$X$304,$AS41,COLUMNS($AV$9:BN40)),""))</f>
        <v>1</v>
      </c>
      <c r="BO41" s="3" t="b">
        <f>IF(IFERROR(INDEX($A$9:$X$304,$AS41,COLUMNS($AV$9:BO40)),"")=0,"",IFERROR(INDEX($A$9:$X$304,$AS41,COLUMNS($AV$9:BO40)),""))</f>
        <v>1</v>
      </c>
      <c r="BP41" s="3" t="b">
        <f>IF(IFERROR(INDEX($A$9:$X$304,$AS41,COLUMNS($AV$9:BP40)),"")=0,"",IFERROR(INDEX($A$9:$X$304,$AS41,COLUMNS($AV$9:BP40)),""))</f>
        <v>0</v>
      </c>
      <c r="BQ41" s="3" t="b">
        <f>IF(IFERROR(INDEX($A$9:$X$304,$AS41,COLUMNS($AV$9:BQ40)),"")=0,"",IFERROR(INDEX($A$9:$X$304,$AS41,COLUMNS($AV$9:BQ40)),""))</f>
        <v>0</v>
      </c>
      <c r="BR41" s="3" t="str">
        <f>IF(IFERROR(INDEX($A$9:$X$304,$AS41,COLUMNS($AV$9:BR40)),"")=0,"",IFERROR(INDEX($A$9:$X$304,$AS41,COLUMNS($AV$9:BR40)),""))</f>
        <v>https://www.epiccardgame.com/wp-content/uploads/2017/11/PNH-EN-04-cast-out.jpg</v>
      </c>
      <c r="BS41" s="3" t="str">
        <f>IF(IFERROR(INDEX($A$9:$X$304,$AS41,COLUMNS($AV$9:BS40)),"")=0,"",IFERROR(INDEX($A$9:$X$304,$AS41,COLUMNS($AV$9:BS40)),""))</f>
        <v/>
      </c>
      <c r="BT41" s="3"/>
      <c r="BU41" s="15"/>
      <c r="BV41" t="s">
        <v>62</v>
      </c>
    </row>
    <row r="42" spans="1:74" ht="225.2" customHeight="1" x14ac:dyDescent="0.25">
      <c r="A42" t="s">
        <v>359</v>
      </c>
      <c r="B42">
        <v>0</v>
      </c>
      <c r="C42" t="s">
        <v>615</v>
      </c>
      <c r="E42" t="s">
        <v>620</v>
      </c>
      <c r="F42">
        <v>5</v>
      </c>
      <c r="G42">
        <v>3</v>
      </c>
      <c r="L42" t="s">
        <v>1043</v>
      </c>
      <c r="M42" t="s">
        <v>1058</v>
      </c>
      <c r="O42" t="s">
        <v>1072</v>
      </c>
      <c r="P42" t="s">
        <v>1112</v>
      </c>
      <c r="Q42" t="s">
        <v>1116</v>
      </c>
      <c r="R42" t="s">
        <v>1171</v>
      </c>
      <c r="S42" t="b">
        <v>0</v>
      </c>
      <c r="T42" t="b">
        <v>0</v>
      </c>
      <c r="U42" t="b">
        <v>0</v>
      </c>
      <c r="V42" t="b">
        <v>0</v>
      </c>
      <c r="W42" s="2" t="s">
        <v>1217</v>
      </c>
      <c r="X42" s="2"/>
      <c r="Y42" s="24">
        <v>34</v>
      </c>
      <c r="Z42">
        <f t="shared" si="0"/>
        <v>34</v>
      </c>
      <c r="AA42">
        <f t="shared" si="1"/>
        <v>34</v>
      </c>
      <c r="AB42">
        <f t="shared" si="2"/>
        <v>34</v>
      </c>
      <c r="AC42">
        <f t="shared" si="3"/>
        <v>0</v>
      </c>
      <c r="AD42">
        <f t="shared" si="4"/>
        <v>34</v>
      </c>
      <c r="AE42">
        <f t="shared" si="5"/>
        <v>34</v>
      </c>
      <c r="AF42">
        <f t="shared" si="6"/>
        <v>34</v>
      </c>
      <c r="AG42">
        <f t="shared" si="7"/>
        <v>0</v>
      </c>
      <c r="AH42">
        <f t="shared" si="8"/>
        <v>0</v>
      </c>
      <c r="AI42">
        <f t="shared" si="9"/>
        <v>0</v>
      </c>
      <c r="AJ42">
        <f t="shared" si="10"/>
        <v>0</v>
      </c>
      <c r="AK42">
        <f t="shared" si="11"/>
        <v>34</v>
      </c>
      <c r="AL42">
        <f t="shared" si="12"/>
        <v>34</v>
      </c>
      <c r="AM42">
        <f t="shared" si="13"/>
        <v>0</v>
      </c>
      <c r="AN42">
        <f t="shared" si="14"/>
        <v>34</v>
      </c>
      <c r="AO42">
        <f t="shared" si="15"/>
        <v>34</v>
      </c>
      <c r="AP42">
        <f t="shared" si="16"/>
        <v>34</v>
      </c>
      <c r="AQ42">
        <f t="shared" si="17"/>
        <v>34</v>
      </c>
      <c r="AR42" s="6">
        <f t="shared" si="18"/>
        <v>34</v>
      </c>
      <c r="AS42">
        <f t="shared" si="19"/>
        <v>34</v>
      </c>
      <c r="AV42" s="1" t="str">
        <f>IF(IFERROR(INDEX($A$9:$W$304,$AS42,COLUMNS($AV$9:AV41)),"")=0,"",IFERROR(INDEX($A$9:$W$304,$AS42,COLUMNS($AV$9:AV41)),""))</f>
        <v>Cave Troll</v>
      </c>
      <c r="AW42" s="1">
        <f>IFERROR(INDEX($A$9:$W$304,$AS42,COLUMNS($AV$9:AW41)),"")</f>
        <v>0</v>
      </c>
      <c r="AX42" s="1" t="str">
        <f>IF(IFERROR(INDEX($A$9:$X$304,$AS42,COLUMNS($AV$9:AX41)),"")=0,"",IFERROR(INDEX($A$9:$X$304,$AS42,COLUMNS($AV$9:AX41)),""))</f>
        <v>WILD</v>
      </c>
      <c r="AY42" s="1" t="str">
        <f>IF(IFERROR(INDEX($A$9:$X$304,$AS42,COLUMNS($AV$9:AY41)),"")=0,"",IFERROR(INDEX($A$9:$X$304,$AS42,COLUMNS($AV$9:AY41)),""))</f>
        <v/>
      </c>
      <c r="AZ42" s="1" t="str">
        <f>IF(IFERROR(INDEX($A$9:$X$304,$AS42,COLUMNS($AV$9:AZ41)),"")=0,"",IFERROR(INDEX($A$9:$X$304,$AS42,COLUMNS($AV$9:AZ41)),""))</f>
        <v>CHAMPION</v>
      </c>
      <c r="BA42" s="1">
        <f>IF(IFERROR(INDEX($A$9:$X$304,$AS42,COLUMNS($AV$9:BA41)),"")=0,"",IFERROR(INDEX($A$9:$X$304,$AS42,COLUMNS($AV$9:BA41)),""))</f>
        <v>5</v>
      </c>
      <c r="BB42" s="1">
        <f>IF(IFERROR(INDEX($A$9:$X$304,$AS42,COLUMNS($AV$9:BB41)),"")=0,"",IFERROR(INDEX($A$9:$X$304,$AS42,COLUMNS($AV$9:BB41)),""))</f>
        <v>3</v>
      </c>
      <c r="BC42" s="1" t="str">
        <f>IF(IFERROR(INDEX($A$9:$X$304,$AS42,COLUMNS($AV$9:BC41)),"")=0,"",IFERROR(INDEX($A$9:$X$304,$AS42,COLUMNS($AV$9:BC41)),""))</f>
        <v/>
      </c>
      <c r="BD42" s="1" t="str">
        <f>IF(IFERROR(INDEX($A$9:$X$304,$AS42,COLUMNS($AV$9:BD41)),"")=0,"",IFERROR(INDEX($A$9:$X$304,$AS42,COLUMNS($AV$9:BD41)),""))</f>
        <v/>
      </c>
      <c r="BE42" s="1" t="str">
        <f>IF(IFERROR(INDEX($A$9:$X$304,$AS42,COLUMNS($AV$9:BE41)),"")=0,"",IFERROR(INDEX($A$9:$X$304,$AS42,COLUMNS($AV$9:BE41)),""))</f>
        <v/>
      </c>
      <c r="BF42" s="1" t="str">
        <f>IF(IFERROR(INDEX($A$9:$X$304,$AS42,COLUMNS($AV$9:BF41)),"")=0,"",IFERROR(INDEX($A$9:$X$304,$AS42,COLUMNS($AV$9:BF41)),""))</f>
        <v/>
      </c>
      <c r="BG42" s="1" t="str">
        <f>IF(IFERROR(INDEX($A$9:$X$304,$AS42,COLUMNS($AV$9:BG41)),"")=0,"",IFERROR(INDEX($A$9:$X$304,$AS42,COLUMNS($AV$9:BG41)),""))</f>
        <v>{wild} → Recall</v>
      </c>
      <c r="BH42" s="1" t="str">
        <f>IF(IFERROR(INDEX($A$9:$X$304,$AS42,COLUMNS($AV$9:BH41)),"")=0,"",IFERROR(INDEX($A$9:$X$304,$AS42,COLUMNS($AV$9:BH41)),""))</f>
        <v>(Recall means return this card to your hand from your discard pile.)</v>
      </c>
      <c r="BI42" s="1" t="str">
        <f>IF(IFERROR(INDEX($A$9:$X$304,$AS42,COLUMNS($AV$9:BI41)),"")=0,"",IFERROR(INDEX($A$9:$X$304,$AS42,COLUMNS($AV$9:BI41)),""))</f>
        <v/>
      </c>
      <c r="BJ42" s="1" t="str">
        <f>IF(IFERROR(INDEX($A$9:$X$304,$AS42,COLUMNS($AV$9:BJ41)),"")=0,"",IFERROR(INDEX($A$9:$X$304,$AS42,COLUMNS($AV$9:BJ41)),""))</f>
        <v>TROLL</v>
      </c>
      <c r="BK42" s="1" t="str">
        <f>IF(IFERROR(INDEX($A$9:$X$304,$AS42,COLUMNS($AV$9:BK41)),"")=0,"",IFERROR(INDEX($A$9:$X$304,$AS42,COLUMNS($AV$9:BK41)),""))</f>
        <v>Common</v>
      </c>
      <c r="BL42" s="1" t="str">
        <f>IF(IFERROR(INDEX($A$9:$X$304,$AS42,COLUMNS($AV$9:BL41)),"")=0,"",IFERROR(INDEX($A$9:$X$304,$AS42,COLUMNS($AV$9:BL41)),""))</f>
        <v>Apsara</v>
      </c>
      <c r="BM42" s="1" t="str">
        <f>IF(IFERROR(INDEX($A$9:$X$304,$AS42,COLUMNS($AV$9:BM41)),"")=0,"",IFERROR(INDEX($A$9:$X$304,$AS42,COLUMNS($AV$9:BM41)),""))</f>
        <v>Base Set</v>
      </c>
      <c r="BN42" s="3" t="b">
        <f>IF(IFERROR(INDEX($A$9:$X$304,$AS42,COLUMNS($AV$9:BN41)),"")=0,"",IFERROR(INDEX($A$9:$X$304,$AS42,COLUMNS($AV$9:BN41)),""))</f>
        <v>0</v>
      </c>
      <c r="BO42" s="3" t="b">
        <f>IF(IFERROR(INDEX($A$9:$X$304,$AS42,COLUMNS($AV$9:BO41)),"")=0,"",IFERROR(INDEX($A$9:$X$304,$AS42,COLUMNS($AV$9:BO41)),""))</f>
        <v>0</v>
      </c>
      <c r="BP42" s="3" t="b">
        <f>IF(IFERROR(INDEX($A$9:$X$304,$AS42,COLUMNS($AV$9:BP41)),"")=0,"",IFERROR(INDEX($A$9:$X$304,$AS42,COLUMNS($AV$9:BP41)),""))</f>
        <v>0</v>
      </c>
      <c r="BQ42" s="3" t="b">
        <f>IF(IFERROR(INDEX($A$9:$X$304,$AS42,COLUMNS($AV$9:BQ41)),"")=0,"",IFERROR(INDEX($A$9:$X$304,$AS42,COLUMNS($AV$9:BQ41)),""))</f>
        <v>0</v>
      </c>
      <c r="BR42" s="3" t="str">
        <f>IF(IFERROR(INDEX($A$9:$X$304,$AS42,COLUMNS($AV$9:BR41)),"")=0,"",IFERROR(INDEX($A$9:$X$304,$AS42,COLUMNS($AV$9:BR41)),""))</f>
        <v>http://www.epiccardgame.com/wp-content/uploads/2015/09/cave_troll-215x300.jpg</v>
      </c>
      <c r="BS42" s="3" t="str">
        <f>IF(IFERROR(INDEX($A$9:$X$304,$AS42,COLUMNS($AV$9:BS41)),"")=0,"",IFERROR(INDEX($A$9:$X$304,$AS42,COLUMNS($AV$9:BS41)),""))</f>
        <v/>
      </c>
      <c r="BT42" s="3"/>
      <c r="BU42" s="15"/>
      <c r="BV42" t="s">
        <v>63</v>
      </c>
    </row>
    <row r="43" spans="1:74" ht="225" customHeight="1" x14ac:dyDescent="0.25">
      <c r="A43" t="s">
        <v>360</v>
      </c>
      <c r="B43">
        <v>1</v>
      </c>
      <c r="C43" t="s">
        <v>617</v>
      </c>
      <c r="E43" t="s">
        <v>619</v>
      </c>
      <c r="H43" t="s">
        <v>627</v>
      </c>
      <c r="I43" t="s">
        <v>789</v>
      </c>
      <c r="O43" t="s">
        <v>1062</v>
      </c>
      <c r="P43" t="s">
        <v>1112</v>
      </c>
      <c r="Q43" t="s">
        <v>1118</v>
      </c>
      <c r="R43" t="s">
        <v>1171</v>
      </c>
      <c r="S43" t="b">
        <v>1</v>
      </c>
      <c r="T43" t="b">
        <v>0</v>
      </c>
      <c r="U43" t="b">
        <v>0</v>
      </c>
      <c r="V43" t="b">
        <v>0</v>
      </c>
      <c r="W43" s="2" t="s">
        <v>1218</v>
      </c>
      <c r="X43" s="2"/>
      <c r="Y43" s="24">
        <v>35</v>
      </c>
      <c r="Z43">
        <f t="shared" si="0"/>
        <v>35</v>
      </c>
      <c r="AA43">
        <f t="shared" si="1"/>
        <v>35</v>
      </c>
      <c r="AB43">
        <f t="shared" si="2"/>
        <v>35</v>
      </c>
      <c r="AC43">
        <f t="shared" si="3"/>
        <v>0</v>
      </c>
      <c r="AD43">
        <f t="shared" si="4"/>
        <v>35</v>
      </c>
      <c r="AE43">
        <f t="shared" si="5"/>
        <v>0</v>
      </c>
      <c r="AF43">
        <f t="shared" si="6"/>
        <v>0</v>
      </c>
      <c r="AG43">
        <f t="shared" si="7"/>
        <v>35</v>
      </c>
      <c r="AH43">
        <f t="shared" si="8"/>
        <v>35</v>
      </c>
      <c r="AI43">
        <f t="shared" si="9"/>
        <v>0</v>
      </c>
      <c r="AJ43">
        <f t="shared" si="10"/>
        <v>0</v>
      </c>
      <c r="AK43">
        <f t="shared" si="11"/>
        <v>0</v>
      </c>
      <c r="AL43">
        <f t="shared" si="12"/>
        <v>0</v>
      </c>
      <c r="AM43">
        <f t="shared" si="13"/>
        <v>0</v>
      </c>
      <c r="AN43">
        <f t="shared" si="14"/>
        <v>35</v>
      </c>
      <c r="AO43">
        <f t="shared" si="15"/>
        <v>35</v>
      </c>
      <c r="AP43">
        <f t="shared" si="16"/>
        <v>35</v>
      </c>
      <c r="AQ43">
        <f t="shared" si="17"/>
        <v>35</v>
      </c>
      <c r="AR43" s="6">
        <f t="shared" si="18"/>
        <v>35</v>
      </c>
      <c r="AS43">
        <f t="shared" si="19"/>
        <v>35</v>
      </c>
      <c r="AV43" s="1" t="str">
        <f>IF(IFERROR(INDEX($A$9:$W$304,$AS43,COLUMNS($AV$9:AV42)),"")=0,"",IFERROR(INDEX($A$9:$W$304,$AS43,COLUMNS($AV$9:AV42)),""))</f>
        <v>Ceasefire</v>
      </c>
      <c r="AW43" s="1">
        <f>IFERROR(INDEX($A$9:$W$304,$AS43,COLUMNS($AV$9:AW42)),"")</f>
        <v>1</v>
      </c>
      <c r="AX43" s="1" t="str">
        <f>IF(IFERROR(INDEX($A$9:$X$304,$AS43,COLUMNS($AV$9:AX42)),"")=0,"",IFERROR(INDEX($A$9:$X$304,$AS43,COLUMNS($AV$9:AX42)),""))</f>
        <v>GOOD</v>
      </c>
      <c r="AY43" s="1" t="str">
        <f>IF(IFERROR(INDEX($A$9:$X$304,$AS43,COLUMNS($AV$9:AY42)),"")=0,"",IFERROR(INDEX($A$9:$X$304,$AS43,COLUMNS($AV$9:AY42)),""))</f>
        <v/>
      </c>
      <c r="AZ43" s="1" t="str">
        <f>IF(IFERROR(INDEX($A$9:$X$304,$AS43,COLUMNS($AV$9:AZ42)),"")=0,"",IFERROR(INDEX($A$9:$X$304,$AS43,COLUMNS($AV$9:AZ42)),""))</f>
        <v>EVENT</v>
      </c>
      <c r="BA43" s="1" t="str">
        <f>IF(IFERROR(INDEX($A$9:$X$304,$AS43,COLUMNS($AV$9:BA42)),"")=0,"",IFERROR(INDEX($A$9:$X$304,$AS43,COLUMNS($AV$9:BA42)),""))</f>
        <v/>
      </c>
      <c r="BB43" s="1" t="str">
        <f>IF(IFERROR(INDEX($A$9:$X$304,$AS43,COLUMNS($AV$9:BB42)),"")=0,"",IFERROR(INDEX($A$9:$X$304,$AS43,COLUMNS($AV$9:BB42)),""))</f>
        <v/>
      </c>
      <c r="BC43" s="1" t="str">
        <f>IF(IFERROR(INDEX($A$9:$X$304,$AS43,COLUMNS($AV$9:BC42)),"")=0,"",IFERROR(INDEX($A$9:$X$304,$AS43,COLUMNS($AV$9:BC42)),""))</f>
        <v>Draw two cards.</v>
      </c>
      <c r="BD43" s="1" t="str">
        <f>IF(IFERROR(INDEX($A$9:$X$304,$AS43,COLUMNS($AV$9:BD42)),"")=0,"",IFERROR(INDEX($A$9:$X$304,$AS43,COLUMNS($AV$9:BD42)),""))</f>
        <v>Champions cannot attack this turn. (The current attack, if any, is unaffected.)</v>
      </c>
      <c r="BE43" s="1" t="str">
        <f>IF(IFERROR(INDEX($A$9:$X$304,$AS43,COLUMNS($AV$9:BE42)),"")=0,"",IFERROR(INDEX($A$9:$X$304,$AS43,COLUMNS($AV$9:BE42)),""))</f>
        <v/>
      </c>
      <c r="BF43" s="1" t="str">
        <f>IF(IFERROR(INDEX($A$9:$X$304,$AS43,COLUMNS($AV$9:BF42)),"")=0,"",IFERROR(INDEX($A$9:$X$304,$AS43,COLUMNS($AV$9:BF42)),""))</f>
        <v/>
      </c>
      <c r="BG43" s="1" t="str">
        <f>IF(IFERROR(INDEX($A$9:$X$304,$AS43,COLUMNS($AV$9:BG42)),"")=0,"",IFERROR(INDEX($A$9:$X$304,$AS43,COLUMNS($AV$9:BG42)),""))</f>
        <v/>
      </c>
      <c r="BH43" s="1" t="str">
        <f>IF(IFERROR(INDEX($A$9:$X$304,$AS43,COLUMNS($AV$9:BH42)),"")=0,"",IFERROR(INDEX($A$9:$X$304,$AS43,COLUMNS($AV$9:BH42)),""))</f>
        <v/>
      </c>
      <c r="BI43" s="1" t="str">
        <f>IF(IFERROR(INDEX($A$9:$X$304,$AS43,COLUMNS($AV$9:BI42)),"")=0,"",IFERROR(INDEX($A$9:$X$304,$AS43,COLUMNS($AV$9:BI42)),""))</f>
        <v/>
      </c>
      <c r="BJ43" s="1" t="str">
        <f>IF(IFERROR(INDEX($A$9:$X$304,$AS43,COLUMNS($AV$9:BJ42)),"")=0,"",IFERROR(INDEX($A$9:$X$304,$AS43,COLUMNS($AV$9:BJ42)),""))</f>
        <v>None</v>
      </c>
      <c r="BK43" s="1" t="str">
        <f>IF(IFERROR(INDEX($A$9:$X$304,$AS43,COLUMNS($AV$9:BK42)),"")=0,"",IFERROR(INDEX($A$9:$X$304,$AS43,COLUMNS($AV$9:BK42)),""))</f>
        <v>Common</v>
      </c>
      <c r="BL43" s="1" t="str">
        <f>IF(IFERROR(INDEX($A$9:$X$304,$AS43,COLUMNS($AV$9:BL42)),"")=0,"",IFERROR(INDEX($A$9:$X$304,$AS43,COLUMNS($AV$9:BL42)),""))</f>
        <v>L.Sean</v>
      </c>
      <c r="BM43" s="1" t="str">
        <f>IF(IFERROR(INDEX($A$9:$X$304,$AS43,COLUMNS($AV$9:BM42)),"")=0,"",IFERROR(INDEX($A$9:$X$304,$AS43,COLUMNS($AV$9:BM42)),""))</f>
        <v>Base Set</v>
      </c>
      <c r="BN43" s="3" t="b">
        <f>IF(IFERROR(INDEX($A$9:$X$304,$AS43,COLUMNS($AV$9:BN42)),"")=0,"",IFERROR(INDEX($A$9:$X$304,$AS43,COLUMNS($AV$9:BN42)),""))</f>
        <v>1</v>
      </c>
      <c r="BO43" s="3" t="b">
        <f>IF(IFERROR(INDEX($A$9:$X$304,$AS43,COLUMNS($AV$9:BO42)),"")=0,"",IFERROR(INDEX($A$9:$X$304,$AS43,COLUMNS($AV$9:BO42)),""))</f>
        <v>0</v>
      </c>
      <c r="BP43" s="3" t="b">
        <f>IF(IFERROR(INDEX($A$9:$X$304,$AS43,COLUMNS($AV$9:BP42)),"")=0,"",IFERROR(INDEX($A$9:$X$304,$AS43,COLUMNS($AV$9:BP42)),""))</f>
        <v>0</v>
      </c>
      <c r="BQ43" s="3" t="b">
        <f>IF(IFERROR(INDEX($A$9:$X$304,$AS43,COLUMNS($AV$9:BQ42)),"")=0,"",IFERROR(INDEX($A$9:$X$304,$AS43,COLUMNS($AV$9:BQ42)),""))</f>
        <v>0</v>
      </c>
      <c r="BR43" s="3" t="str">
        <f>IF(IFERROR(INDEX($A$9:$X$304,$AS43,COLUMNS($AV$9:BR42)),"")=0,"",IFERROR(INDEX($A$9:$X$304,$AS43,COLUMNS($AV$9:BR42)),""))</f>
        <v>http://www.epiccardgame.com/wp-content/uploads/2015/09/ceasefire-215x300.jpg</v>
      </c>
      <c r="BS43" s="3" t="str">
        <f>IF(IFERROR(INDEX($A$9:$X$304,$AS43,COLUMNS($AV$9:BS42)),"")=0,"",IFERROR(INDEX($A$9:$X$304,$AS43,COLUMNS($AV$9:BS42)),""))</f>
        <v/>
      </c>
      <c r="BT43" s="3"/>
      <c r="BU43" s="15"/>
      <c r="BV43" t="s">
        <v>64</v>
      </c>
    </row>
    <row r="44" spans="1:74" ht="225" customHeight="1" x14ac:dyDescent="0.25">
      <c r="A44" t="s">
        <v>361</v>
      </c>
      <c r="B44">
        <v>1</v>
      </c>
      <c r="C44" t="s">
        <v>617</v>
      </c>
      <c r="E44" t="s">
        <v>620</v>
      </c>
      <c r="F44">
        <v>9</v>
      </c>
      <c r="G44">
        <v>12</v>
      </c>
      <c r="H44" t="s">
        <v>643</v>
      </c>
      <c r="I44" t="s">
        <v>790</v>
      </c>
      <c r="O44" t="s">
        <v>1063</v>
      </c>
      <c r="P44" t="s">
        <v>1113</v>
      </c>
      <c r="Q44" t="s">
        <v>1116</v>
      </c>
      <c r="R44" t="s">
        <v>1181</v>
      </c>
      <c r="S44" t="b">
        <v>1</v>
      </c>
      <c r="T44" t="b">
        <v>0</v>
      </c>
      <c r="U44" t="b">
        <v>0</v>
      </c>
      <c r="V44" t="b">
        <v>0</v>
      </c>
      <c r="W44" s="2" t="s">
        <v>1219</v>
      </c>
      <c r="X44" s="2"/>
      <c r="Y44" s="24">
        <v>36</v>
      </c>
      <c r="Z44">
        <f t="shared" si="0"/>
        <v>36</v>
      </c>
      <c r="AA44">
        <f t="shared" si="1"/>
        <v>36</v>
      </c>
      <c r="AB44">
        <f t="shared" si="2"/>
        <v>36</v>
      </c>
      <c r="AC44">
        <f t="shared" si="3"/>
        <v>0</v>
      </c>
      <c r="AD44">
        <f t="shared" si="4"/>
        <v>36</v>
      </c>
      <c r="AE44">
        <f t="shared" si="5"/>
        <v>36</v>
      </c>
      <c r="AF44">
        <f t="shared" si="6"/>
        <v>36</v>
      </c>
      <c r="AG44">
        <f t="shared" si="7"/>
        <v>36</v>
      </c>
      <c r="AH44">
        <f t="shared" si="8"/>
        <v>36</v>
      </c>
      <c r="AI44">
        <f t="shared" si="9"/>
        <v>0</v>
      </c>
      <c r="AJ44">
        <f t="shared" si="10"/>
        <v>0</v>
      </c>
      <c r="AK44">
        <f t="shared" si="11"/>
        <v>0</v>
      </c>
      <c r="AL44">
        <f t="shared" si="12"/>
        <v>0</v>
      </c>
      <c r="AM44">
        <f t="shared" si="13"/>
        <v>0</v>
      </c>
      <c r="AN44">
        <f t="shared" si="14"/>
        <v>36</v>
      </c>
      <c r="AO44">
        <f t="shared" si="15"/>
        <v>36</v>
      </c>
      <c r="AP44">
        <f t="shared" si="16"/>
        <v>36</v>
      </c>
      <c r="AQ44">
        <f t="shared" si="17"/>
        <v>36</v>
      </c>
      <c r="AR44" s="6">
        <f t="shared" si="18"/>
        <v>36</v>
      </c>
      <c r="AS44">
        <f t="shared" si="19"/>
        <v>36</v>
      </c>
      <c r="AV44" s="1" t="str">
        <f>IF(IFERROR(INDEX($A$9:$W$304,$AS44,COLUMNS($AV$9:AV43)),"")=0,"",IFERROR(INDEX($A$9:$W$304,$AS44,COLUMNS($AV$9:AV43)),""))</f>
        <v>Chamberlain Kark</v>
      </c>
      <c r="AW44" s="1">
        <f>IFERROR(INDEX($A$9:$W$304,$AS44,COLUMNS($AV$9:AW43)),"")</f>
        <v>1</v>
      </c>
      <c r="AX44" s="1" t="str">
        <f>IF(IFERROR(INDEX($A$9:$X$304,$AS44,COLUMNS($AV$9:AX43)),"")=0,"",IFERROR(INDEX($A$9:$X$304,$AS44,COLUMNS($AV$9:AX43)),""))</f>
        <v>GOOD</v>
      </c>
      <c r="AY44" s="1" t="str">
        <f>IF(IFERROR(INDEX($A$9:$X$304,$AS44,COLUMNS($AV$9:AY43)),"")=0,"",IFERROR(INDEX($A$9:$X$304,$AS44,COLUMNS($AV$9:AY43)),""))</f>
        <v/>
      </c>
      <c r="AZ44" s="1" t="str">
        <f>IF(IFERROR(INDEX($A$9:$X$304,$AS44,COLUMNS($AV$9:AZ43)),"")=0,"",IFERROR(INDEX($A$9:$X$304,$AS44,COLUMNS($AV$9:AZ43)),""))</f>
        <v>CHAMPION</v>
      </c>
      <c r="BA44" s="1">
        <f>IF(IFERROR(INDEX($A$9:$X$304,$AS44,COLUMNS($AV$9:BA43)),"")=0,"",IFERROR(INDEX($A$9:$X$304,$AS44,COLUMNS($AV$9:BA43)),""))</f>
        <v>9</v>
      </c>
      <c r="BB44" s="1">
        <f>IF(IFERROR(INDEX($A$9:$X$304,$AS44,COLUMNS($AV$9:BB43)),"")=0,"",IFERROR(INDEX($A$9:$X$304,$AS44,COLUMNS($AV$9:BB43)),""))</f>
        <v>12</v>
      </c>
      <c r="BC44" s="1" t="str">
        <f>IF(IFERROR(INDEX($A$9:$X$304,$AS44,COLUMNS($AV$9:BC43)),"")=0,"",IFERROR(INDEX($A$9:$X$304,$AS44,COLUMNS($AV$9:BC43)),""))</f>
        <v>Loyalty X → For each card revealed, gain 2 health.</v>
      </c>
      <c r="BD44" s="1" t="str">
        <f>IF(IFERROR(INDEX($A$9:$X$304,$AS44,COLUMNS($AV$9:BD43)),"")=0,"",IFERROR(INDEX($A$9:$X$304,$AS44,COLUMNS($AV$9:BD43)),""))</f>
        <v>Tribute → If you have at least twice your starting health (at least 60 in a normal two-player game), you win the game.</v>
      </c>
      <c r="BE44" s="1" t="str">
        <f>IF(IFERROR(INDEX($A$9:$X$304,$AS44,COLUMNS($AV$9:BE43)),"")=0,"",IFERROR(INDEX($A$9:$X$304,$AS44,COLUMNS($AV$9:BE43)),""))</f>
        <v/>
      </c>
      <c r="BF44" s="1" t="str">
        <f>IF(IFERROR(INDEX($A$9:$X$304,$AS44,COLUMNS($AV$9:BF43)),"")=0,"",IFERROR(INDEX($A$9:$X$304,$AS44,COLUMNS($AV$9:BF43)),""))</f>
        <v/>
      </c>
      <c r="BG44" s="1" t="str">
        <f>IF(IFERROR(INDEX($A$9:$X$304,$AS44,COLUMNS($AV$9:BG43)),"")=0,"",IFERROR(INDEX($A$9:$X$304,$AS44,COLUMNS($AV$9:BG43)),""))</f>
        <v/>
      </c>
      <c r="BH44" s="1" t="str">
        <f>IF(IFERROR(INDEX($A$9:$X$304,$AS44,COLUMNS($AV$9:BH43)),"")=0,"",IFERROR(INDEX($A$9:$X$304,$AS44,COLUMNS($AV$9:BH43)),""))</f>
        <v/>
      </c>
      <c r="BI44" s="1" t="str">
        <f>IF(IFERROR(INDEX($A$9:$X$304,$AS44,COLUMNS($AV$9:BI43)),"")=0,"",IFERROR(INDEX($A$9:$X$304,$AS44,COLUMNS($AV$9:BI43)),""))</f>
        <v/>
      </c>
      <c r="BJ44" s="1" t="str">
        <f>IF(IFERROR(INDEX($A$9:$X$304,$AS44,COLUMNS($AV$9:BJ43)),"")=0,"",IFERROR(INDEX($A$9:$X$304,$AS44,COLUMNS($AV$9:BJ43)),""))</f>
        <v>HUMAN</v>
      </c>
      <c r="BK44" s="1" t="str">
        <f>IF(IFERROR(INDEX($A$9:$X$304,$AS44,COLUMNS($AV$9:BK43)),"")=0,"",IFERROR(INDEX($A$9:$X$304,$AS44,COLUMNS($AV$9:BK43)),""))</f>
        <v>Rare</v>
      </c>
      <c r="BL44" s="1" t="str">
        <f>IF(IFERROR(INDEX($A$9:$X$304,$AS44,COLUMNS($AV$9:BL43)),"")=0,"",IFERROR(INDEX($A$9:$X$304,$AS44,COLUMNS($AV$9:BL43)),""))</f>
        <v>Apsara</v>
      </c>
      <c r="BM44" s="1" t="str">
        <f>IF(IFERROR(INDEX($A$9:$X$304,$AS44,COLUMNS($AV$9:BM43)),"")=0,"",IFERROR(INDEX($A$9:$X$304,$AS44,COLUMNS($AV$9:BM43)),""))</f>
        <v>Uprising: Kark's Edict</v>
      </c>
      <c r="BN44" s="3" t="b">
        <f>IF(IFERROR(INDEX($A$9:$X$304,$AS44,COLUMNS($AV$9:BN43)),"")=0,"",IFERROR(INDEX($A$9:$X$304,$AS44,COLUMNS($AV$9:BN43)),""))</f>
        <v>1</v>
      </c>
      <c r="BO44" s="3" t="b">
        <f>IF(IFERROR(INDEX($A$9:$X$304,$AS44,COLUMNS($AV$9:BO43)),"")=0,"",IFERROR(INDEX($A$9:$X$304,$AS44,COLUMNS($AV$9:BO43)),""))</f>
        <v>0</v>
      </c>
      <c r="BP44" s="3" t="b">
        <f>IF(IFERROR(INDEX($A$9:$X$304,$AS44,COLUMNS($AV$9:BP43)),"")=0,"",IFERROR(INDEX($A$9:$X$304,$AS44,COLUMNS($AV$9:BP43)),""))</f>
        <v>0</v>
      </c>
      <c r="BQ44" s="3" t="b">
        <f>IF(IFERROR(INDEX($A$9:$X$304,$AS44,COLUMNS($AV$9:BQ43)),"")=0,"",IFERROR(INDEX($A$9:$X$304,$AS44,COLUMNS($AV$9:BQ43)),""))</f>
        <v>0</v>
      </c>
      <c r="BR44" s="3" t="str">
        <f>IF(IFERROR(INDEX($A$9:$X$304,$AS44,COLUMNS($AV$9:BR43)),"")=0,"",IFERROR(INDEX($A$9:$X$304,$AS44,COLUMNS($AV$9:BR43)),""))</f>
        <v>https://www.epiccardgame.com/wp-content/uploads/2017/11/UPK-EN-chamberlain-kark.jpg</v>
      </c>
      <c r="BS44" s="3" t="str">
        <f>IF(IFERROR(INDEX($A$9:$X$304,$AS44,COLUMNS($AV$9:BS43)),"")=0,"",IFERROR(INDEX($A$9:$X$304,$AS44,COLUMNS($AV$9:BS43)),""))</f>
        <v/>
      </c>
      <c r="BT44" s="3"/>
      <c r="BU44" s="15"/>
      <c r="BV44" t="s">
        <v>65</v>
      </c>
    </row>
    <row r="45" spans="1:74" ht="225.2" customHeight="1" x14ac:dyDescent="0.25">
      <c r="A45" t="s">
        <v>362</v>
      </c>
      <c r="B45">
        <v>1</v>
      </c>
      <c r="C45" t="s">
        <v>615</v>
      </c>
      <c r="E45" t="s">
        <v>619</v>
      </c>
      <c r="H45" t="s">
        <v>644</v>
      </c>
      <c r="I45" t="s">
        <v>791</v>
      </c>
      <c r="O45" t="s">
        <v>1066</v>
      </c>
      <c r="P45" t="s">
        <v>1112</v>
      </c>
      <c r="Q45" t="s">
        <v>1117</v>
      </c>
      <c r="R45" t="s">
        <v>1171</v>
      </c>
      <c r="S45" t="b">
        <v>1</v>
      </c>
      <c r="T45" t="b">
        <v>0</v>
      </c>
      <c r="U45" t="b">
        <v>0</v>
      </c>
      <c r="V45" t="b">
        <v>0</v>
      </c>
      <c r="W45" s="2" t="s">
        <v>1220</v>
      </c>
      <c r="X45" s="2"/>
      <c r="Y45" s="24">
        <v>37</v>
      </c>
      <c r="Z45">
        <f t="shared" si="0"/>
        <v>37</v>
      </c>
      <c r="AA45">
        <f t="shared" si="1"/>
        <v>37</v>
      </c>
      <c r="AB45">
        <f t="shared" si="2"/>
        <v>37</v>
      </c>
      <c r="AC45">
        <f t="shared" si="3"/>
        <v>0</v>
      </c>
      <c r="AD45">
        <f t="shared" si="4"/>
        <v>37</v>
      </c>
      <c r="AE45">
        <f t="shared" si="5"/>
        <v>0</v>
      </c>
      <c r="AF45">
        <f t="shared" si="6"/>
        <v>0</v>
      </c>
      <c r="AG45">
        <f t="shared" si="7"/>
        <v>37</v>
      </c>
      <c r="AH45">
        <f t="shared" si="8"/>
        <v>37</v>
      </c>
      <c r="AI45">
        <f t="shared" si="9"/>
        <v>0</v>
      </c>
      <c r="AJ45">
        <f t="shared" si="10"/>
        <v>0</v>
      </c>
      <c r="AK45">
        <f t="shared" si="11"/>
        <v>0</v>
      </c>
      <c r="AL45">
        <f t="shared" si="12"/>
        <v>0</v>
      </c>
      <c r="AM45">
        <f t="shared" si="13"/>
        <v>0</v>
      </c>
      <c r="AN45">
        <f t="shared" si="14"/>
        <v>37</v>
      </c>
      <c r="AO45">
        <f t="shared" si="15"/>
        <v>37</v>
      </c>
      <c r="AP45">
        <f t="shared" si="16"/>
        <v>37</v>
      </c>
      <c r="AQ45">
        <f t="shared" si="17"/>
        <v>37</v>
      </c>
      <c r="AR45" s="6">
        <f t="shared" si="18"/>
        <v>37</v>
      </c>
      <c r="AS45">
        <f t="shared" si="19"/>
        <v>37</v>
      </c>
      <c r="AV45" s="1" t="str">
        <f>IF(IFERROR(INDEX($A$9:$W$304,$AS45,COLUMNS($AV$9:AV44)),"")=0,"",IFERROR(INDEX($A$9:$W$304,$AS45,COLUMNS($AV$9:AV44)),""))</f>
        <v>Chomp</v>
      </c>
      <c r="AW45" s="1">
        <f>IFERROR(INDEX($A$9:$W$304,$AS45,COLUMNS($AV$9:AW44)),"")</f>
        <v>1</v>
      </c>
      <c r="AX45" s="1" t="str">
        <f>IF(IFERROR(INDEX($A$9:$X$304,$AS45,COLUMNS($AV$9:AX44)),"")=0,"",IFERROR(INDEX($A$9:$X$304,$AS45,COLUMNS($AV$9:AX44)),""))</f>
        <v>WILD</v>
      </c>
      <c r="AY45" s="1" t="str">
        <f>IF(IFERROR(INDEX($A$9:$X$304,$AS45,COLUMNS($AV$9:AY44)),"")=0,"",IFERROR(INDEX($A$9:$X$304,$AS45,COLUMNS($AV$9:AY44)),""))</f>
        <v/>
      </c>
      <c r="AZ45" s="1" t="str">
        <f>IF(IFERROR(INDEX($A$9:$X$304,$AS45,COLUMNS($AV$9:AZ44)),"")=0,"",IFERROR(INDEX($A$9:$X$304,$AS45,COLUMNS($AV$9:AZ44)),""))</f>
        <v>EVENT</v>
      </c>
      <c r="BA45" s="1" t="str">
        <f>IF(IFERROR(INDEX($A$9:$X$304,$AS45,COLUMNS($AV$9:BA44)),"")=0,"",IFERROR(INDEX($A$9:$X$304,$AS45,COLUMNS($AV$9:BA44)),""))</f>
        <v/>
      </c>
      <c r="BB45" s="1" t="str">
        <f>IF(IFERROR(INDEX($A$9:$X$304,$AS45,COLUMNS($AV$9:BB44)),"")=0,"",IFERROR(INDEX($A$9:$X$304,$AS45,COLUMNS($AV$9:BB44)),""))</f>
        <v/>
      </c>
      <c r="BC45" s="1" t="str">
        <f>IF(IFERROR(INDEX($A$9:$X$304,$AS45,COLUMNS($AV$9:BC44)),"")=0,"",IFERROR(INDEX($A$9:$X$304,$AS45,COLUMNS($AV$9:BC44)),""))</f>
        <v>Deal 12 damage to target champion.</v>
      </c>
      <c r="BD45" s="1" t="str">
        <f>IF(IFERROR(INDEX($A$9:$X$304,$AS45,COLUMNS($AV$9:BD44)),"")=0,"",IFERROR(INDEX($A$9:$X$304,$AS45,COLUMNS($AV$9:BD44)),""))</f>
        <v>Your dinosaur champions get +2 {offense} and +2 {defense} this turn.</v>
      </c>
      <c r="BE45" s="1" t="str">
        <f>IF(IFERROR(INDEX($A$9:$X$304,$AS45,COLUMNS($AV$9:BE44)),"")=0,"",IFERROR(INDEX($A$9:$X$304,$AS45,COLUMNS($AV$9:BE44)),""))</f>
        <v/>
      </c>
      <c r="BF45" s="1" t="str">
        <f>IF(IFERROR(INDEX($A$9:$X$304,$AS45,COLUMNS($AV$9:BF44)),"")=0,"",IFERROR(INDEX($A$9:$X$304,$AS45,COLUMNS($AV$9:BF44)),""))</f>
        <v/>
      </c>
      <c r="BG45" s="1" t="str">
        <f>IF(IFERROR(INDEX($A$9:$X$304,$AS45,COLUMNS($AV$9:BG44)),"")=0,"",IFERROR(INDEX($A$9:$X$304,$AS45,COLUMNS($AV$9:BG44)),""))</f>
        <v/>
      </c>
      <c r="BH45" s="1" t="str">
        <f>IF(IFERROR(INDEX($A$9:$X$304,$AS45,COLUMNS($AV$9:BH44)),"")=0,"",IFERROR(INDEX($A$9:$X$304,$AS45,COLUMNS($AV$9:BH44)),""))</f>
        <v/>
      </c>
      <c r="BI45" s="1" t="str">
        <f>IF(IFERROR(INDEX($A$9:$X$304,$AS45,COLUMNS($AV$9:BI44)),"")=0,"",IFERROR(INDEX($A$9:$X$304,$AS45,COLUMNS($AV$9:BI44)),""))</f>
        <v/>
      </c>
      <c r="BJ45" s="1" t="str">
        <f>IF(IFERROR(INDEX($A$9:$X$304,$AS45,COLUMNS($AV$9:BJ44)),"")=0,"",IFERROR(INDEX($A$9:$X$304,$AS45,COLUMNS($AV$9:BJ44)),""))</f>
        <v>DINOSAUR</v>
      </c>
      <c r="BK45" s="1" t="str">
        <f>IF(IFERROR(INDEX($A$9:$X$304,$AS45,COLUMNS($AV$9:BK44)),"")=0,"",IFERROR(INDEX($A$9:$X$304,$AS45,COLUMNS($AV$9:BK44)),""))</f>
        <v>Common</v>
      </c>
      <c r="BL45" s="1" t="str">
        <f>IF(IFERROR(INDEX($A$9:$X$304,$AS45,COLUMNS($AV$9:BL44)),"")=0,"",IFERROR(INDEX($A$9:$X$304,$AS45,COLUMNS($AV$9:BL44)),""))</f>
        <v>Antonis Papantoniou</v>
      </c>
      <c r="BM45" s="1" t="str">
        <f>IF(IFERROR(INDEX($A$9:$X$304,$AS45,COLUMNS($AV$9:BM44)),"")=0,"",IFERROR(INDEX($A$9:$X$304,$AS45,COLUMNS($AV$9:BM44)),""))</f>
        <v>Base Set</v>
      </c>
      <c r="BN45" s="3" t="b">
        <f>IF(IFERROR(INDEX($A$9:$X$304,$AS45,COLUMNS($AV$9:BN44)),"")=0,"",IFERROR(INDEX($A$9:$X$304,$AS45,COLUMNS($AV$9:BN44)),""))</f>
        <v>1</v>
      </c>
      <c r="BO45" s="3" t="b">
        <f>IF(IFERROR(INDEX($A$9:$X$304,$AS45,COLUMNS($AV$9:BO44)),"")=0,"",IFERROR(INDEX($A$9:$X$304,$AS45,COLUMNS($AV$9:BO44)),""))</f>
        <v>0</v>
      </c>
      <c r="BP45" s="3" t="b">
        <f>IF(IFERROR(INDEX($A$9:$X$304,$AS45,COLUMNS($AV$9:BP44)),"")=0,"",IFERROR(INDEX($A$9:$X$304,$AS45,COLUMNS($AV$9:BP44)),""))</f>
        <v>0</v>
      </c>
      <c r="BQ45" s="3" t="b">
        <f>IF(IFERROR(INDEX($A$9:$X$304,$AS45,COLUMNS($AV$9:BQ44)),"")=0,"",IFERROR(INDEX($A$9:$X$304,$AS45,COLUMNS($AV$9:BQ44)),""))</f>
        <v>0</v>
      </c>
      <c r="BR45" s="3" t="str">
        <f>IF(IFERROR(INDEX($A$9:$X$304,$AS45,COLUMNS($AV$9:BR44)),"")=0,"",IFERROR(INDEX($A$9:$X$304,$AS45,COLUMNS($AV$9:BR44)),""))</f>
        <v>http://www.epiccardgame.com/wp-content/uploads/2015/09/chomp-215x300.jpg</v>
      </c>
      <c r="BS45" s="3" t="str">
        <f>IF(IFERROR(INDEX($A$9:$X$304,$AS45,COLUMNS($AV$9:BS44)),"")=0,"",IFERROR(INDEX($A$9:$X$304,$AS45,COLUMNS($AV$9:BS44)),""))</f>
        <v/>
      </c>
      <c r="BT45" s="3"/>
      <c r="BU45" s="15"/>
      <c r="BV45" t="s">
        <v>66</v>
      </c>
    </row>
    <row r="46" spans="1:74" ht="225" customHeight="1" x14ac:dyDescent="0.25">
      <c r="A46" t="s">
        <v>363</v>
      </c>
      <c r="B46">
        <v>1</v>
      </c>
      <c r="C46" t="s">
        <v>616</v>
      </c>
      <c r="E46" t="s">
        <v>620</v>
      </c>
      <c r="F46">
        <v>3</v>
      </c>
      <c r="G46">
        <v>3</v>
      </c>
      <c r="H46" t="s">
        <v>645</v>
      </c>
      <c r="I46" t="s">
        <v>792</v>
      </c>
      <c r="O46" t="s">
        <v>1073</v>
      </c>
      <c r="P46" t="s">
        <v>1112</v>
      </c>
      <c r="Q46" t="s">
        <v>1128</v>
      </c>
      <c r="R46" t="s">
        <v>1177</v>
      </c>
      <c r="S46" t="b">
        <v>1</v>
      </c>
      <c r="T46" t="b">
        <v>0</v>
      </c>
      <c r="U46" t="b">
        <v>0</v>
      </c>
      <c r="V46" t="b">
        <v>0</v>
      </c>
      <c r="W46" s="2" t="s">
        <v>1221</v>
      </c>
      <c r="X46" s="2"/>
      <c r="Y46" s="24">
        <v>38</v>
      </c>
      <c r="Z46">
        <f t="shared" si="0"/>
        <v>38</v>
      </c>
      <c r="AA46">
        <f t="shared" si="1"/>
        <v>38</v>
      </c>
      <c r="AB46">
        <f t="shared" si="2"/>
        <v>38</v>
      </c>
      <c r="AC46">
        <f t="shared" si="3"/>
        <v>0</v>
      </c>
      <c r="AD46">
        <f t="shared" si="4"/>
        <v>38</v>
      </c>
      <c r="AE46">
        <f t="shared" si="5"/>
        <v>38</v>
      </c>
      <c r="AF46">
        <f t="shared" si="6"/>
        <v>38</v>
      </c>
      <c r="AG46">
        <f t="shared" si="7"/>
        <v>38</v>
      </c>
      <c r="AH46">
        <f t="shared" si="8"/>
        <v>38</v>
      </c>
      <c r="AI46">
        <f t="shared" si="9"/>
        <v>0</v>
      </c>
      <c r="AJ46">
        <f t="shared" si="10"/>
        <v>0</v>
      </c>
      <c r="AK46">
        <f t="shared" si="11"/>
        <v>0</v>
      </c>
      <c r="AL46">
        <f t="shared" si="12"/>
        <v>0</v>
      </c>
      <c r="AM46">
        <f t="shared" si="13"/>
        <v>0</v>
      </c>
      <c r="AN46">
        <f t="shared" si="14"/>
        <v>38</v>
      </c>
      <c r="AO46">
        <f t="shared" si="15"/>
        <v>38</v>
      </c>
      <c r="AP46">
        <f t="shared" si="16"/>
        <v>38</v>
      </c>
      <c r="AQ46">
        <f t="shared" si="17"/>
        <v>38</v>
      </c>
      <c r="AR46" s="6">
        <f t="shared" si="18"/>
        <v>38</v>
      </c>
      <c r="AS46">
        <f t="shared" si="19"/>
        <v>38</v>
      </c>
      <c r="AV46" s="1" t="str">
        <f>IF(IFERROR(INDEX($A$9:$W$304,$AS46,COLUMNS($AV$9:AV45)),"")=0,"",IFERROR(INDEX($A$9:$W$304,$AS46,COLUMNS($AV$9:AV45)),""))</f>
        <v>Citadel Raven</v>
      </c>
      <c r="AW46" s="1">
        <f>IFERROR(INDEX($A$9:$W$304,$AS46,COLUMNS($AV$9:AW45)),"")</f>
        <v>1</v>
      </c>
      <c r="AX46" s="1" t="str">
        <f>IF(IFERROR(INDEX($A$9:$X$304,$AS46,COLUMNS($AV$9:AX45)),"")=0,"",IFERROR(INDEX($A$9:$X$304,$AS46,COLUMNS($AV$9:AX45)),""))</f>
        <v>SAGE</v>
      </c>
      <c r="AY46" s="1" t="str">
        <f>IF(IFERROR(INDEX($A$9:$X$304,$AS46,COLUMNS($AV$9:AY45)),"")=0,"",IFERROR(INDEX($A$9:$X$304,$AS46,COLUMNS($AV$9:AY45)),""))</f>
        <v/>
      </c>
      <c r="AZ46" s="1" t="str">
        <f>IF(IFERROR(INDEX($A$9:$X$304,$AS46,COLUMNS($AV$9:AZ45)),"")=0,"",IFERROR(INDEX($A$9:$X$304,$AS46,COLUMNS($AV$9:AZ45)),""))</f>
        <v>CHAMPION</v>
      </c>
      <c r="BA46" s="1">
        <f>IF(IFERROR(INDEX($A$9:$X$304,$AS46,COLUMNS($AV$9:BA45)),"")=0,"",IFERROR(INDEX($A$9:$X$304,$AS46,COLUMNS($AV$9:BA45)),""))</f>
        <v>3</v>
      </c>
      <c r="BB46" s="1">
        <f>IF(IFERROR(INDEX($A$9:$X$304,$AS46,COLUMNS($AV$9:BB45)),"")=0,"",IFERROR(INDEX($A$9:$X$304,$AS46,COLUMNS($AV$9:BB45)),""))</f>
        <v>3</v>
      </c>
      <c r="BC46" s="1" t="str">
        <f>IF(IFERROR(INDEX($A$9:$X$304,$AS46,COLUMNS($AV$9:BC45)),"")=0,"",IFERROR(INDEX($A$9:$X$304,$AS46,COLUMNS($AV$9:BC45)),""))</f>
        <v>Airborne ◆ Blitz</v>
      </c>
      <c r="BD46" s="1" t="str">
        <f>IF(IFERROR(INDEX($A$9:$X$304,$AS46,COLUMNS($AV$9:BD45)),"")=0,"",IFERROR(INDEX($A$9:$X$304,$AS46,COLUMNS($AV$9:BD45)),""))</f>
        <v>When this card attacks → You may return target event card from your discard pile to your hand.</v>
      </c>
      <c r="BE46" s="1" t="str">
        <f>IF(IFERROR(INDEX($A$9:$X$304,$AS46,COLUMNS($AV$9:BE45)),"")=0,"",IFERROR(INDEX($A$9:$X$304,$AS46,COLUMNS($AV$9:BE45)),""))</f>
        <v/>
      </c>
      <c r="BF46" s="1" t="str">
        <f>IF(IFERROR(INDEX($A$9:$X$304,$AS46,COLUMNS($AV$9:BF45)),"")=0,"",IFERROR(INDEX($A$9:$X$304,$AS46,COLUMNS($AV$9:BF45)),""))</f>
        <v/>
      </c>
      <c r="BG46" s="1" t="str">
        <f>IF(IFERROR(INDEX($A$9:$X$304,$AS46,COLUMNS($AV$9:BG45)),"")=0,"",IFERROR(INDEX($A$9:$X$304,$AS46,COLUMNS($AV$9:BG45)),""))</f>
        <v/>
      </c>
      <c r="BH46" s="1" t="str">
        <f>IF(IFERROR(INDEX($A$9:$X$304,$AS46,COLUMNS($AV$9:BH45)),"")=0,"",IFERROR(INDEX($A$9:$X$304,$AS46,COLUMNS($AV$9:BH45)),""))</f>
        <v/>
      </c>
      <c r="BI46" s="1" t="str">
        <f>IF(IFERROR(INDEX($A$9:$X$304,$AS46,COLUMNS($AV$9:BI45)),"")=0,"",IFERROR(INDEX($A$9:$X$304,$AS46,COLUMNS($AV$9:BI45)),""))</f>
        <v/>
      </c>
      <c r="BJ46" s="1" t="str">
        <f>IF(IFERROR(INDEX($A$9:$X$304,$AS46,COLUMNS($AV$9:BJ45)),"")=0,"",IFERROR(INDEX($A$9:$X$304,$AS46,COLUMNS($AV$9:BJ45)),""))</f>
        <v>BIRD</v>
      </c>
      <c r="BK46" s="1" t="str">
        <f>IF(IFERROR(INDEX($A$9:$X$304,$AS46,COLUMNS($AV$9:BK45)),"")=0,"",IFERROR(INDEX($A$9:$X$304,$AS46,COLUMNS($AV$9:BK45)),""))</f>
        <v>Common</v>
      </c>
      <c r="BL46" s="1" t="str">
        <f>IF(IFERROR(INDEX($A$9:$X$304,$AS46,COLUMNS($AV$9:BL45)),"")=0,"",IFERROR(INDEX($A$9:$X$304,$AS46,COLUMNS($AV$9:BL45)),""))</f>
        <v>Biagio D'Alessandro</v>
      </c>
      <c r="BM46" s="1" t="str">
        <f>IF(IFERROR(INDEX($A$9:$X$304,$AS46,COLUMNS($AV$9:BM45)),"")=0,"",IFERROR(INDEX($A$9:$X$304,$AS46,COLUMNS($AV$9:BM45)),""))</f>
        <v>Uprising: Will of Zannos</v>
      </c>
      <c r="BN46" s="3" t="b">
        <f>IF(IFERROR(INDEX($A$9:$X$304,$AS46,COLUMNS($AV$9:BN45)),"")=0,"",IFERROR(INDEX($A$9:$X$304,$AS46,COLUMNS($AV$9:BN45)),""))</f>
        <v>1</v>
      </c>
      <c r="BO46" s="3" t="b">
        <f>IF(IFERROR(INDEX($A$9:$X$304,$AS46,COLUMNS($AV$9:BO45)),"")=0,"",IFERROR(INDEX($A$9:$X$304,$AS46,COLUMNS($AV$9:BO45)),""))</f>
        <v>0</v>
      </c>
      <c r="BP46" s="3" t="b">
        <f>IF(IFERROR(INDEX($A$9:$X$304,$AS46,COLUMNS($AV$9:BP45)),"")=0,"",IFERROR(INDEX($A$9:$X$304,$AS46,COLUMNS($AV$9:BP45)),""))</f>
        <v>0</v>
      </c>
      <c r="BQ46" s="3" t="b">
        <f>IF(IFERROR(INDEX($A$9:$X$304,$AS46,COLUMNS($AV$9:BQ45)),"")=0,"",IFERROR(INDEX($A$9:$X$304,$AS46,COLUMNS($AV$9:BQ45)),""))</f>
        <v>0</v>
      </c>
      <c r="BR46" s="3" t="str">
        <f>IF(IFERROR(INDEX($A$9:$X$304,$AS46,COLUMNS($AV$9:BR45)),"")=0,"",IFERROR(INDEX($A$9:$X$304,$AS46,COLUMNS($AV$9:BR45)),""))</f>
        <v>https://www.epiccardgame.com/wp-content/uploads/2017/11/UPZ-EN-citadel-raven.jpg</v>
      </c>
      <c r="BS46" s="3" t="str">
        <f>IF(IFERROR(INDEX($A$9:$X$304,$AS46,COLUMNS($AV$9:BS45)),"")=0,"",IFERROR(INDEX($A$9:$X$304,$AS46,COLUMNS($AV$9:BS45)),""))</f>
        <v/>
      </c>
      <c r="BT46" s="3"/>
      <c r="BU46" s="15"/>
      <c r="BV46" t="s">
        <v>67</v>
      </c>
    </row>
    <row r="47" spans="1:74" ht="225" customHeight="1" x14ac:dyDescent="0.25">
      <c r="A47" t="s">
        <v>364</v>
      </c>
      <c r="B47">
        <v>0</v>
      </c>
      <c r="C47" t="s">
        <v>616</v>
      </c>
      <c r="E47" t="s">
        <v>620</v>
      </c>
      <c r="F47">
        <v>0</v>
      </c>
      <c r="G47">
        <v>1</v>
      </c>
      <c r="H47" t="s">
        <v>646</v>
      </c>
      <c r="I47" t="s">
        <v>793</v>
      </c>
      <c r="O47" t="s">
        <v>1063</v>
      </c>
      <c r="P47" t="s">
        <v>1112</v>
      </c>
      <c r="Q47" t="s">
        <v>1131</v>
      </c>
      <c r="R47" t="s">
        <v>1181</v>
      </c>
      <c r="S47" t="b">
        <v>0</v>
      </c>
      <c r="T47" t="b">
        <v>0</v>
      </c>
      <c r="U47" t="b">
        <v>0</v>
      </c>
      <c r="V47" t="b">
        <v>0</v>
      </c>
      <c r="W47" s="2" t="s">
        <v>1222</v>
      </c>
      <c r="X47" s="2"/>
      <c r="Y47" s="24">
        <v>39</v>
      </c>
      <c r="Z47">
        <f t="shared" si="0"/>
        <v>39</v>
      </c>
      <c r="AA47">
        <f t="shared" si="1"/>
        <v>39</v>
      </c>
      <c r="AB47">
        <f t="shared" si="2"/>
        <v>39</v>
      </c>
      <c r="AC47">
        <f t="shared" si="3"/>
        <v>0</v>
      </c>
      <c r="AD47">
        <f t="shared" si="4"/>
        <v>39</v>
      </c>
      <c r="AE47">
        <f t="shared" si="5"/>
        <v>39</v>
      </c>
      <c r="AF47">
        <f t="shared" si="6"/>
        <v>39</v>
      </c>
      <c r="AG47">
        <f t="shared" si="7"/>
        <v>39</v>
      </c>
      <c r="AH47">
        <f t="shared" si="8"/>
        <v>39</v>
      </c>
      <c r="AI47">
        <f t="shared" si="9"/>
        <v>0</v>
      </c>
      <c r="AJ47">
        <f t="shared" si="10"/>
        <v>0</v>
      </c>
      <c r="AK47">
        <f t="shared" si="11"/>
        <v>0</v>
      </c>
      <c r="AL47">
        <f t="shared" si="12"/>
        <v>0</v>
      </c>
      <c r="AM47">
        <f t="shared" si="13"/>
        <v>0</v>
      </c>
      <c r="AN47">
        <f t="shared" si="14"/>
        <v>39</v>
      </c>
      <c r="AO47">
        <f t="shared" si="15"/>
        <v>39</v>
      </c>
      <c r="AP47">
        <f t="shared" si="16"/>
        <v>39</v>
      </c>
      <c r="AQ47">
        <f t="shared" si="17"/>
        <v>39</v>
      </c>
      <c r="AR47" s="6">
        <f t="shared" si="18"/>
        <v>39</v>
      </c>
      <c r="AS47">
        <f t="shared" si="19"/>
        <v>39</v>
      </c>
      <c r="AV47" s="1" t="str">
        <f>IF(IFERROR(INDEX($A$9:$W$304,$AS47,COLUMNS($AV$9:AV46)),"")=0,"",IFERROR(INDEX($A$9:$W$304,$AS47,COLUMNS($AV$9:AV46)),""))</f>
        <v>Citadel Scholar</v>
      </c>
      <c r="AW47" s="1">
        <f>IFERROR(INDEX($A$9:$W$304,$AS47,COLUMNS($AV$9:AW46)),"")</f>
        <v>0</v>
      </c>
      <c r="AX47" s="1" t="str">
        <f>IF(IFERROR(INDEX($A$9:$X$304,$AS47,COLUMNS($AV$9:AX46)),"")=0,"",IFERROR(INDEX($A$9:$X$304,$AS47,COLUMNS($AV$9:AX46)),""))</f>
        <v>SAGE</v>
      </c>
      <c r="AY47" s="1" t="str">
        <f>IF(IFERROR(INDEX($A$9:$X$304,$AS47,COLUMNS($AV$9:AY46)),"")=0,"",IFERROR(INDEX($A$9:$X$304,$AS47,COLUMNS($AV$9:AY46)),""))</f>
        <v/>
      </c>
      <c r="AZ47" s="1" t="str">
        <f>IF(IFERROR(INDEX($A$9:$X$304,$AS47,COLUMNS($AV$9:AZ46)),"")=0,"",IFERROR(INDEX($A$9:$X$304,$AS47,COLUMNS($AV$9:AZ46)),""))</f>
        <v>CHAMPION</v>
      </c>
      <c r="BA47" s="1" t="str">
        <f>IF(IFERROR(INDEX($A$9:$X$304,$AS47,COLUMNS($AV$9:BA46)),"")=0,"",IFERROR(INDEX($A$9:$X$304,$AS47,COLUMNS($AV$9:BA46)),""))</f>
        <v/>
      </c>
      <c r="BB47" s="1">
        <f>IF(IFERROR(INDEX($A$9:$X$304,$AS47,COLUMNS($AV$9:BB46)),"")=0,"",IFERROR(INDEX($A$9:$X$304,$AS47,COLUMNS($AV$9:BB46)),""))</f>
        <v>1</v>
      </c>
      <c r="BC47" s="1" t="str">
        <f>IF(IFERROR(INDEX($A$9:$X$304,$AS47,COLUMNS($AV$9:BC46)),"")=0,"",IFERROR(INDEX($A$9:$X$304,$AS47,COLUMNS($AV$9:BC46)),""))</f>
        <v>Tribute → Recycle</v>
      </c>
      <c r="BD47" s="1" t="str">
        <f>IF(IFERROR(INDEX($A$9:$X$304,$AS47,COLUMNS($AV$9:BD46)),"")=0,"",IFERROR(INDEX($A$9:$X$304,$AS47,COLUMNS($AV$9:BD46)),""))</f>
        <v>When you draw a card → Put a +1 {offense} +1 {defense} counter on this card.</v>
      </c>
      <c r="BE47" s="1" t="str">
        <f>IF(IFERROR(INDEX($A$9:$X$304,$AS47,COLUMNS($AV$9:BE46)),"")=0,"",IFERROR(INDEX($A$9:$X$304,$AS47,COLUMNS($AV$9:BE46)),""))</f>
        <v/>
      </c>
      <c r="BF47" s="1" t="str">
        <f>IF(IFERROR(INDEX($A$9:$X$304,$AS47,COLUMNS($AV$9:BF46)),"")=0,"",IFERROR(INDEX($A$9:$X$304,$AS47,COLUMNS($AV$9:BF46)),""))</f>
        <v/>
      </c>
      <c r="BG47" s="1" t="str">
        <f>IF(IFERROR(INDEX($A$9:$X$304,$AS47,COLUMNS($AV$9:BG46)),"")=0,"",IFERROR(INDEX($A$9:$X$304,$AS47,COLUMNS($AV$9:BG46)),""))</f>
        <v/>
      </c>
      <c r="BH47" s="1" t="str">
        <f>IF(IFERROR(INDEX($A$9:$X$304,$AS47,COLUMNS($AV$9:BH46)),"")=0,"",IFERROR(INDEX($A$9:$X$304,$AS47,COLUMNS($AV$9:BH46)),""))</f>
        <v/>
      </c>
      <c r="BI47" s="1" t="str">
        <f>IF(IFERROR(INDEX($A$9:$X$304,$AS47,COLUMNS($AV$9:BI46)),"")=0,"",IFERROR(INDEX($A$9:$X$304,$AS47,COLUMNS($AV$9:BI46)),""))</f>
        <v/>
      </c>
      <c r="BJ47" s="1" t="str">
        <f>IF(IFERROR(INDEX($A$9:$X$304,$AS47,COLUMNS($AV$9:BJ46)),"")=0,"",IFERROR(INDEX($A$9:$X$304,$AS47,COLUMNS($AV$9:BJ46)),""))</f>
        <v>HUMAN</v>
      </c>
      <c r="BK47" s="1" t="str">
        <f>IF(IFERROR(INDEX($A$9:$X$304,$AS47,COLUMNS($AV$9:BK46)),"")=0,"",IFERROR(INDEX($A$9:$X$304,$AS47,COLUMNS($AV$9:BK46)),""))</f>
        <v>Common</v>
      </c>
      <c r="BL47" s="1" t="str">
        <f>IF(IFERROR(INDEX($A$9:$X$304,$AS47,COLUMNS($AV$9:BL46)),"")=0,"",IFERROR(INDEX($A$9:$X$304,$AS47,COLUMNS($AV$9:BL46)),""))</f>
        <v>Dimas Pamungkas</v>
      </c>
      <c r="BM47" s="1" t="str">
        <f>IF(IFERROR(INDEX($A$9:$X$304,$AS47,COLUMNS($AV$9:BM46)),"")=0,"",IFERROR(INDEX($A$9:$X$304,$AS47,COLUMNS($AV$9:BM46)),""))</f>
        <v>Uprising: Kark's Edict</v>
      </c>
      <c r="BN47" s="3" t="b">
        <f>IF(IFERROR(INDEX($A$9:$X$304,$AS47,COLUMNS($AV$9:BN46)),"")=0,"",IFERROR(INDEX($A$9:$X$304,$AS47,COLUMNS($AV$9:BN46)),""))</f>
        <v>0</v>
      </c>
      <c r="BO47" s="3" t="b">
        <f>IF(IFERROR(INDEX($A$9:$X$304,$AS47,COLUMNS($AV$9:BO46)),"")=0,"",IFERROR(INDEX($A$9:$X$304,$AS47,COLUMNS($AV$9:BO46)),""))</f>
        <v>0</v>
      </c>
      <c r="BP47" s="3" t="b">
        <f>IF(IFERROR(INDEX($A$9:$X$304,$AS47,COLUMNS($AV$9:BP46)),"")=0,"",IFERROR(INDEX($A$9:$X$304,$AS47,COLUMNS($AV$9:BP46)),""))</f>
        <v>0</v>
      </c>
      <c r="BQ47" s="3" t="b">
        <f>IF(IFERROR(INDEX($A$9:$X$304,$AS47,COLUMNS($AV$9:BQ46)),"")=0,"",IFERROR(INDEX($A$9:$X$304,$AS47,COLUMNS($AV$9:BQ46)),""))</f>
        <v>0</v>
      </c>
      <c r="BR47" s="3" t="str">
        <f>IF(IFERROR(INDEX($A$9:$X$304,$AS47,COLUMNS($AV$9:BR46)),"")=0,"",IFERROR(INDEX($A$9:$X$304,$AS47,COLUMNS($AV$9:BR46)),""))</f>
        <v>https://www.epiccardgame.com/wp-content/uploads/2017/11/UPK-EN-citadel-scholar.jpg</v>
      </c>
      <c r="BS47" s="3" t="str">
        <f>IF(IFERROR(INDEX($A$9:$X$304,$AS47,COLUMNS($AV$9:BS46)),"")=0,"",IFERROR(INDEX($A$9:$X$304,$AS47,COLUMNS($AV$9:BS46)),""))</f>
        <v/>
      </c>
      <c r="BT47" s="3"/>
      <c r="BU47" s="15"/>
      <c r="BV47" t="s">
        <v>68</v>
      </c>
    </row>
    <row r="48" spans="1:74" ht="225.2" customHeight="1" x14ac:dyDescent="0.25">
      <c r="A48" t="s">
        <v>365</v>
      </c>
      <c r="B48">
        <v>1</v>
      </c>
      <c r="C48" t="s">
        <v>617</v>
      </c>
      <c r="E48" t="s">
        <v>619</v>
      </c>
      <c r="H48" t="s">
        <v>627</v>
      </c>
      <c r="I48" t="s">
        <v>794</v>
      </c>
      <c r="O48" t="s">
        <v>1062</v>
      </c>
      <c r="P48" t="s">
        <v>1113</v>
      </c>
      <c r="Q48" t="s">
        <v>1119</v>
      </c>
      <c r="R48" t="s">
        <v>1169</v>
      </c>
      <c r="S48" t="b">
        <v>1</v>
      </c>
      <c r="T48" t="b">
        <v>0</v>
      </c>
      <c r="U48" t="b">
        <v>0</v>
      </c>
      <c r="V48" t="b">
        <v>0</v>
      </c>
      <c r="W48" s="2" t="s">
        <v>1223</v>
      </c>
      <c r="X48" s="2"/>
      <c r="Y48" s="24">
        <v>40</v>
      </c>
      <c r="Z48">
        <f t="shared" si="0"/>
        <v>40</v>
      </c>
      <c r="AA48">
        <f t="shared" si="1"/>
        <v>40</v>
      </c>
      <c r="AB48">
        <f t="shared" si="2"/>
        <v>40</v>
      </c>
      <c r="AC48">
        <f t="shared" si="3"/>
        <v>0</v>
      </c>
      <c r="AD48">
        <f t="shared" si="4"/>
        <v>40</v>
      </c>
      <c r="AE48">
        <f t="shared" si="5"/>
        <v>0</v>
      </c>
      <c r="AF48">
        <f t="shared" si="6"/>
        <v>0</v>
      </c>
      <c r="AG48">
        <f t="shared" si="7"/>
        <v>40</v>
      </c>
      <c r="AH48">
        <f t="shared" si="8"/>
        <v>40</v>
      </c>
      <c r="AI48">
        <f t="shared" si="9"/>
        <v>0</v>
      </c>
      <c r="AJ48">
        <f t="shared" si="10"/>
        <v>0</v>
      </c>
      <c r="AK48">
        <f t="shared" si="11"/>
        <v>0</v>
      </c>
      <c r="AL48">
        <f t="shared" si="12"/>
        <v>0</v>
      </c>
      <c r="AM48">
        <f t="shared" si="13"/>
        <v>0</v>
      </c>
      <c r="AN48">
        <f t="shared" si="14"/>
        <v>40</v>
      </c>
      <c r="AO48">
        <f t="shared" si="15"/>
        <v>40</v>
      </c>
      <c r="AP48">
        <f t="shared" si="16"/>
        <v>40</v>
      </c>
      <c r="AQ48">
        <f t="shared" si="17"/>
        <v>40</v>
      </c>
      <c r="AR48" s="6">
        <f t="shared" si="18"/>
        <v>40</v>
      </c>
      <c r="AS48">
        <f t="shared" si="19"/>
        <v>40</v>
      </c>
      <c r="AV48" s="1" t="str">
        <f>IF(IFERROR(INDEX($A$9:$W$304,$AS48,COLUMNS($AV$9:AV47)),"")=0,"",IFERROR(INDEX($A$9:$W$304,$AS48,COLUMNS($AV$9:AV47)),""))</f>
        <v>Cleansing Light</v>
      </c>
      <c r="AW48" s="1">
        <f>IFERROR(INDEX($A$9:$W$304,$AS48,COLUMNS($AV$9:AW47)),"")</f>
        <v>1</v>
      </c>
      <c r="AX48" s="1" t="str">
        <f>IF(IFERROR(INDEX($A$9:$X$304,$AS48,COLUMNS($AV$9:AX47)),"")=0,"",IFERROR(INDEX($A$9:$X$304,$AS48,COLUMNS($AV$9:AX47)),""))</f>
        <v>GOOD</v>
      </c>
      <c r="AY48" s="1" t="str">
        <f>IF(IFERROR(INDEX($A$9:$X$304,$AS48,COLUMNS($AV$9:AY47)),"")=0,"",IFERROR(INDEX($A$9:$X$304,$AS48,COLUMNS($AV$9:AY47)),""))</f>
        <v/>
      </c>
      <c r="AZ48" s="1" t="str">
        <f>IF(IFERROR(INDEX($A$9:$X$304,$AS48,COLUMNS($AV$9:AZ47)),"")=0,"",IFERROR(INDEX($A$9:$X$304,$AS48,COLUMNS($AV$9:AZ47)),""))</f>
        <v>EVENT</v>
      </c>
      <c r="BA48" s="1" t="str">
        <f>IF(IFERROR(INDEX($A$9:$X$304,$AS48,COLUMNS($AV$9:BA47)),"")=0,"",IFERROR(INDEX($A$9:$X$304,$AS48,COLUMNS($AV$9:BA47)),""))</f>
        <v/>
      </c>
      <c r="BB48" s="1" t="str">
        <f>IF(IFERROR(INDEX($A$9:$X$304,$AS48,COLUMNS($AV$9:BB47)),"")=0,"",IFERROR(INDEX($A$9:$X$304,$AS48,COLUMNS($AV$9:BB47)),""))</f>
        <v/>
      </c>
      <c r="BC48" s="1" t="str">
        <f>IF(IFERROR(INDEX($A$9:$X$304,$AS48,COLUMNS($AV$9:BC47)),"")=0,"",IFERROR(INDEX($A$9:$X$304,$AS48,COLUMNS($AV$9:BC47)),""))</f>
        <v>Draw two cards.</v>
      </c>
      <c r="BD48" s="1" t="str">
        <f>IF(IFERROR(INDEX($A$9:$X$304,$AS48,COLUMNS($AV$9:BD47)),"")=0,"",IFERROR(INDEX($A$9:$X$304,$AS48,COLUMNS($AV$9:BD47)),""))</f>
        <v>You may banish all token champions.</v>
      </c>
      <c r="BE48" s="1" t="str">
        <f>IF(IFERROR(INDEX($A$9:$X$304,$AS48,COLUMNS($AV$9:BE47)),"")=0,"",IFERROR(INDEX($A$9:$X$304,$AS48,COLUMNS($AV$9:BE47)),""))</f>
        <v/>
      </c>
      <c r="BF48" s="1" t="str">
        <f>IF(IFERROR(INDEX($A$9:$X$304,$AS48,COLUMNS($AV$9:BF47)),"")=0,"",IFERROR(INDEX($A$9:$X$304,$AS48,COLUMNS($AV$9:BF47)),""))</f>
        <v/>
      </c>
      <c r="BG48" s="1" t="str">
        <f>IF(IFERROR(INDEX($A$9:$X$304,$AS48,COLUMNS($AV$9:BG47)),"")=0,"",IFERROR(INDEX($A$9:$X$304,$AS48,COLUMNS($AV$9:BG47)),""))</f>
        <v/>
      </c>
      <c r="BH48" s="1" t="str">
        <f>IF(IFERROR(INDEX($A$9:$X$304,$AS48,COLUMNS($AV$9:BH47)),"")=0,"",IFERROR(INDEX($A$9:$X$304,$AS48,COLUMNS($AV$9:BH47)),""))</f>
        <v/>
      </c>
      <c r="BI48" s="1" t="str">
        <f>IF(IFERROR(INDEX($A$9:$X$304,$AS48,COLUMNS($AV$9:BI47)),"")=0,"",IFERROR(INDEX($A$9:$X$304,$AS48,COLUMNS($AV$9:BI47)),""))</f>
        <v/>
      </c>
      <c r="BJ48" s="1" t="str">
        <f>IF(IFERROR(INDEX($A$9:$X$304,$AS48,COLUMNS($AV$9:BJ47)),"")=0,"",IFERROR(INDEX($A$9:$X$304,$AS48,COLUMNS($AV$9:BJ47)),""))</f>
        <v>None</v>
      </c>
      <c r="BK48" s="1" t="str">
        <f>IF(IFERROR(INDEX($A$9:$X$304,$AS48,COLUMNS($AV$9:BK47)),"")=0,"",IFERROR(INDEX($A$9:$X$304,$AS48,COLUMNS($AV$9:BK47)),""))</f>
        <v>Rare</v>
      </c>
      <c r="BL48" s="1" t="str">
        <f>IF(IFERROR(INDEX($A$9:$X$304,$AS48,COLUMNS($AV$9:BL47)),"")=0,"",IFERROR(INDEX($A$9:$X$304,$AS48,COLUMNS($AV$9:BL47)),""))</f>
        <v>Sarah McCulloch</v>
      </c>
      <c r="BM48" s="1" t="str">
        <f>IF(IFERROR(INDEX($A$9:$X$304,$AS48,COLUMNS($AV$9:BM47)),"")=0,"",IFERROR(INDEX($A$9:$X$304,$AS48,COLUMNS($AV$9:BM47)),""))</f>
        <v>Kickstarter Promo</v>
      </c>
      <c r="BN48" s="3" t="b">
        <f>IF(IFERROR(INDEX($A$9:$X$304,$AS48,COLUMNS($AV$9:BN47)),"")=0,"",IFERROR(INDEX($A$9:$X$304,$AS48,COLUMNS($AV$9:BN47)),""))</f>
        <v>1</v>
      </c>
      <c r="BO48" s="3" t="b">
        <f>IF(IFERROR(INDEX($A$9:$X$304,$AS48,COLUMNS($AV$9:BO47)),"")=0,"",IFERROR(INDEX($A$9:$X$304,$AS48,COLUMNS($AV$9:BO47)),""))</f>
        <v>0</v>
      </c>
      <c r="BP48" s="3" t="b">
        <f>IF(IFERROR(INDEX($A$9:$X$304,$AS48,COLUMNS($AV$9:BP47)),"")=0,"",IFERROR(INDEX($A$9:$X$304,$AS48,COLUMNS($AV$9:BP47)),""))</f>
        <v>0</v>
      </c>
      <c r="BQ48" s="3" t="b">
        <f>IF(IFERROR(INDEX($A$9:$X$304,$AS48,COLUMNS($AV$9:BQ47)),"")=0,"",IFERROR(INDEX($A$9:$X$304,$AS48,COLUMNS($AV$9:BQ47)),""))</f>
        <v>0</v>
      </c>
      <c r="BR48" s="3" t="str">
        <f>IF(IFERROR(INDEX($A$9:$X$304,$AS48,COLUMNS($AV$9:BR47)),"")=0,"",IFERROR(INDEX($A$9:$X$304,$AS48,COLUMNS($AV$9:BR47)),""))</f>
        <v>http://www.epiccardgame.com/wp-content/uploads/2015/09/cleansing_light-215x300.jpg</v>
      </c>
      <c r="BS48" s="3" t="str">
        <f>IF(IFERROR(INDEX($A$9:$X$304,$AS48,COLUMNS($AV$9:BS47)),"")=0,"",IFERROR(INDEX($A$9:$X$304,$AS48,COLUMNS($AV$9:BS47)),""))</f>
        <v/>
      </c>
      <c r="BT48" s="3"/>
      <c r="BU48" s="15"/>
      <c r="BV48" t="s">
        <v>69</v>
      </c>
    </row>
    <row r="49" spans="1:74" ht="225.2" customHeight="1" x14ac:dyDescent="0.25">
      <c r="A49" t="s">
        <v>366</v>
      </c>
      <c r="B49">
        <v>0</v>
      </c>
      <c r="C49" t="s">
        <v>618</v>
      </c>
      <c r="E49" t="s">
        <v>619</v>
      </c>
      <c r="H49" t="s">
        <v>647</v>
      </c>
      <c r="I49" t="s">
        <v>795</v>
      </c>
      <c r="J49" t="s">
        <v>970</v>
      </c>
      <c r="O49" t="s">
        <v>1062</v>
      </c>
      <c r="P49" t="s">
        <v>1112</v>
      </c>
      <c r="Q49" t="s">
        <v>1127</v>
      </c>
      <c r="R49" t="s">
        <v>1181</v>
      </c>
      <c r="S49" t="b">
        <v>0</v>
      </c>
      <c r="T49" t="b">
        <v>0</v>
      </c>
      <c r="U49" t="b">
        <v>0</v>
      </c>
      <c r="V49" t="b">
        <v>0</v>
      </c>
      <c r="W49" s="2" t="s">
        <v>1224</v>
      </c>
      <c r="X49" s="2"/>
      <c r="Y49" s="24">
        <v>41</v>
      </c>
      <c r="Z49">
        <f t="shared" si="0"/>
        <v>41</v>
      </c>
      <c r="AA49">
        <f t="shared" si="1"/>
        <v>41</v>
      </c>
      <c r="AB49">
        <f t="shared" si="2"/>
        <v>41</v>
      </c>
      <c r="AC49">
        <f t="shared" si="3"/>
        <v>0</v>
      </c>
      <c r="AD49">
        <f t="shared" si="4"/>
        <v>41</v>
      </c>
      <c r="AE49">
        <f t="shared" si="5"/>
        <v>0</v>
      </c>
      <c r="AF49">
        <f t="shared" si="6"/>
        <v>0</v>
      </c>
      <c r="AG49">
        <f t="shared" si="7"/>
        <v>41</v>
      </c>
      <c r="AH49">
        <f t="shared" si="8"/>
        <v>41</v>
      </c>
      <c r="AI49">
        <f t="shared" si="9"/>
        <v>41</v>
      </c>
      <c r="AJ49">
        <f t="shared" si="10"/>
        <v>0</v>
      </c>
      <c r="AK49">
        <f t="shared" si="11"/>
        <v>0</v>
      </c>
      <c r="AL49">
        <f t="shared" si="12"/>
        <v>0</v>
      </c>
      <c r="AM49">
        <f t="shared" si="13"/>
        <v>0</v>
      </c>
      <c r="AN49">
        <f t="shared" si="14"/>
        <v>41</v>
      </c>
      <c r="AO49">
        <f t="shared" si="15"/>
        <v>41</v>
      </c>
      <c r="AP49">
        <f t="shared" si="16"/>
        <v>41</v>
      </c>
      <c r="AQ49">
        <f t="shared" si="17"/>
        <v>41</v>
      </c>
      <c r="AR49" s="6">
        <f t="shared" si="18"/>
        <v>41</v>
      </c>
      <c r="AS49">
        <f t="shared" si="19"/>
        <v>41</v>
      </c>
      <c r="AV49" s="1" t="str">
        <f>IF(IFERROR(INDEX($A$9:$W$304,$AS49,COLUMNS($AV$9:AV48)),"")=0,"",IFERROR(INDEX($A$9:$W$304,$AS49,COLUMNS($AV$9:AV48)),""))</f>
        <v>Consume</v>
      </c>
      <c r="AW49" s="1">
        <f>IFERROR(INDEX($A$9:$W$304,$AS49,COLUMNS($AV$9:AW48)),"")</f>
        <v>0</v>
      </c>
      <c r="AX49" s="1" t="str">
        <f>IF(IFERROR(INDEX($A$9:$X$304,$AS49,COLUMNS($AV$9:AX48)),"")=0,"",IFERROR(INDEX($A$9:$X$304,$AS49,COLUMNS($AV$9:AX48)),""))</f>
        <v>EVIL</v>
      </c>
      <c r="AY49" s="1" t="str">
        <f>IF(IFERROR(INDEX($A$9:$X$304,$AS49,COLUMNS($AV$9:AY48)),"")=0,"",IFERROR(INDEX($A$9:$X$304,$AS49,COLUMNS($AV$9:AY48)),""))</f>
        <v/>
      </c>
      <c r="AZ49" s="1" t="str">
        <f>IF(IFERROR(INDEX($A$9:$X$304,$AS49,COLUMNS($AV$9:AZ48)),"")=0,"",IFERROR(INDEX($A$9:$X$304,$AS49,COLUMNS($AV$9:AZ48)),""))</f>
        <v>EVENT</v>
      </c>
      <c r="BA49" s="1" t="str">
        <f>IF(IFERROR(INDEX($A$9:$X$304,$AS49,COLUMNS($AV$9:BA48)),"")=0,"",IFERROR(INDEX($A$9:$X$304,$AS49,COLUMNS($AV$9:BA48)),""))</f>
        <v/>
      </c>
      <c r="BB49" s="1" t="str">
        <f>IF(IFERROR(INDEX($A$9:$X$304,$AS49,COLUMNS($AV$9:BB48)),"")=0,"",IFERROR(INDEX($A$9:$X$304,$AS49,COLUMNS($AV$9:BB48)),""))</f>
        <v/>
      </c>
      <c r="BC49" s="1" t="str">
        <f>IF(IFERROR(INDEX($A$9:$X$304,$AS49,COLUMNS($AV$9:BC48)),"")=0,"",IFERROR(INDEX($A$9:$X$304,$AS49,COLUMNS($AV$9:BC48)),""))</f>
        <v>Deal 3 damage to target champion.</v>
      </c>
      <c r="BD49" s="1" t="str">
        <f>IF(IFERROR(INDEX($A$9:$X$304,$AS49,COLUMNS($AV$9:BD48)),"")=0,"",IFERROR(INDEX($A$9:$X$304,$AS49,COLUMNS($AV$9:BD48)),""))</f>
        <v>Gain 3 health.</v>
      </c>
      <c r="BE49" s="1" t="str">
        <f>IF(IFERROR(INDEX($A$9:$X$304,$AS49,COLUMNS($AV$9:BE48)),"")=0,"",IFERROR(INDEX($A$9:$X$304,$AS49,COLUMNS($AV$9:BE48)),""))</f>
        <v>"Yum."</v>
      </c>
      <c r="BF49" s="1" t="str">
        <f>IF(IFERROR(INDEX($A$9:$X$304,$AS49,COLUMNS($AV$9:BF48)),"")=0,"",IFERROR(INDEX($A$9:$X$304,$AS49,COLUMNS($AV$9:BF48)),""))</f>
        <v/>
      </c>
      <c r="BG49" s="1" t="str">
        <f>IF(IFERROR(INDEX($A$9:$X$304,$AS49,COLUMNS($AV$9:BG48)),"")=0,"",IFERROR(INDEX($A$9:$X$304,$AS49,COLUMNS($AV$9:BG48)),""))</f>
        <v/>
      </c>
      <c r="BH49" s="1" t="str">
        <f>IF(IFERROR(INDEX($A$9:$X$304,$AS49,COLUMNS($AV$9:BH48)),"")=0,"",IFERROR(INDEX($A$9:$X$304,$AS49,COLUMNS($AV$9:BH48)),""))</f>
        <v/>
      </c>
      <c r="BI49" s="1" t="str">
        <f>IF(IFERROR(INDEX($A$9:$X$304,$AS49,COLUMNS($AV$9:BI48)),"")=0,"",IFERROR(INDEX($A$9:$X$304,$AS49,COLUMNS($AV$9:BI48)),""))</f>
        <v/>
      </c>
      <c r="BJ49" s="1" t="str">
        <f>IF(IFERROR(INDEX($A$9:$X$304,$AS49,COLUMNS($AV$9:BJ48)),"")=0,"",IFERROR(INDEX($A$9:$X$304,$AS49,COLUMNS($AV$9:BJ48)),""))</f>
        <v>None</v>
      </c>
      <c r="BK49" s="1" t="str">
        <f>IF(IFERROR(INDEX($A$9:$X$304,$AS49,COLUMNS($AV$9:BK48)),"")=0,"",IFERROR(INDEX($A$9:$X$304,$AS49,COLUMNS($AV$9:BK48)),""))</f>
        <v>Common</v>
      </c>
      <c r="BL49" s="1" t="str">
        <f>IF(IFERROR(INDEX($A$9:$X$304,$AS49,COLUMNS($AV$9:BL48)),"")=0,"",IFERROR(INDEX($A$9:$X$304,$AS49,COLUMNS($AV$9:BL48)),""))</f>
        <v>Johnny Morrow</v>
      </c>
      <c r="BM49" s="1" t="str">
        <f>IF(IFERROR(INDEX($A$9:$X$304,$AS49,COLUMNS($AV$9:BM48)),"")=0,"",IFERROR(INDEX($A$9:$X$304,$AS49,COLUMNS($AV$9:BM48)),""))</f>
        <v>Uprising: Kark's Edict</v>
      </c>
      <c r="BN49" s="3" t="b">
        <f>IF(IFERROR(INDEX($A$9:$X$304,$AS49,COLUMNS($AV$9:BN48)),"")=0,"",IFERROR(INDEX($A$9:$X$304,$AS49,COLUMNS($AV$9:BN48)),""))</f>
        <v>0</v>
      </c>
      <c r="BO49" s="3" t="b">
        <f>IF(IFERROR(INDEX($A$9:$X$304,$AS49,COLUMNS($AV$9:BO48)),"")=0,"",IFERROR(INDEX($A$9:$X$304,$AS49,COLUMNS($AV$9:BO48)),""))</f>
        <v>0</v>
      </c>
      <c r="BP49" s="3" t="b">
        <f>IF(IFERROR(INDEX($A$9:$X$304,$AS49,COLUMNS($AV$9:BP48)),"")=0,"",IFERROR(INDEX($A$9:$X$304,$AS49,COLUMNS($AV$9:BP48)),""))</f>
        <v>0</v>
      </c>
      <c r="BQ49" s="3" t="b">
        <f>IF(IFERROR(INDEX($A$9:$X$304,$AS49,COLUMNS($AV$9:BQ48)),"")=0,"",IFERROR(INDEX($A$9:$X$304,$AS49,COLUMNS($AV$9:BQ48)),""))</f>
        <v>0</v>
      </c>
      <c r="BR49" s="3" t="str">
        <f>IF(IFERROR(INDEX($A$9:$X$304,$AS49,COLUMNS($AV$9:BR48)),"")=0,"",IFERROR(INDEX($A$9:$X$304,$AS49,COLUMNS($AV$9:BR48)),""))</f>
        <v>https://www.epiccardgame.com/wp-content/uploads/2017/11/UPK-EN-consume.jpg</v>
      </c>
      <c r="BS49" s="3" t="str">
        <f>IF(IFERROR(INDEX($A$9:$X$304,$AS49,COLUMNS($AV$9:BS48)),"")=0,"",IFERROR(INDEX($A$9:$X$304,$AS49,COLUMNS($AV$9:BS48)),""))</f>
        <v/>
      </c>
      <c r="BT49" s="3"/>
      <c r="BU49" s="15"/>
      <c r="BV49" t="s">
        <v>70</v>
      </c>
    </row>
    <row r="50" spans="1:74" ht="225.2" customHeight="1" x14ac:dyDescent="0.25">
      <c r="A50" t="s">
        <v>367</v>
      </c>
      <c r="B50">
        <v>0</v>
      </c>
      <c r="C50" t="s">
        <v>618</v>
      </c>
      <c r="E50" t="s">
        <v>620</v>
      </c>
      <c r="F50">
        <v>1</v>
      </c>
      <c r="G50">
        <v>1</v>
      </c>
      <c r="H50" t="s">
        <v>648</v>
      </c>
      <c r="I50" t="s">
        <v>796</v>
      </c>
      <c r="O50" t="s">
        <v>1063</v>
      </c>
      <c r="P50" t="s">
        <v>1113</v>
      </c>
      <c r="Q50" t="s">
        <v>1132</v>
      </c>
      <c r="R50" t="s">
        <v>1171</v>
      </c>
      <c r="S50" t="b">
        <v>1</v>
      </c>
      <c r="T50" t="b">
        <v>0</v>
      </c>
      <c r="U50" t="b">
        <v>0</v>
      </c>
      <c r="V50" t="b">
        <v>0</v>
      </c>
      <c r="W50" s="2" t="s">
        <v>1225</v>
      </c>
      <c r="X50" s="2"/>
      <c r="Y50" s="24">
        <v>42</v>
      </c>
      <c r="Z50">
        <f t="shared" si="0"/>
        <v>42</v>
      </c>
      <c r="AA50">
        <f t="shared" si="1"/>
        <v>42</v>
      </c>
      <c r="AB50">
        <f t="shared" si="2"/>
        <v>42</v>
      </c>
      <c r="AC50">
        <f t="shared" si="3"/>
        <v>0</v>
      </c>
      <c r="AD50">
        <f t="shared" si="4"/>
        <v>42</v>
      </c>
      <c r="AE50">
        <f t="shared" si="5"/>
        <v>42</v>
      </c>
      <c r="AF50">
        <f t="shared" si="6"/>
        <v>42</v>
      </c>
      <c r="AG50">
        <f t="shared" si="7"/>
        <v>42</v>
      </c>
      <c r="AH50">
        <f t="shared" si="8"/>
        <v>42</v>
      </c>
      <c r="AI50">
        <f t="shared" si="9"/>
        <v>0</v>
      </c>
      <c r="AJ50">
        <f t="shared" si="10"/>
        <v>0</v>
      </c>
      <c r="AK50">
        <f t="shared" si="11"/>
        <v>0</v>
      </c>
      <c r="AL50">
        <f t="shared" si="12"/>
        <v>0</v>
      </c>
      <c r="AM50">
        <f t="shared" si="13"/>
        <v>0</v>
      </c>
      <c r="AN50">
        <f t="shared" si="14"/>
        <v>42</v>
      </c>
      <c r="AO50">
        <f t="shared" si="15"/>
        <v>42</v>
      </c>
      <c r="AP50">
        <f t="shared" si="16"/>
        <v>42</v>
      </c>
      <c r="AQ50">
        <f t="shared" si="17"/>
        <v>42</v>
      </c>
      <c r="AR50" s="6">
        <f t="shared" si="18"/>
        <v>42</v>
      </c>
      <c r="AS50">
        <f t="shared" si="19"/>
        <v>42</v>
      </c>
      <c r="AV50" s="1" t="str">
        <f>IF(IFERROR(INDEX($A$9:$W$304,$AS50,COLUMNS($AV$9:AV49)),"")=0,"",IFERROR(INDEX($A$9:$W$304,$AS50,COLUMNS($AV$9:AV49)),""))</f>
        <v>Corpse Taker</v>
      </c>
      <c r="AW50" s="1">
        <f>IFERROR(INDEX($A$9:$W$304,$AS50,COLUMNS($AV$9:AW49)),"")</f>
        <v>0</v>
      </c>
      <c r="AX50" s="1" t="str">
        <f>IF(IFERROR(INDEX($A$9:$X$304,$AS50,COLUMNS($AV$9:AX49)),"")=0,"",IFERROR(INDEX($A$9:$X$304,$AS50,COLUMNS($AV$9:AX49)),""))</f>
        <v>EVIL</v>
      </c>
      <c r="AY50" s="1" t="str">
        <f>IF(IFERROR(INDEX($A$9:$X$304,$AS50,COLUMNS($AV$9:AY49)),"")=0,"",IFERROR(INDEX($A$9:$X$304,$AS50,COLUMNS($AV$9:AY49)),""))</f>
        <v/>
      </c>
      <c r="AZ50" s="1" t="str">
        <f>IF(IFERROR(INDEX($A$9:$X$304,$AS50,COLUMNS($AV$9:AZ49)),"")=0,"",IFERROR(INDEX($A$9:$X$304,$AS50,COLUMNS($AV$9:AZ49)),""))</f>
        <v>CHAMPION</v>
      </c>
      <c r="BA50" s="1">
        <f>IF(IFERROR(INDEX($A$9:$X$304,$AS50,COLUMNS($AV$9:BA49)),"")=0,"",IFERROR(INDEX($A$9:$X$304,$AS50,COLUMNS($AV$9:BA49)),""))</f>
        <v>1</v>
      </c>
      <c r="BB50" s="1">
        <f>IF(IFERROR(INDEX($A$9:$X$304,$AS50,COLUMNS($AV$9:BB49)),"")=0,"",IFERROR(INDEX($A$9:$X$304,$AS50,COLUMNS($AV$9:BB49)),""))</f>
        <v>1</v>
      </c>
      <c r="BC50" s="1" t="str">
        <f>IF(IFERROR(INDEX($A$9:$X$304,$AS50,COLUMNS($AV$9:BC49)),"")=0,"",IFERROR(INDEX($A$9:$X$304,$AS50,COLUMNS($AV$9:BC49)),""))</f>
        <v>Tribute → You may return target {1} champion card from your discard pile to your hand.</v>
      </c>
      <c r="BD50" s="1" t="str">
        <f>IF(IFERROR(INDEX($A$9:$X$304,$AS50,COLUMNS($AV$9:BD49)),"")=0,"",IFERROR(INDEX($A$9:$X$304,$AS50,COLUMNS($AV$9:BD49)),""))</f>
        <v>{expend}: Banish target card from any discard pile.</v>
      </c>
      <c r="BE50" s="1" t="str">
        <f>IF(IFERROR(INDEX($A$9:$X$304,$AS50,COLUMNS($AV$9:BE49)),"")=0,"",IFERROR(INDEX($A$9:$X$304,$AS50,COLUMNS($AV$9:BE49)),""))</f>
        <v/>
      </c>
      <c r="BF50" s="1" t="str">
        <f>IF(IFERROR(INDEX($A$9:$X$304,$AS50,COLUMNS($AV$9:BF49)),"")=0,"",IFERROR(INDEX($A$9:$X$304,$AS50,COLUMNS($AV$9:BF49)),""))</f>
        <v/>
      </c>
      <c r="BG50" s="1" t="str">
        <f>IF(IFERROR(INDEX($A$9:$X$304,$AS50,COLUMNS($AV$9:BG49)),"")=0,"",IFERROR(INDEX($A$9:$X$304,$AS50,COLUMNS($AV$9:BG49)),""))</f>
        <v/>
      </c>
      <c r="BH50" s="1" t="str">
        <f>IF(IFERROR(INDEX($A$9:$X$304,$AS50,COLUMNS($AV$9:BH49)),"")=0,"",IFERROR(INDEX($A$9:$X$304,$AS50,COLUMNS($AV$9:BH49)),""))</f>
        <v/>
      </c>
      <c r="BI50" s="1" t="str">
        <f>IF(IFERROR(INDEX($A$9:$X$304,$AS50,COLUMNS($AV$9:BI49)),"")=0,"",IFERROR(INDEX($A$9:$X$304,$AS50,COLUMNS($AV$9:BI49)),""))</f>
        <v/>
      </c>
      <c r="BJ50" s="1" t="str">
        <f>IF(IFERROR(INDEX($A$9:$X$304,$AS50,COLUMNS($AV$9:BJ49)),"")=0,"",IFERROR(INDEX($A$9:$X$304,$AS50,COLUMNS($AV$9:BJ49)),""))</f>
        <v>HUMAN</v>
      </c>
      <c r="BK50" s="1" t="str">
        <f>IF(IFERROR(INDEX($A$9:$X$304,$AS50,COLUMNS($AV$9:BK49)),"")=0,"",IFERROR(INDEX($A$9:$X$304,$AS50,COLUMNS($AV$9:BK49)),""))</f>
        <v>Rare</v>
      </c>
      <c r="BL50" s="1" t="str">
        <f>IF(IFERROR(INDEX($A$9:$X$304,$AS50,COLUMNS($AV$9:BL49)),"")=0,"",IFERROR(INDEX($A$9:$X$304,$AS50,COLUMNS($AV$9:BL49)),""))</f>
        <v>Odysseas Stamoglou</v>
      </c>
      <c r="BM50" s="1" t="str">
        <f>IF(IFERROR(INDEX($A$9:$X$304,$AS50,COLUMNS($AV$9:BM49)),"")=0,"",IFERROR(INDEX($A$9:$X$304,$AS50,COLUMNS($AV$9:BM49)),""))</f>
        <v>Base Set</v>
      </c>
      <c r="BN50" s="3" t="b">
        <f>IF(IFERROR(INDEX($A$9:$X$304,$AS50,COLUMNS($AV$9:BN49)),"")=0,"",IFERROR(INDEX($A$9:$X$304,$AS50,COLUMNS($AV$9:BN49)),""))</f>
        <v>1</v>
      </c>
      <c r="BO50" s="3" t="b">
        <f>IF(IFERROR(INDEX($A$9:$X$304,$AS50,COLUMNS($AV$9:BO49)),"")=0,"",IFERROR(INDEX($A$9:$X$304,$AS50,COLUMNS($AV$9:BO49)),""))</f>
        <v>0</v>
      </c>
      <c r="BP50" s="3" t="b">
        <f>IF(IFERROR(INDEX($A$9:$X$304,$AS50,COLUMNS($AV$9:BP49)),"")=0,"",IFERROR(INDEX($A$9:$X$304,$AS50,COLUMNS($AV$9:BP49)),""))</f>
        <v>0</v>
      </c>
      <c r="BQ50" s="3" t="b">
        <f>IF(IFERROR(INDEX($A$9:$X$304,$AS50,COLUMNS($AV$9:BQ49)),"")=0,"",IFERROR(INDEX($A$9:$X$304,$AS50,COLUMNS($AV$9:BQ49)),""))</f>
        <v>0</v>
      </c>
      <c r="BR50" s="3" t="str">
        <f>IF(IFERROR(INDEX($A$9:$X$304,$AS50,COLUMNS($AV$9:BR49)),"")=0,"",IFERROR(INDEX($A$9:$X$304,$AS50,COLUMNS($AV$9:BR49)),""))</f>
        <v>http://www.epiccardgame.com/wp-content/uploads/2015/09/corpse_taker-215x300.jpg</v>
      </c>
      <c r="BS50" s="3" t="str">
        <f>IF(IFERROR(INDEX($A$9:$X$304,$AS50,COLUMNS($AV$9:BS49)),"")=0,"",IFERROR(INDEX($A$9:$X$304,$AS50,COLUMNS($AV$9:BS49)),""))</f>
        <v/>
      </c>
      <c r="BT50" s="3"/>
      <c r="BU50" s="15"/>
      <c r="BV50" t="s">
        <v>71</v>
      </c>
    </row>
    <row r="51" spans="1:74" ht="225.2" customHeight="1" x14ac:dyDescent="0.25">
      <c r="A51" t="s">
        <v>368</v>
      </c>
      <c r="B51">
        <v>0</v>
      </c>
      <c r="C51" t="s">
        <v>618</v>
      </c>
      <c r="E51" t="s">
        <v>620</v>
      </c>
      <c r="F51">
        <v>4</v>
      </c>
      <c r="G51">
        <v>3</v>
      </c>
      <c r="H51" t="s">
        <v>22</v>
      </c>
      <c r="I51" t="s">
        <v>797</v>
      </c>
      <c r="O51" t="s">
        <v>1074</v>
      </c>
      <c r="P51" t="s">
        <v>1113</v>
      </c>
      <c r="Q51" t="s">
        <v>1127</v>
      </c>
      <c r="R51" t="s">
        <v>1177</v>
      </c>
      <c r="S51" t="b">
        <v>0</v>
      </c>
      <c r="T51" t="b">
        <v>0</v>
      </c>
      <c r="U51" t="b">
        <v>0</v>
      </c>
      <c r="V51" t="b">
        <v>0</v>
      </c>
      <c r="W51" s="2" t="s">
        <v>1226</v>
      </c>
      <c r="X51" s="2"/>
      <c r="Y51" s="24">
        <v>43</v>
      </c>
      <c r="Z51">
        <f t="shared" si="0"/>
        <v>43</v>
      </c>
      <c r="AA51">
        <f t="shared" si="1"/>
        <v>43</v>
      </c>
      <c r="AB51">
        <f t="shared" si="2"/>
        <v>43</v>
      </c>
      <c r="AC51">
        <f t="shared" si="3"/>
        <v>0</v>
      </c>
      <c r="AD51">
        <f t="shared" si="4"/>
        <v>43</v>
      </c>
      <c r="AE51">
        <f t="shared" si="5"/>
        <v>43</v>
      </c>
      <c r="AF51">
        <f t="shared" si="6"/>
        <v>43</v>
      </c>
      <c r="AG51">
        <f t="shared" si="7"/>
        <v>43</v>
      </c>
      <c r="AH51">
        <f t="shared" si="8"/>
        <v>43</v>
      </c>
      <c r="AI51">
        <f t="shared" si="9"/>
        <v>0</v>
      </c>
      <c r="AJ51">
        <f t="shared" si="10"/>
        <v>0</v>
      </c>
      <c r="AK51">
        <f t="shared" si="11"/>
        <v>0</v>
      </c>
      <c r="AL51">
        <f t="shared" si="12"/>
        <v>0</v>
      </c>
      <c r="AM51">
        <f t="shared" si="13"/>
        <v>0</v>
      </c>
      <c r="AN51">
        <f t="shared" si="14"/>
        <v>43</v>
      </c>
      <c r="AO51">
        <f t="shared" si="15"/>
        <v>43</v>
      </c>
      <c r="AP51">
        <f t="shared" si="16"/>
        <v>43</v>
      </c>
      <c r="AQ51">
        <f t="shared" si="17"/>
        <v>43</v>
      </c>
      <c r="AR51" s="6">
        <f t="shared" si="18"/>
        <v>43</v>
      </c>
      <c r="AS51">
        <f t="shared" si="19"/>
        <v>43</v>
      </c>
      <c r="AV51" s="1" t="str">
        <f>IF(IFERROR(INDEX($A$9:$W$304,$AS51,COLUMNS($AV$9:AV50)),"")=0,"",IFERROR(INDEX($A$9:$W$304,$AS51,COLUMNS($AV$9:AV50)),""))</f>
        <v>Corpsemonger</v>
      </c>
      <c r="AW51" s="1">
        <f>IFERROR(INDEX($A$9:$W$304,$AS51,COLUMNS($AV$9:AW50)),"")</f>
        <v>0</v>
      </c>
      <c r="AX51" s="1" t="str">
        <f>IF(IFERROR(INDEX($A$9:$X$304,$AS51,COLUMNS($AV$9:AX50)),"")=0,"",IFERROR(INDEX($A$9:$X$304,$AS51,COLUMNS($AV$9:AX50)),""))</f>
        <v>EVIL</v>
      </c>
      <c r="AY51" s="1" t="str">
        <f>IF(IFERROR(INDEX($A$9:$X$304,$AS51,COLUMNS($AV$9:AY50)),"")=0,"",IFERROR(INDEX($A$9:$X$304,$AS51,COLUMNS($AV$9:AY50)),""))</f>
        <v/>
      </c>
      <c r="AZ51" s="1" t="str">
        <f>IF(IFERROR(INDEX($A$9:$X$304,$AS51,COLUMNS($AV$9:AZ50)),"")=0,"",IFERROR(INDEX($A$9:$X$304,$AS51,COLUMNS($AV$9:AZ50)),""))</f>
        <v>CHAMPION</v>
      </c>
      <c r="BA51" s="1">
        <f>IF(IFERROR(INDEX($A$9:$X$304,$AS51,COLUMNS($AV$9:BA50)),"")=0,"",IFERROR(INDEX($A$9:$X$304,$AS51,COLUMNS($AV$9:BA50)),""))</f>
        <v>4</v>
      </c>
      <c r="BB51" s="1">
        <f>IF(IFERROR(INDEX($A$9:$X$304,$AS51,COLUMNS($AV$9:BB50)),"")=0,"",IFERROR(INDEX($A$9:$X$304,$AS51,COLUMNS($AV$9:BB50)),""))</f>
        <v>3</v>
      </c>
      <c r="BC51" s="1" t="str">
        <f>IF(IFERROR(INDEX($A$9:$X$304,$AS51,COLUMNS($AV$9:BC50)),"")=0,"",IFERROR(INDEX($A$9:$X$304,$AS51,COLUMNS($AV$9:BC50)),""))</f>
        <v>Blitz</v>
      </c>
      <c r="BD51" s="1" t="str">
        <f>IF(IFERROR(INDEX($A$9:$X$304,$AS51,COLUMNS($AV$9:BD50)),"")=0,"",IFERROR(INDEX($A$9:$X$304,$AS51,COLUMNS($AV$9:BD50)),""))</f>
        <v>{expend}: Banish a card in target player's discard pile. If you banish a champion in this way, gain 3 health.</v>
      </c>
      <c r="BE51" s="1" t="str">
        <f>IF(IFERROR(INDEX($A$9:$X$304,$AS51,COLUMNS($AV$9:BE50)),"")=0,"",IFERROR(INDEX($A$9:$X$304,$AS51,COLUMNS($AV$9:BE50)),""))</f>
        <v/>
      </c>
      <c r="BF51" s="1" t="str">
        <f>IF(IFERROR(INDEX($A$9:$X$304,$AS51,COLUMNS($AV$9:BF50)),"")=0,"",IFERROR(INDEX($A$9:$X$304,$AS51,COLUMNS($AV$9:BF50)),""))</f>
        <v/>
      </c>
      <c r="BG51" s="1" t="str">
        <f>IF(IFERROR(INDEX($A$9:$X$304,$AS51,COLUMNS($AV$9:BG50)),"")=0,"",IFERROR(INDEX($A$9:$X$304,$AS51,COLUMNS($AV$9:BG50)),""))</f>
        <v/>
      </c>
      <c r="BH51" s="1" t="str">
        <f>IF(IFERROR(INDEX($A$9:$X$304,$AS51,COLUMNS($AV$9:BH50)),"")=0,"",IFERROR(INDEX($A$9:$X$304,$AS51,COLUMNS($AV$9:BH50)),""))</f>
        <v/>
      </c>
      <c r="BI51" s="1" t="str">
        <f>IF(IFERROR(INDEX($A$9:$X$304,$AS51,COLUMNS($AV$9:BI50)),"")=0,"",IFERROR(INDEX($A$9:$X$304,$AS51,COLUMNS($AV$9:BI50)),""))</f>
        <v/>
      </c>
      <c r="BJ51" s="1" t="str">
        <f>IF(IFERROR(INDEX($A$9:$X$304,$AS51,COLUMNS($AV$9:BJ50)),"")=0,"",IFERROR(INDEX($A$9:$X$304,$AS51,COLUMNS($AV$9:BJ50)),""))</f>
        <v>HUMAN MAGE</v>
      </c>
      <c r="BK51" s="1" t="str">
        <f>IF(IFERROR(INDEX($A$9:$X$304,$AS51,COLUMNS($AV$9:BK50)),"")=0,"",IFERROR(INDEX($A$9:$X$304,$AS51,COLUMNS($AV$9:BK50)),""))</f>
        <v>Rare</v>
      </c>
      <c r="BL51" s="1" t="str">
        <f>IF(IFERROR(INDEX($A$9:$X$304,$AS51,COLUMNS($AV$9:BL50)),"")=0,"",IFERROR(INDEX($A$9:$X$304,$AS51,COLUMNS($AV$9:BL50)),""))</f>
        <v>Johnny Morrow</v>
      </c>
      <c r="BM51" s="1" t="str">
        <f>IF(IFERROR(INDEX($A$9:$X$304,$AS51,COLUMNS($AV$9:BM50)),"")=0,"",IFERROR(INDEX($A$9:$X$304,$AS51,COLUMNS($AV$9:BM50)),""))</f>
        <v>Uprising: Will of Zannos</v>
      </c>
      <c r="BN51" s="3" t="b">
        <f>IF(IFERROR(INDEX($A$9:$X$304,$AS51,COLUMNS($AV$9:BN50)),"")=0,"",IFERROR(INDEX($A$9:$X$304,$AS51,COLUMNS($AV$9:BN50)),""))</f>
        <v>0</v>
      </c>
      <c r="BO51" s="3" t="b">
        <f>IF(IFERROR(INDEX($A$9:$X$304,$AS51,COLUMNS($AV$9:BO50)),"")=0,"",IFERROR(INDEX($A$9:$X$304,$AS51,COLUMNS($AV$9:BO50)),""))</f>
        <v>0</v>
      </c>
      <c r="BP51" s="3" t="b">
        <f>IF(IFERROR(INDEX($A$9:$X$304,$AS51,COLUMNS($AV$9:BP50)),"")=0,"",IFERROR(INDEX($A$9:$X$304,$AS51,COLUMNS($AV$9:BP50)),""))</f>
        <v>0</v>
      </c>
      <c r="BQ51" s="3" t="b">
        <f>IF(IFERROR(INDEX($A$9:$X$304,$AS51,COLUMNS($AV$9:BQ50)),"")=0,"",IFERROR(INDEX($A$9:$X$304,$AS51,COLUMNS($AV$9:BQ50)),""))</f>
        <v>0</v>
      </c>
      <c r="BR51" s="3" t="str">
        <f>IF(IFERROR(INDEX($A$9:$X$304,$AS51,COLUMNS($AV$9:BR50)),"")=0,"",IFERROR(INDEX($A$9:$X$304,$AS51,COLUMNS($AV$9:BR50)),""))</f>
        <v>https://www.epiccardgame.com/wp-content/uploads/2017/11/UPZ-EN-corpsemonger.jpg</v>
      </c>
      <c r="BS51" s="3" t="str">
        <f>IF(IFERROR(INDEX($A$9:$X$304,$AS51,COLUMNS($AV$9:BS50)),"")=0,"",IFERROR(INDEX($A$9:$X$304,$AS51,COLUMNS($AV$9:BS50)),""))</f>
        <v/>
      </c>
      <c r="BT51" s="3"/>
      <c r="BU51" s="15"/>
      <c r="BV51" t="s">
        <v>72</v>
      </c>
    </row>
    <row r="52" spans="1:74" ht="225" customHeight="1" x14ac:dyDescent="0.25">
      <c r="A52" t="s">
        <v>369</v>
      </c>
      <c r="B52">
        <v>0</v>
      </c>
      <c r="C52" t="s">
        <v>617</v>
      </c>
      <c r="E52" t="s">
        <v>620</v>
      </c>
      <c r="F52">
        <v>2</v>
      </c>
      <c r="G52">
        <v>2</v>
      </c>
      <c r="H52" t="s">
        <v>21</v>
      </c>
      <c r="I52" t="s">
        <v>798</v>
      </c>
      <c r="J52" t="s">
        <v>971</v>
      </c>
      <c r="O52" t="s">
        <v>1063</v>
      </c>
      <c r="P52" t="s">
        <v>1113</v>
      </c>
      <c r="Q52" t="s">
        <v>1118</v>
      </c>
      <c r="R52" t="s">
        <v>1171</v>
      </c>
      <c r="S52" t="b">
        <v>0</v>
      </c>
      <c r="T52" t="b">
        <v>0</v>
      </c>
      <c r="U52" t="b">
        <v>0</v>
      </c>
      <c r="V52" t="b">
        <v>0</v>
      </c>
      <c r="W52" s="2" t="s">
        <v>1227</v>
      </c>
      <c r="X52" s="2"/>
      <c r="Y52" s="24">
        <v>44</v>
      </c>
      <c r="Z52">
        <f t="shared" si="0"/>
        <v>44</v>
      </c>
      <c r="AA52">
        <f t="shared" si="1"/>
        <v>44</v>
      </c>
      <c r="AB52">
        <f t="shared" si="2"/>
        <v>44</v>
      </c>
      <c r="AC52">
        <f t="shared" si="3"/>
        <v>0</v>
      </c>
      <c r="AD52">
        <f t="shared" si="4"/>
        <v>44</v>
      </c>
      <c r="AE52">
        <f t="shared" si="5"/>
        <v>44</v>
      </c>
      <c r="AF52">
        <f t="shared" si="6"/>
        <v>44</v>
      </c>
      <c r="AG52">
        <f t="shared" si="7"/>
        <v>44</v>
      </c>
      <c r="AH52">
        <f t="shared" si="8"/>
        <v>44</v>
      </c>
      <c r="AI52">
        <f t="shared" si="9"/>
        <v>44</v>
      </c>
      <c r="AJ52">
        <f t="shared" si="10"/>
        <v>0</v>
      </c>
      <c r="AK52">
        <f t="shared" si="11"/>
        <v>0</v>
      </c>
      <c r="AL52">
        <f t="shared" si="12"/>
        <v>0</v>
      </c>
      <c r="AM52">
        <f t="shared" si="13"/>
        <v>0</v>
      </c>
      <c r="AN52">
        <f t="shared" si="14"/>
        <v>44</v>
      </c>
      <c r="AO52">
        <f t="shared" si="15"/>
        <v>44</v>
      </c>
      <c r="AP52">
        <f t="shared" si="16"/>
        <v>44</v>
      </c>
      <c r="AQ52">
        <f t="shared" si="17"/>
        <v>44</v>
      </c>
      <c r="AR52" s="6">
        <f t="shared" si="18"/>
        <v>44</v>
      </c>
      <c r="AS52">
        <f t="shared" si="19"/>
        <v>44</v>
      </c>
      <c r="AV52" s="1" t="str">
        <f>IF(IFERROR(INDEX($A$9:$W$304,$AS52,COLUMNS($AV$9:AV51)),"")=0,"",IFERROR(INDEX($A$9:$W$304,$AS52,COLUMNS($AV$9:AV51)),""))</f>
        <v>Courageous Soul</v>
      </c>
      <c r="AW52" s="1">
        <f>IFERROR(INDEX($A$9:$W$304,$AS52,COLUMNS($AV$9:AW51)),"")</f>
        <v>0</v>
      </c>
      <c r="AX52" s="1" t="str">
        <f>IF(IFERROR(INDEX($A$9:$X$304,$AS52,COLUMNS($AV$9:AX51)),"")=0,"",IFERROR(INDEX($A$9:$X$304,$AS52,COLUMNS($AV$9:AX51)),""))</f>
        <v>GOOD</v>
      </c>
      <c r="AY52" s="1" t="str">
        <f>IF(IFERROR(INDEX($A$9:$X$304,$AS52,COLUMNS($AV$9:AY51)),"")=0,"",IFERROR(INDEX($A$9:$X$304,$AS52,COLUMNS($AV$9:AY51)),""))</f>
        <v/>
      </c>
      <c r="AZ52" s="1" t="str">
        <f>IF(IFERROR(INDEX($A$9:$X$304,$AS52,COLUMNS($AV$9:AZ51)),"")=0,"",IFERROR(INDEX($A$9:$X$304,$AS52,COLUMNS($AV$9:AZ51)),""))</f>
        <v>CHAMPION</v>
      </c>
      <c r="BA52" s="1">
        <f>IF(IFERROR(INDEX($A$9:$X$304,$AS52,COLUMNS($AV$9:BA51)),"")=0,"",IFERROR(INDEX($A$9:$X$304,$AS52,COLUMNS($AV$9:BA51)),""))</f>
        <v>2</v>
      </c>
      <c r="BB52" s="1">
        <f>IF(IFERROR(INDEX($A$9:$X$304,$AS52,COLUMNS($AV$9:BB51)),"")=0,"",IFERROR(INDEX($A$9:$X$304,$AS52,COLUMNS($AV$9:BB51)),""))</f>
        <v>2</v>
      </c>
      <c r="BC52" s="1" t="str">
        <f>IF(IFERROR(INDEX($A$9:$X$304,$AS52,COLUMNS($AV$9:BC51)),"")=0,"",IFERROR(INDEX($A$9:$X$304,$AS52,COLUMNS($AV$9:BC51)),""))</f>
        <v>Ambush</v>
      </c>
      <c r="BD52" s="1" t="str">
        <f>IF(IFERROR(INDEX($A$9:$X$304,$AS52,COLUMNS($AV$9:BD51)),"")=0,"",IFERROR(INDEX($A$9:$X$304,$AS52,COLUMNS($AV$9:BD51)),""))</f>
        <v>When this card attacks → Your champions get +2 {offense} this turn.</v>
      </c>
      <c r="BE52" s="1" t="str">
        <f>IF(IFERROR(INDEX($A$9:$X$304,$AS52,COLUMNS($AV$9:BE51)),"")=0,"",IFERROR(INDEX($A$9:$X$304,$AS52,COLUMNS($AV$9:BE51)),""))</f>
        <v>"Follow me!"</v>
      </c>
      <c r="BF52" s="1" t="str">
        <f>IF(IFERROR(INDEX($A$9:$X$304,$AS52,COLUMNS($AV$9:BF51)),"")=0,"",IFERROR(INDEX($A$9:$X$304,$AS52,COLUMNS($AV$9:BF51)),""))</f>
        <v/>
      </c>
      <c r="BG52" s="1" t="str">
        <f>IF(IFERROR(INDEX($A$9:$X$304,$AS52,COLUMNS($AV$9:BG51)),"")=0,"",IFERROR(INDEX($A$9:$X$304,$AS52,COLUMNS($AV$9:BG51)),""))</f>
        <v/>
      </c>
      <c r="BH52" s="1" t="str">
        <f>IF(IFERROR(INDEX($A$9:$X$304,$AS52,COLUMNS($AV$9:BH51)),"")=0,"",IFERROR(INDEX($A$9:$X$304,$AS52,COLUMNS($AV$9:BH51)),""))</f>
        <v/>
      </c>
      <c r="BI52" s="1" t="str">
        <f>IF(IFERROR(INDEX($A$9:$X$304,$AS52,COLUMNS($AV$9:BI51)),"")=0,"",IFERROR(INDEX($A$9:$X$304,$AS52,COLUMNS($AV$9:BI51)),""))</f>
        <v/>
      </c>
      <c r="BJ52" s="1" t="str">
        <f>IF(IFERROR(INDEX($A$9:$X$304,$AS52,COLUMNS($AV$9:BJ51)),"")=0,"",IFERROR(INDEX($A$9:$X$304,$AS52,COLUMNS($AV$9:BJ51)),""))</f>
        <v>HUMAN</v>
      </c>
      <c r="BK52" s="1" t="str">
        <f>IF(IFERROR(INDEX($A$9:$X$304,$AS52,COLUMNS($AV$9:BK51)),"")=0,"",IFERROR(INDEX($A$9:$X$304,$AS52,COLUMNS($AV$9:BK51)),""))</f>
        <v>Rare</v>
      </c>
      <c r="BL52" s="1" t="str">
        <f>IF(IFERROR(INDEX($A$9:$X$304,$AS52,COLUMNS($AV$9:BL51)),"")=0,"",IFERROR(INDEX($A$9:$X$304,$AS52,COLUMNS($AV$9:BL51)),""))</f>
        <v>L.Sean</v>
      </c>
      <c r="BM52" s="1" t="str">
        <f>IF(IFERROR(INDEX($A$9:$X$304,$AS52,COLUMNS($AV$9:BM51)),"")=0,"",IFERROR(INDEX($A$9:$X$304,$AS52,COLUMNS($AV$9:BM51)),""))</f>
        <v>Base Set</v>
      </c>
      <c r="BN52" s="3" t="b">
        <f>IF(IFERROR(INDEX($A$9:$X$304,$AS52,COLUMNS($AV$9:BN51)),"")=0,"",IFERROR(INDEX($A$9:$X$304,$AS52,COLUMNS($AV$9:BN51)),""))</f>
        <v>0</v>
      </c>
      <c r="BO52" s="3" t="b">
        <f>IF(IFERROR(INDEX($A$9:$X$304,$AS52,COLUMNS($AV$9:BO51)),"")=0,"",IFERROR(INDEX($A$9:$X$304,$AS52,COLUMNS($AV$9:BO51)),""))</f>
        <v>0</v>
      </c>
      <c r="BP52" s="3" t="b">
        <f>IF(IFERROR(INDEX($A$9:$X$304,$AS52,COLUMNS($AV$9:BP51)),"")=0,"",IFERROR(INDEX($A$9:$X$304,$AS52,COLUMNS($AV$9:BP51)),""))</f>
        <v>0</v>
      </c>
      <c r="BQ52" s="3" t="b">
        <f>IF(IFERROR(INDEX($A$9:$X$304,$AS52,COLUMNS($AV$9:BQ51)),"")=0,"",IFERROR(INDEX($A$9:$X$304,$AS52,COLUMNS($AV$9:BQ51)),""))</f>
        <v>0</v>
      </c>
      <c r="BR52" s="3" t="str">
        <f>IF(IFERROR(INDEX($A$9:$X$304,$AS52,COLUMNS($AV$9:BR51)),"")=0,"",IFERROR(INDEX($A$9:$X$304,$AS52,COLUMNS($AV$9:BR51)),""))</f>
        <v>http://www.epiccardgame.com/wp-content/uploads/2015/09/courageous_soul-215x300.jpg</v>
      </c>
      <c r="BS52" s="3" t="str">
        <f>IF(IFERROR(INDEX($A$9:$X$304,$AS52,COLUMNS($AV$9:BS51)),"")=0,"",IFERROR(INDEX($A$9:$X$304,$AS52,COLUMNS($AV$9:BS51)),""))</f>
        <v/>
      </c>
      <c r="BT52" s="3"/>
      <c r="BU52" s="15"/>
      <c r="BV52" t="s">
        <v>73</v>
      </c>
    </row>
    <row r="53" spans="1:74" ht="225.2" customHeight="1" x14ac:dyDescent="0.25">
      <c r="A53" t="s">
        <v>370</v>
      </c>
      <c r="B53">
        <v>1</v>
      </c>
      <c r="C53" t="s">
        <v>616</v>
      </c>
      <c r="E53" t="s">
        <v>620</v>
      </c>
      <c r="F53">
        <v>7</v>
      </c>
      <c r="G53">
        <v>4</v>
      </c>
      <c r="H53" t="s">
        <v>649</v>
      </c>
      <c r="I53" t="s">
        <v>799</v>
      </c>
      <c r="O53" t="s">
        <v>1075</v>
      </c>
      <c r="P53" t="s">
        <v>1112</v>
      </c>
      <c r="Q53" t="s">
        <v>1124</v>
      </c>
      <c r="R53" t="s">
        <v>1171</v>
      </c>
      <c r="S53" t="b">
        <v>1</v>
      </c>
      <c r="T53" t="b">
        <v>0</v>
      </c>
      <c r="U53" t="b">
        <v>0</v>
      </c>
      <c r="V53" t="b">
        <v>0</v>
      </c>
      <c r="W53" s="2" t="s">
        <v>1228</v>
      </c>
      <c r="X53" s="2"/>
      <c r="Y53" s="24">
        <v>45</v>
      </c>
      <c r="Z53">
        <f t="shared" si="0"/>
        <v>45</v>
      </c>
      <c r="AA53">
        <f t="shared" si="1"/>
        <v>45</v>
      </c>
      <c r="AB53">
        <f t="shared" si="2"/>
        <v>45</v>
      </c>
      <c r="AC53">
        <f t="shared" si="3"/>
        <v>0</v>
      </c>
      <c r="AD53">
        <f t="shared" si="4"/>
        <v>45</v>
      </c>
      <c r="AE53">
        <f t="shared" si="5"/>
        <v>45</v>
      </c>
      <c r="AF53">
        <f t="shared" si="6"/>
        <v>45</v>
      </c>
      <c r="AG53">
        <f t="shared" si="7"/>
        <v>45</v>
      </c>
      <c r="AH53">
        <f t="shared" si="8"/>
        <v>45</v>
      </c>
      <c r="AI53">
        <f t="shared" si="9"/>
        <v>0</v>
      </c>
      <c r="AJ53">
        <f t="shared" si="10"/>
        <v>0</v>
      </c>
      <c r="AK53">
        <f t="shared" si="11"/>
        <v>0</v>
      </c>
      <c r="AL53">
        <f t="shared" si="12"/>
        <v>0</v>
      </c>
      <c r="AM53">
        <f t="shared" si="13"/>
        <v>0</v>
      </c>
      <c r="AN53">
        <f t="shared" si="14"/>
        <v>45</v>
      </c>
      <c r="AO53">
        <f t="shared" si="15"/>
        <v>45</v>
      </c>
      <c r="AP53">
        <f t="shared" si="16"/>
        <v>45</v>
      </c>
      <c r="AQ53">
        <f t="shared" si="17"/>
        <v>45</v>
      </c>
      <c r="AR53" s="6">
        <f t="shared" si="18"/>
        <v>45</v>
      </c>
      <c r="AS53">
        <f t="shared" si="19"/>
        <v>45</v>
      </c>
      <c r="AV53" s="1" t="str">
        <f>IF(IFERROR(INDEX($A$9:$W$304,$AS53,COLUMNS($AV$9:AV52)),"")=0,"",IFERROR(INDEX($A$9:$W$304,$AS53,COLUMNS($AV$9:AV52)),""))</f>
        <v>Crystal Golem</v>
      </c>
      <c r="AW53" s="1">
        <f>IFERROR(INDEX($A$9:$W$304,$AS53,COLUMNS($AV$9:AW52)),"")</f>
        <v>1</v>
      </c>
      <c r="AX53" s="1" t="str">
        <f>IF(IFERROR(INDEX($A$9:$X$304,$AS53,COLUMNS($AV$9:AX52)),"")=0,"",IFERROR(INDEX($A$9:$X$304,$AS53,COLUMNS($AV$9:AX52)),""))</f>
        <v>SAGE</v>
      </c>
      <c r="AY53" s="1" t="str">
        <f>IF(IFERROR(INDEX($A$9:$X$304,$AS53,COLUMNS($AV$9:AY52)),"")=0,"",IFERROR(INDEX($A$9:$X$304,$AS53,COLUMNS($AV$9:AY52)),""))</f>
        <v/>
      </c>
      <c r="AZ53" s="1" t="str">
        <f>IF(IFERROR(INDEX($A$9:$X$304,$AS53,COLUMNS($AV$9:AZ52)),"")=0,"",IFERROR(INDEX($A$9:$X$304,$AS53,COLUMNS($AV$9:AZ52)),""))</f>
        <v>CHAMPION</v>
      </c>
      <c r="BA53" s="1">
        <f>IF(IFERROR(INDEX($A$9:$X$304,$AS53,COLUMNS($AV$9:BA52)),"")=0,"",IFERROR(INDEX($A$9:$X$304,$AS53,COLUMNS($AV$9:BA52)),""))</f>
        <v>7</v>
      </c>
      <c r="BB53" s="1">
        <f>IF(IFERROR(INDEX($A$9:$X$304,$AS53,COLUMNS($AV$9:BB52)),"")=0,"",IFERROR(INDEX($A$9:$X$304,$AS53,COLUMNS($AV$9:BB52)),""))</f>
        <v>4</v>
      </c>
      <c r="BC53" s="1" t="str">
        <f>IF(IFERROR(INDEX($A$9:$X$304,$AS53,COLUMNS($AV$9:BC52)),"")=0,"",IFERROR(INDEX($A$9:$X$304,$AS53,COLUMNS($AV$9:BC52)),""))</f>
        <v>Ambush ◆ Untargetable</v>
      </c>
      <c r="BD53" s="1" t="str">
        <f>IF(IFERROR(INDEX($A$9:$X$304,$AS53,COLUMNS($AV$9:BD52)),"")=0,"",IFERROR(INDEX($A$9:$X$304,$AS53,COLUMNS($AV$9:BD52)),""))</f>
        <v>Break this card: Draw two cards.</v>
      </c>
      <c r="BE53" s="1" t="str">
        <f>IF(IFERROR(INDEX($A$9:$X$304,$AS53,COLUMNS($AV$9:BE52)),"")=0,"",IFERROR(INDEX($A$9:$X$304,$AS53,COLUMNS($AV$9:BE52)),""))</f>
        <v/>
      </c>
      <c r="BF53" s="1" t="str">
        <f>IF(IFERROR(INDEX($A$9:$X$304,$AS53,COLUMNS($AV$9:BF52)),"")=0,"",IFERROR(INDEX($A$9:$X$304,$AS53,COLUMNS($AV$9:BF52)),""))</f>
        <v/>
      </c>
      <c r="BG53" s="1" t="str">
        <f>IF(IFERROR(INDEX($A$9:$X$304,$AS53,COLUMNS($AV$9:BG52)),"")=0,"",IFERROR(INDEX($A$9:$X$304,$AS53,COLUMNS($AV$9:BG52)),""))</f>
        <v/>
      </c>
      <c r="BH53" s="1" t="str">
        <f>IF(IFERROR(INDEX($A$9:$X$304,$AS53,COLUMNS($AV$9:BH52)),"")=0,"",IFERROR(INDEX($A$9:$X$304,$AS53,COLUMNS($AV$9:BH52)),""))</f>
        <v/>
      </c>
      <c r="BI53" s="1" t="str">
        <f>IF(IFERROR(INDEX($A$9:$X$304,$AS53,COLUMNS($AV$9:BI52)),"")=0,"",IFERROR(INDEX($A$9:$X$304,$AS53,COLUMNS($AV$9:BI52)),""))</f>
        <v/>
      </c>
      <c r="BJ53" s="1" t="str">
        <f>IF(IFERROR(INDEX($A$9:$X$304,$AS53,COLUMNS($AV$9:BJ52)),"")=0,"",IFERROR(INDEX($A$9:$X$304,$AS53,COLUMNS($AV$9:BJ52)),""))</f>
        <v>CONSTRUCT</v>
      </c>
      <c r="BK53" s="1" t="str">
        <f>IF(IFERROR(INDEX($A$9:$X$304,$AS53,COLUMNS($AV$9:BK52)),"")=0,"",IFERROR(INDEX($A$9:$X$304,$AS53,COLUMNS($AV$9:BK52)),""))</f>
        <v>Common</v>
      </c>
      <c r="BL53" s="1" t="str">
        <f>IF(IFERROR(INDEX($A$9:$X$304,$AS53,COLUMNS($AV$9:BL52)),"")=0,"",IFERROR(INDEX($A$9:$X$304,$AS53,COLUMNS($AV$9:BL52)),""))</f>
        <v>Souveraine</v>
      </c>
      <c r="BM53" s="1" t="str">
        <f>IF(IFERROR(INDEX($A$9:$X$304,$AS53,COLUMNS($AV$9:BM52)),"")=0,"",IFERROR(INDEX($A$9:$X$304,$AS53,COLUMNS($AV$9:BM52)),""))</f>
        <v>Base Set</v>
      </c>
      <c r="BN53" s="3" t="b">
        <f>IF(IFERROR(INDEX($A$9:$X$304,$AS53,COLUMNS($AV$9:BN52)),"")=0,"",IFERROR(INDEX($A$9:$X$304,$AS53,COLUMNS($AV$9:BN52)),""))</f>
        <v>1</v>
      </c>
      <c r="BO53" s="3" t="b">
        <f>IF(IFERROR(INDEX($A$9:$X$304,$AS53,COLUMNS($AV$9:BO52)),"")=0,"",IFERROR(INDEX($A$9:$X$304,$AS53,COLUMNS($AV$9:BO52)),""))</f>
        <v>0</v>
      </c>
      <c r="BP53" s="3" t="b">
        <f>IF(IFERROR(INDEX($A$9:$X$304,$AS53,COLUMNS($AV$9:BP52)),"")=0,"",IFERROR(INDEX($A$9:$X$304,$AS53,COLUMNS($AV$9:BP52)),""))</f>
        <v>0</v>
      </c>
      <c r="BQ53" s="3" t="b">
        <f>IF(IFERROR(INDEX($A$9:$X$304,$AS53,COLUMNS($AV$9:BQ52)),"")=0,"",IFERROR(INDEX($A$9:$X$304,$AS53,COLUMNS($AV$9:BQ52)),""))</f>
        <v>0</v>
      </c>
      <c r="BR53" s="3" t="str">
        <f>IF(IFERROR(INDEX($A$9:$X$304,$AS53,COLUMNS($AV$9:BR52)),"")=0,"",IFERROR(INDEX($A$9:$X$304,$AS53,COLUMNS($AV$9:BR52)),""))</f>
        <v>http://www.epiccardgame.com/wp-content/uploads/2015/09/crystal_golem-215x300.jpg</v>
      </c>
      <c r="BS53" s="3" t="str">
        <f>IF(IFERROR(INDEX($A$9:$X$304,$AS53,COLUMNS($AV$9:BS52)),"")=0,"",IFERROR(INDEX($A$9:$X$304,$AS53,COLUMNS($AV$9:BS52)),""))</f>
        <v/>
      </c>
      <c r="BT53" s="3"/>
      <c r="BU53" s="15"/>
      <c r="BV53" t="s">
        <v>74</v>
      </c>
    </row>
    <row r="54" spans="1:74" ht="225.2" customHeight="1" x14ac:dyDescent="0.25">
      <c r="A54" t="s">
        <v>371</v>
      </c>
      <c r="B54">
        <v>1</v>
      </c>
      <c r="C54" t="s">
        <v>618</v>
      </c>
      <c r="E54" t="s">
        <v>620</v>
      </c>
      <c r="F54">
        <v>7</v>
      </c>
      <c r="G54">
        <v>2</v>
      </c>
      <c r="H54" t="s">
        <v>650</v>
      </c>
      <c r="I54" t="s">
        <v>800</v>
      </c>
      <c r="O54" t="s">
        <v>1063</v>
      </c>
      <c r="P54" t="s">
        <v>1112</v>
      </c>
      <c r="Q54" t="s">
        <v>1118</v>
      </c>
      <c r="R54" t="s">
        <v>1171</v>
      </c>
      <c r="S54" t="b">
        <v>1</v>
      </c>
      <c r="T54" t="b">
        <v>0</v>
      </c>
      <c r="U54" t="b">
        <v>0</v>
      </c>
      <c r="V54" t="b">
        <v>0</v>
      </c>
      <c r="W54" s="2" t="s">
        <v>1229</v>
      </c>
      <c r="X54" s="2"/>
      <c r="Y54" s="24">
        <v>46</v>
      </c>
      <c r="Z54">
        <f t="shared" si="0"/>
        <v>46</v>
      </c>
      <c r="AA54">
        <f t="shared" si="1"/>
        <v>46</v>
      </c>
      <c r="AB54">
        <f t="shared" si="2"/>
        <v>46</v>
      </c>
      <c r="AC54">
        <f t="shared" si="3"/>
        <v>0</v>
      </c>
      <c r="AD54">
        <f t="shared" si="4"/>
        <v>46</v>
      </c>
      <c r="AE54">
        <f t="shared" si="5"/>
        <v>46</v>
      </c>
      <c r="AF54">
        <f t="shared" si="6"/>
        <v>46</v>
      </c>
      <c r="AG54">
        <f t="shared" si="7"/>
        <v>46</v>
      </c>
      <c r="AH54">
        <f t="shared" si="8"/>
        <v>46</v>
      </c>
      <c r="AI54">
        <f t="shared" si="9"/>
        <v>0</v>
      </c>
      <c r="AJ54">
        <f t="shared" si="10"/>
        <v>0</v>
      </c>
      <c r="AK54">
        <f t="shared" si="11"/>
        <v>0</v>
      </c>
      <c r="AL54">
        <f t="shared" si="12"/>
        <v>0</v>
      </c>
      <c r="AM54">
        <f t="shared" si="13"/>
        <v>0</v>
      </c>
      <c r="AN54">
        <f t="shared" si="14"/>
        <v>46</v>
      </c>
      <c r="AO54">
        <f t="shared" si="15"/>
        <v>46</v>
      </c>
      <c r="AP54">
        <f t="shared" si="16"/>
        <v>46</v>
      </c>
      <c r="AQ54">
        <f t="shared" si="17"/>
        <v>46</v>
      </c>
      <c r="AR54" s="6">
        <f t="shared" si="18"/>
        <v>46</v>
      </c>
      <c r="AS54">
        <f t="shared" si="19"/>
        <v>46</v>
      </c>
      <c r="AV54" s="1" t="str">
        <f>IF(IFERROR(INDEX($A$9:$W$304,$AS54,COLUMNS($AV$9:AV53)),"")=0,"",IFERROR(INDEX($A$9:$W$304,$AS54,COLUMNS($AV$9:AV53)),""))</f>
        <v>Dark Assassin</v>
      </c>
      <c r="AW54" s="1">
        <f>IFERROR(INDEX($A$9:$W$304,$AS54,COLUMNS($AV$9:AW53)),"")</f>
        <v>1</v>
      </c>
      <c r="AX54" s="1" t="str">
        <f>IF(IFERROR(INDEX($A$9:$X$304,$AS54,COLUMNS($AV$9:AX53)),"")=0,"",IFERROR(INDEX($A$9:$X$304,$AS54,COLUMNS($AV$9:AX53)),""))</f>
        <v>EVIL</v>
      </c>
      <c r="AY54" s="1" t="str">
        <f>IF(IFERROR(INDEX($A$9:$X$304,$AS54,COLUMNS($AV$9:AY53)),"")=0,"",IFERROR(INDEX($A$9:$X$304,$AS54,COLUMNS($AV$9:AY53)),""))</f>
        <v/>
      </c>
      <c r="AZ54" s="1" t="str">
        <f>IF(IFERROR(INDEX($A$9:$X$304,$AS54,COLUMNS($AV$9:AZ53)),"")=0,"",IFERROR(INDEX($A$9:$X$304,$AS54,COLUMNS($AV$9:AZ53)),""))</f>
        <v>CHAMPION</v>
      </c>
      <c r="BA54" s="1">
        <f>IF(IFERROR(INDEX($A$9:$X$304,$AS54,COLUMNS($AV$9:BA53)),"")=0,"",IFERROR(INDEX($A$9:$X$304,$AS54,COLUMNS($AV$9:BA53)),""))</f>
        <v>7</v>
      </c>
      <c r="BB54" s="1">
        <f>IF(IFERROR(INDEX($A$9:$X$304,$AS54,COLUMNS($AV$9:BB53)),"")=0,"",IFERROR(INDEX($A$9:$X$304,$AS54,COLUMNS($AV$9:BB53)),""))</f>
        <v>2</v>
      </c>
      <c r="BC54" s="1" t="str">
        <f>IF(IFERROR(INDEX($A$9:$X$304,$AS54,COLUMNS($AV$9:BC53)),"")=0,"",IFERROR(INDEX($A$9:$X$304,$AS54,COLUMNS($AV$9:BC53)),""))</f>
        <v>Loyalty 2 → Blitz</v>
      </c>
      <c r="BD54" s="1" t="str">
        <f>IF(IFERROR(INDEX($A$9:$X$304,$AS54,COLUMNS($AV$9:BD53)),"")=0,"",IFERROR(INDEX($A$9:$X$304,$AS54,COLUMNS($AV$9:BD53)),""))</f>
        <v>{expend}: Break target champion.</v>
      </c>
      <c r="BE54" s="1" t="str">
        <f>IF(IFERROR(INDEX($A$9:$X$304,$AS54,COLUMNS($AV$9:BE53)),"")=0,"",IFERROR(INDEX($A$9:$X$304,$AS54,COLUMNS($AV$9:BE53)),""))</f>
        <v/>
      </c>
      <c r="BF54" s="1" t="str">
        <f>IF(IFERROR(INDEX($A$9:$X$304,$AS54,COLUMNS($AV$9:BF53)),"")=0,"",IFERROR(INDEX($A$9:$X$304,$AS54,COLUMNS($AV$9:BF53)),""))</f>
        <v/>
      </c>
      <c r="BG54" s="1" t="str">
        <f>IF(IFERROR(INDEX($A$9:$X$304,$AS54,COLUMNS($AV$9:BG53)),"")=0,"",IFERROR(INDEX($A$9:$X$304,$AS54,COLUMNS($AV$9:BG53)),""))</f>
        <v/>
      </c>
      <c r="BH54" s="1" t="str">
        <f>IF(IFERROR(INDEX($A$9:$X$304,$AS54,COLUMNS($AV$9:BH53)),"")=0,"",IFERROR(INDEX($A$9:$X$304,$AS54,COLUMNS($AV$9:BH53)),""))</f>
        <v/>
      </c>
      <c r="BI54" s="1" t="str">
        <f>IF(IFERROR(INDEX($A$9:$X$304,$AS54,COLUMNS($AV$9:BI53)),"")=0,"",IFERROR(INDEX($A$9:$X$304,$AS54,COLUMNS($AV$9:BI53)),""))</f>
        <v/>
      </c>
      <c r="BJ54" s="1" t="str">
        <f>IF(IFERROR(INDEX($A$9:$X$304,$AS54,COLUMNS($AV$9:BJ53)),"")=0,"",IFERROR(INDEX($A$9:$X$304,$AS54,COLUMNS($AV$9:BJ53)),""))</f>
        <v>HUMAN</v>
      </c>
      <c r="BK54" s="1" t="str">
        <f>IF(IFERROR(INDEX($A$9:$X$304,$AS54,COLUMNS($AV$9:BK53)),"")=0,"",IFERROR(INDEX($A$9:$X$304,$AS54,COLUMNS($AV$9:BK53)),""))</f>
        <v>Common</v>
      </c>
      <c r="BL54" s="1" t="str">
        <f>IF(IFERROR(INDEX($A$9:$X$304,$AS54,COLUMNS($AV$9:BL53)),"")=0,"",IFERROR(INDEX($A$9:$X$304,$AS54,COLUMNS($AV$9:BL53)),""))</f>
        <v>L.Sean</v>
      </c>
      <c r="BM54" s="1" t="str">
        <f>IF(IFERROR(INDEX($A$9:$X$304,$AS54,COLUMNS($AV$9:BM53)),"")=0,"",IFERROR(INDEX($A$9:$X$304,$AS54,COLUMNS($AV$9:BM53)),""))</f>
        <v>Base Set</v>
      </c>
      <c r="BN54" s="3" t="b">
        <f>IF(IFERROR(INDEX($A$9:$X$304,$AS54,COLUMNS($AV$9:BN53)),"")=0,"",IFERROR(INDEX($A$9:$X$304,$AS54,COLUMNS($AV$9:BN53)),""))</f>
        <v>1</v>
      </c>
      <c r="BO54" s="3" t="b">
        <f>IF(IFERROR(INDEX($A$9:$X$304,$AS54,COLUMNS($AV$9:BO53)),"")=0,"",IFERROR(INDEX($A$9:$X$304,$AS54,COLUMNS($AV$9:BO53)),""))</f>
        <v>0</v>
      </c>
      <c r="BP54" s="3" t="b">
        <f>IF(IFERROR(INDEX($A$9:$X$304,$AS54,COLUMNS($AV$9:BP53)),"")=0,"",IFERROR(INDEX($A$9:$X$304,$AS54,COLUMNS($AV$9:BP53)),""))</f>
        <v>0</v>
      </c>
      <c r="BQ54" s="3" t="b">
        <f>IF(IFERROR(INDEX($A$9:$X$304,$AS54,COLUMNS($AV$9:BQ53)),"")=0,"",IFERROR(INDEX($A$9:$X$304,$AS54,COLUMNS($AV$9:BQ53)),""))</f>
        <v>0</v>
      </c>
      <c r="BR54" s="3" t="str">
        <f>IF(IFERROR(INDEX($A$9:$X$304,$AS54,COLUMNS($AV$9:BR53)),"")=0,"",IFERROR(INDEX($A$9:$X$304,$AS54,COLUMNS($AV$9:BR53)),""))</f>
        <v>http://www.epiccardgame.com/wp-content/uploads/2015/09/dark_assassin-215x300.jpg</v>
      </c>
      <c r="BS54" s="3" t="str">
        <f>IF(IFERROR(INDEX($A$9:$X$304,$AS54,COLUMNS($AV$9:BS53)),"")=0,"",IFERROR(INDEX($A$9:$X$304,$AS54,COLUMNS($AV$9:BS53)),""))</f>
        <v/>
      </c>
      <c r="BT54" s="3"/>
      <c r="BU54" s="15"/>
      <c r="BV54" t="s">
        <v>75</v>
      </c>
    </row>
    <row r="55" spans="1:74" ht="225" customHeight="1" x14ac:dyDescent="0.25">
      <c r="A55" t="s">
        <v>372</v>
      </c>
      <c r="B55">
        <v>0</v>
      </c>
      <c r="C55" t="s">
        <v>618</v>
      </c>
      <c r="E55" t="s">
        <v>620</v>
      </c>
      <c r="F55">
        <v>5</v>
      </c>
      <c r="G55">
        <v>2</v>
      </c>
      <c r="H55" t="s">
        <v>638</v>
      </c>
      <c r="I55" t="s">
        <v>801</v>
      </c>
      <c r="O55" t="s">
        <v>1076</v>
      </c>
      <c r="P55" t="s">
        <v>1112</v>
      </c>
      <c r="Q55" t="s">
        <v>1117</v>
      </c>
      <c r="R55" t="s">
        <v>1171</v>
      </c>
      <c r="S55" t="b">
        <v>0</v>
      </c>
      <c r="T55" t="b">
        <v>0</v>
      </c>
      <c r="U55" t="b">
        <v>0</v>
      </c>
      <c r="V55" t="b">
        <v>0</v>
      </c>
      <c r="W55" s="2" t="s">
        <v>1230</v>
      </c>
      <c r="X55" s="2"/>
      <c r="Y55" s="24">
        <v>47</v>
      </c>
      <c r="Z55">
        <f t="shared" si="0"/>
        <v>47</v>
      </c>
      <c r="AA55">
        <f t="shared" si="1"/>
        <v>47</v>
      </c>
      <c r="AB55">
        <f t="shared" si="2"/>
        <v>47</v>
      </c>
      <c r="AC55">
        <f t="shared" si="3"/>
        <v>0</v>
      </c>
      <c r="AD55">
        <f t="shared" si="4"/>
        <v>47</v>
      </c>
      <c r="AE55">
        <f t="shared" si="5"/>
        <v>47</v>
      </c>
      <c r="AF55">
        <f t="shared" si="6"/>
        <v>47</v>
      </c>
      <c r="AG55">
        <f t="shared" si="7"/>
        <v>47</v>
      </c>
      <c r="AH55">
        <f t="shared" si="8"/>
        <v>47</v>
      </c>
      <c r="AI55">
        <f t="shared" si="9"/>
        <v>0</v>
      </c>
      <c r="AJ55">
        <f t="shared" si="10"/>
        <v>0</v>
      </c>
      <c r="AK55">
        <f t="shared" si="11"/>
        <v>0</v>
      </c>
      <c r="AL55">
        <f t="shared" si="12"/>
        <v>0</v>
      </c>
      <c r="AM55">
        <f t="shared" si="13"/>
        <v>0</v>
      </c>
      <c r="AN55">
        <f t="shared" si="14"/>
        <v>47</v>
      </c>
      <c r="AO55">
        <f t="shared" si="15"/>
        <v>47</v>
      </c>
      <c r="AP55">
        <f t="shared" si="16"/>
        <v>47</v>
      </c>
      <c r="AQ55">
        <f t="shared" si="17"/>
        <v>47</v>
      </c>
      <c r="AR55" s="6">
        <f t="shared" si="18"/>
        <v>47</v>
      </c>
      <c r="AS55">
        <f t="shared" si="19"/>
        <v>47</v>
      </c>
      <c r="AV55" s="1" t="str">
        <f>IF(IFERROR(INDEX($A$9:$W$304,$AS55,COLUMNS($AV$9:AV54)),"")=0,"",IFERROR(INDEX($A$9:$W$304,$AS55,COLUMNS($AV$9:AV54)),""))</f>
        <v>Dark Knight</v>
      </c>
      <c r="AW55" s="1">
        <f>IFERROR(INDEX($A$9:$W$304,$AS55,COLUMNS($AV$9:AW54)),"")</f>
        <v>0</v>
      </c>
      <c r="AX55" s="1" t="str">
        <f>IF(IFERROR(INDEX($A$9:$X$304,$AS55,COLUMNS($AV$9:AX54)),"")=0,"",IFERROR(INDEX($A$9:$X$304,$AS55,COLUMNS($AV$9:AX54)),""))</f>
        <v>EVIL</v>
      </c>
      <c r="AY55" s="1" t="str">
        <f>IF(IFERROR(INDEX($A$9:$X$304,$AS55,COLUMNS($AV$9:AY54)),"")=0,"",IFERROR(INDEX($A$9:$X$304,$AS55,COLUMNS($AV$9:AY54)),""))</f>
        <v/>
      </c>
      <c r="AZ55" s="1" t="str">
        <f>IF(IFERROR(INDEX($A$9:$X$304,$AS55,COLUMNS($AV$9:AZ54)),"")=0,"",IFERROR(INDEX($A$9:$X$304,$AS55,COLUMNS($AV$9:AZ54)),""))</f>
        <v>CHAMPION</v>
      </c>
      <c r="BA55" s="1">
        <f>IF(IFERROR(INDEX($A$9:$X$304,$AS55,COLUMNS($AV$9:BA54)),"")=0,"",IFERROR(INDEX($A$9:$X$304,$AS55,COLUMNS($AV$9:BA54)),""))</f>
        <v>5</v>
      </c>
      <c r="BB55" s="1">
        <f>IF(IFERROR(INDEX($A$9:$X$304,$AS55,COLUMNS($AV$9:BB54)),"")=0,"",IFERROR(INDEX($A$9:$X$304,$AS55,COLUMNS($AV$9:BB54)),""))</f>
        <v>2</v>
      </c>
      <c r="BC55" s="1" t="str">
        <f>IF(IFERROR(INDEX($A$9:$X$304,$AS55,COLUMNS($AV$9:BC54)),"")=0,"",IFERROR(INDEX($A$9:$X$304,$AS55,COLUMNS($AV$9:BC54)),""))</f>
        <v>Ambush ◆ Blitz</v>
      </c>
      <c r="BD55" s="1" t="str">
        <f>IF(IFERROR(INDEX($A$9:$X$304,$AS55,COLUMNS($AV$9:BD54)),"")=0,"",IFERROR(INDEX($A$9:$X$304,$AS55,COLUMNS($AV$9:BD54)),""))</f>
        <v>Unbreakable on your turn.</v>
      </c>
      <c r="BE55" s="1" t="str">
        <f>IF(IFERROR(INDEX($A$9:$X$304,$AS55,COLUMNS($AV$9:BE54)),"")=0,"",IFERROR(INDEX($A$9:$X$304,$AS55,COLUMNS($AV$9:BE54)),""))</f>
        <v/>
      </c>
      <c r="BF55" s="1" t="str">
        <f>IF(IFERROR(INDEX($A$9:$X$304,$AS55,COLUMNS($AV$9:BF54)),"")=0,"",IFERROR(INDEX($A$9:$X$304,$AS55,COLUMNS($AV$9:BF54)),""))</f>
        <v/>
      </c>
      <c r="BG55" s="1" t="str">
        <f>IF(IFERROR(INDEX($A$9:$X$304,$AS55,COLUMNS($AV$9:BG54)),"")=0,"",IFERROR(INDEX($A$9:$X$304,$AS55,COLUMNS($AV$9:BG54)),""))</f>
        <v/>
      </c>
      <c r="BH55" s="1" t="str">
        <f>IF(IFERROR(INDEX($A$9:$X$304,$AS55,COLUMNS($AV$9:BH54)),"")=0,"",IFERROR(INDEX($A$9:$X$304,$AS55,COLUMNS($AV$9:BH54)),""))</f>
        <v/>
      </c>
      <c r="BI55" s="1" t="str">
        <f>IF(IFERROR(INDEX($A$9:$X$304,$AS55,COLUMNS($AV$9:BI54)),"")=0,"",IFERROR(INDEX($A$9:$X$304,$AS55,COLUMNS($AV$9:BI54)),""))</f>
        <v/>
      </c>
      <c r="BJ55" s="1" t="str">
        <f>IF(IFERROR(INDEX($A$9:$X$304,$AS55,COLUMNS($AV$9:BJ54)),"")=0,"",IFERROR(INDEX($A$9:$X$304,$AS55,COLUMNS($AV$9:BJ54)),""))</f>
        <v>VAMPIRE KNIGHT</v>
      </c>
      <c r="BK55" s="1" t="str">
        <f>IF(IFERROR(INDEX($A$9:$X$304,$AS55,COLUMNS($AV$9:BK54)),"")=0,"",IFERROR(INDEX($A$9:$X$304,$AS55,COLUMNS($AV$9:BK54)),""))</f>
        <v>Common</v>
      </c>
      <c r="BL55" s="1" t="str">
        <f>IF(IFERROR(INDEX($A$9:$X$304,$AS55,COLUMNS($AV$9:BL54)),"")=0,"",IFERROR(INDEX($A$9:$X$304,$AS55,COLUMNS($AV$9:BL54)),""))</f>
        <v>Antonis Papantoniou</v>
      </c>
      <c r="BM55" s="1" t="str">
        <f>IF(IFERROR(INDEX($A$9:$X$304,$AS55,COLUMNS($AV$9:BM54)),"")=0,"",IFERROR(INDEX($A$9:$X$304,$AS55,COLUMNS($AV$9:BM54)),""))</f>
        <v>Base Set</v>
      </c>
      <c r="BN55" s="3" t="b">
        <f>IF(IFERROR(INDEX($A$9:$X$304,$AS55,COLUMNS($AV$9:BN54)),"")=0,"",IFERROR(INDEX($A$9:$X$304,$AS55,COLUMNS($AV$9:BN54)),""))</f>
        <v>0</v>
      </c>
      <c r="BO55" s="3" t="b">
        <f>IF(IFERROR(INDEX($A$9:$X$304,$AS55,COLUMNS($AV$9:BO54)),"")=0,"",IFERROR(INDEX($A$9:$X$304,$AS55,COLUMNS($AV$9:BO54)),""))</f>
        <v>0</v>
      </c>
      <c r="BP55" s="3" t="b">
        <f>IF(IFERROR(INDEX($A$9:$X$304,$AS55,COLUMNS($AV$9:BP54)),"")=0,"",IFERROR(INDEX($A$9:$X$304,$AS55,COLUMNS($AV$9:BP54)),""))</f>
        <v>0</v>
      </c>
      <c r="BQ55" s="3" t="b">
        <f>IF(IFERROR(INDEX($A$9:$X$304,$AS55,COLUMNS($AV$9:BQ54)),"")=0,"",IFERROR(INDEX($A$9:$X$304,$AS55,COLUMNS($AV$9:BQ54)),""))</f>
        <v>0</v>
      </c>
      <c r="BR55" s="3" t="str">
        <f>IF(IFERROR(INDEX($A$9:$X$304,$AS55,COLUMNS($AV$9:BR54)),"")=0,"",IFERROR(INDEX($A$9:$X$304,$AS55,COLUMNS($AV$9:BR54)),""))</f>
        <v>http://www.epiccardgame.com/wp-content/uploads/2015/09/dark_knight-215x300.jpg</v>
      </c>
      <c r="BS55" s="3" t="str">
        <f>IF(IFERROR(INDEX($A$9:$X$304,$AS55,COLUMNS($AV$9:BS54)),"")=0,"",IFERROR(INDEX($A$9:$X$304,$AS55,COLUMNS($AV$9:BS54)),""))</f>
        <v/>
      </c>
      <c r="BT55" s="3"/>
      <c r="BU55" s="15"/>
      <c r="BV55" t="s">
        <v>76</v>
      </c>
    </row>
    <row r="56" spans="1:74" ht="225.2" customHeight="1" x14ac:dyDescent="0.25">
      <c r="A56" t="s">
        <v>373</v>
      </c>
      <c r="B56">
        <v>1</v>
      </c>
      <c r="C56" t="s">
        <v>618</v>
      </c>
      <c r="E56" t="s">
        <v>620</v>
      </c>
      <c r="F56">
        <v>4</v>
      </c>
      <c r="G56">
        <v>4</v>
      </c>
      <c r="H56" t="s">
        <v>638</v>
      </c>
      <c r="I56" t="s">
        <v>802</v>
      </c>
      <c r="J56" t="s">
        <v>972</v>
      </c>
      <c r="O56" t="s">
        <v>1063</v>
      </c>
      <c r="P56" t="s">
        <v>1112</v>
      </c>
      <c r="Q56" t="s">
        <v>1116</v>
      </c>
      <c r="R56" t="s">
        <v>1171</v>
      </c>
      <c r="S56" t="b">
        <v>1</v>
      </c>
      <c r="T56" t="b">
        <v>0</v>
      </c>
      <c r="U56" t="b">
        <v>0</v>
      </c>
      <c r="V56" t="b">
        <v>0</v>
      </c>
      <c r="W56" s="2" t="s">
        <v>1231</v>
      </c>
      <c r="X56" s="2"/>
      <c r="Y56" s="24">
        <v>48</v>
      </c>
      <c r="Z56">
        <f t="shared" si="0"/>
        <v>48</v>
      </c>
      <c r="AA56">
        <f t="shared" si="1"/>
        <v>48</v>
      </c>
      <c r="AB56">
        <f t="shared" si="2"/>
        <v>48</v>
      </c>
      <c r="AC56">
        <f t="shared" si="3"/>
        <v>0</v>
      </c>
      <c r="AD56">
        <f t="shared" si="4"/>
        <v>48</v>
      </c>
      <c r="AE56">
        <f t="shared" si="5"/>
        <v>48</v>
      </c>
      <c r="AF56">
        <f t="shared" si="6"/>
        <v>48</v>
      </c>
      <c r="AG56">
        <f t="shared" si="7"/>
        <v>48</v>
      </c>
      <c r="AH56">
        <f t="shared" si="8"/>
        <v>48</v>
      </c>
      <c r="AI56">
        <f t="shared" si="9"/>
        <v>48</v>
      </c>
      <c r="AJ56">
        <f t="shared" si="10"/>
        <v>0</v>
      </c>
      <c r="AK56">
        <f t="shared" si="11"/>
        <v>0</v>
      </c>
      <c r="AL56">
        <f t="shared" si="12"/>
        <v>0</v>
      </c>
      <c r="AM56">
        <f t="shared" si="13"/>
        <v>0</v>
      </c>
      <c r="AN56">
        <f t="shared" si="14"/>
        <v>48</v>
      </c>
      <c r="AO56">
        <f t="shared" si="15"/>
        <v>48</v>
      </c>
      <c r="AP56">
        <f t="shared" si="16"/>
        <v>48</v>
      </c>
      <c r="AQ56">
        <f t="shared" si="17"/>
        <v>48</v>
      </c>
      <c r="AR56" s="6">
        <f t="shared" si="18"/>
        <v>48</v>
      </c>
      <c r="AS56">
        <f t="shared" si="19"/>
        <v>48</v>
      </c>
      <c r="AV56" s="1" t="str">
        <f>IF(IFERROR(INDEX($A$9:$W$304,$AS56,COLUMNS($AV$9:AV55)),"")=0,"",IFERROR(INDEX($A$9:$W$304,$AS56,COLUMNS($AV$9:AV55)),""))</f>
        <v>Dark Leader</v>
      </c>
      <c r="AW56" s="1">
        <f>IFERROR(INDEX($A$9:$W$304,$AS56,COLUMNS($AV$9:AW55)),"")</f>
        <v>1</v>
      </c>
      <c r="AX56" s="1" t="str">
        <f>IF(IFERROR(INDEX($A$9:$X$304,$AS56,COLUMNS($AV$9:AX55)),"")=0,"",IFERROR(INDEX($A$9:$X$304,$AS56,COLUMNS($AV$9:AX55)),""))</f>
        <v>EVIL</v>
      </c>
      <c r="AY56" s="1" t="str">
        <f>IF(IFERROR(INDEX($A$9:$X$304,$AS56,COLUMNS($AV$9:AY55)),"")=0,"",IFERROR(INDEX($A$9:$X$304,$AS56,COLUMNS($AV$9:AY55)),""))</f>
        <v/>
      </c>
      <c r="AZ56" s="1" t="str">
        <f>IF(IFERROR(INDEX($A$9:$X$304,$AS56,COLUMNS($AV$9:AZ55)),"")=0,"",IFERROR(INDEX($A$9:$X$304,$AS56,COLUMNS($AV$9:AZ55)),""))</f>
        <v>CHAMPION</v>
      </c>
      <c r="BA56" s="1">
        <f>IF(IFERROR(INDEX($A$9:$X$304,$AS56,COLUMNS($AV$9:BA55)),"")=0,"",IFERROR(INDEX($A$9:$X$304,$AS56,COLUMNS($AV$9:BA55)),""))</f>
        <v>4</v>
      </c>
      <c r="BB56" s="1">
        <f>IF(IFERROR(INDEX($A$9:$X$304,$AS56,COLUMNS($AV$9:BB55)),"")=0,"",IFERROR(INDEX($A$9:$X$304,$AS56,COLUMNS($AV$9:BB55)),""))</f>
        <v>4</v>
      </c>
      <c r="BC56" s="1" t="str">
        <f>IF(IFERROR(INDEX($A$9:$X$304,$AS56,COLUMNS($AV$9:BC55)),"")=0,"",IFERROR(INDEX($A$9:$X$304,$AS56,COLUMNS($AV$9:BC55)),""))</f>
        <v>Ambush ◆ Blitz</v>
      </c>
      <c r="BD56" s="1" t="str">
        <f>IF(IFERROR(INDEX($A$9:$X$304,$AS56,COLUMNS($AV$9:BD55)),"")=0,"",IFERROR(INDEX($A$9:$X$304,$AS56,COLUMNS($AV$9:BD55)),""))</f>
        <v>Your other human champions have +1 {offense} and are also evil.</v>
      </c>
      <c r="BE56" s="1" t="str">
        <f>IF(IFERROR(INDEX($A$9:$X$304,$AS56,COLUMNS($AV$9:BE55)),"")=0,"",IFERROR(INDEX($A$9:$X$304,$AS56,COLUMNS($AV$9:BE55)),""))</f>
        <v>{expend}: Put a human token into play.</v>
      </c>
      <c r="BF56" s="1" t="str">
        <f>IF(IFERROR(INDEX($A$9:$X$304,$AS56,COLUMNS($AV$9:BF55)),"")=0,"",IFERROR(INDEX($A$9:$X$304,$AS56,COLUMNS($AV$9:BF55)),""))</f>
        <v/>
      </c>
      <c r="BG56" s="1" t="str">
        <f>IF(IFERROR(INDEX($A$9:$X$304,$AS56,COLUMNS($AV$9:BG55)),"")=0,"",IFERROR(INDEX($A$9:$X$304,$AS56,COLUMNS($AV$9:BG55)),""))</f>
        <v/>
      </c>
      <c r="BH56" s="1" t="str">
        <f>IF(IFERROR(INDEX($A$9:$X$304,$AS56,COLUMNS($AV$9:BH55)),"")=0,"",IFERROR(INDEX($A$9:$X$304,$AS56,COLUMNS($AV$9:BH55)),""))</f>
        <v/>
      </c>
      <c r="BI56" s="1" t="str">
        <f>IF(IFERROR(INDEX($A$9:$X$304,$AS56,COLUMNS($AV$9:BI55)),"")=0,"",IFERROR(INDEX($A$9:$X$304,$AS56,COLUMNS($AV$9:BI55)),""))</f>
        <v/>
      </c>
      <c r="BJ56" s="1" t="str">
        <f>IF(IFERROR(INDEX($A$9:$X$304,$AS56,COLUMNS($AV$9:BJ55)),"")=0,"",IFERROR(INDEX($A$9:$X$304,$AS56,COLUMNS($AV$9:BJ55)),""))</f>
        <v>HUMAN</v>
      </c>
      <c r="BK56" s="1" t="str">
        <f>IF(IFERROR(INDEX($A$9:$X$304,$AS56,COLUMNS($AV$9:BK55)),"")=0,"",IFERROR(INDEX($A$9:$X$304,$AS56,COLUMNS($AV$9:BK55)),""))</f>
        <v>Common</v>
      </c>
      <c r="BL56" s="1" t="str">
        <f>IF(IFERROR(INDEX($A$9:$X$304,$AS56,COLUMNS($AV$9:BL55)),"")=0,"",IFERROR(INDEX($A$9:$X$304,$AS56,COLUMNS($AV$9:BL55)),""))</f>
        <v>Apsara</v>
      </c>
      <c r="BM56" s="1" t="str">
        <f>IF(IFERROR(INDEX($A$9:$X$304,$AS56,COLUMNS($AV$9:BM55)),"")=0,"",IFERROR(INDEX($A$9:$X$304,$AS56,COLUMNS($AV$9:BM55)),""))</f>
        <v>Base Set</v>
      </c>
      <c r="BN56" s="3" t="b">
        <f>IF(IFERROR(INDEX($A$9:$X$304,$AS56,COLUMNS($AV$9:BN55)),"")=0,"",IFERROR(INDEX($A$9:$X$304,$AS56,COLUMNS($AV$9:BN55)),""))</f>
        <v>1</v>
      </c>
      <c r="BO56" s="3" t="b">
        <f>IF(IFERROR(INDEX($A$9:$X$304,$AS56,COLUMNS($AV$9:BO55)),"")=0,"",IFERROR(INDEX($A$9:$X$304,$AS56,COLUMNS($AV$9:BO55)),""))</f>
        <v>0</v>
      </c>
      <c r="BP56" s="3" t="b">
        <f>IF(IFERROR(INDEX($A$9:$X$304,$AS56,COLUMNS($AV$9:BP55)),"")=0,"",IFERROR(INDEX($A$9:$X$304,$AS56,COLUMNS($AV$9:BP55)),""))</f>
        <v>0</v>
      </c>
      <c r="BQ56" s="3" t="b">
        <f>IF(IFERROR(INDEX($A$9:$X$304,$AS56,COLUMNS($AV$9:BQ55)),"")=0,"",IFERROR(INDEX($A$9:$X$304,$AS56,COLUMNS($AV$9:BQ55)),""))</f>
        <v>0</v>
      </c>
      <c r="BR56" s="3" t="str">
        <f>IF(IFERROR(INDEX($A$9:$X$304,$AS56,COLUMNS($AV$9:BR55)),"")=0,"",IFERROR(INDEX($A$9:$X$304,$AS56,COLUMNS($AV$9:BR55)),""))</f>
        <v>http://www.epiccardgame.com/wp-content/uploads/2015/09/dark_leader-215x300.jpg</v>
      </c>
      <c r="BS56" s="3" t="str">
        <f>IF(IFERROR(INDEX($A$9:$X$304,$AS56,COLUMNS($AV$9:BS55)),"")=0,"",IFERROR(INDEX($A$9:$X$304,$AS56,COLUMNS($AV$9:BS55)),""))</f>
        <v/>
      </c>
      <c r="BT56" s="3"/>
      <c r="BU56" s="15"/>
      <c r="BV56" t="s">
        <v>77</v>
      </c>
    </row>
    <row r="57" spans="1:74" ht="225.2" customHeight="1" x14ac:dyDescent="0.25">
      <c r="A57" t="s">
        <v>374</v>
      </c>
      <c r="B57">
        <v>1</v>
      </c>
      <c r="C57" t="s">
        <v>618</v>
      </c>
      <c r="E57" t="s">
        <v>619</v>
      </c>
      <c r="H57" t="s">
        <v>627</v>
      </c>
      <c r="I57" t="s">
        <v>803</v>
      </c>
      <c r="O57" t="s">
        <v>1062</v>
      </c>
      <c r="P57" t="s">
        <v>1112</v>
      </c>
      <c r="Q57" t="s">
        <v>1133</v>
      </c>
      <c r="R57" t="s">
        <v>1175</v>
      </c>
      <c r="S57" t="b">
        <v>1</v>
      </c>
      <c r="T57" t="b">
        <v>1</v>
      </c>
      <c r="U57" t="b">
        <v>0</v>
      </c>
      <c r="V57" t="b">
        <v>0</v>
      </c>
      <c r="W57" s="2" t="s">
        <v>1232</v>
      </c>
      <c r="X57" s="2"/>
      <c r="Y57" s="24">
        <v>49</v>
      </c>
      <c r="Z57">
        <f t="shared" si="0"/>
        <v>49</v>
      </c>
      <c r="AA57">
        <f t="shared" si="1"/>
        <v>49</v>
      </c>
      <c r="AB57">
        <f t="shared" si="2"/>
        <v>49</v>
      </c>
      <c r="AC57">
        <f t="shared" si="3"/>
        <v>0</v>
      </c>
      <c r="AD57">
        <f t="shared" si="4"/>
        <v>49</v>
      </c>
      <c r="AE57">
        <f t="shared" si="5"/>
        <v>0</v>
      </c>
      <c r="AF57">
        <f t="shared" si="6"/>
        <v>0</v>
      </c>
      <c r="AG57">
        <f t="shared" si="7"/>
        <v>49</v>
      </c>
      <c r="AH57">
        <f t="shared" si="8"/>
        <v>49</v>
      </c>
      <c r="AI57">
        <f t="shared" si="9"/>
        <v>0</v>
      </c>
      <c r="AJ57">
        <f t="shared" si="10"/>
        <v>0</v>
      </c>
      <c r="AK57">
        <f t="shared" si="11"/>
        <v>0</v>
      </c>
      <c r="AL57">
        <f t="shared" si="12"/>
        <v>0</v>
      </c>
      <c r="AM57">
        <f t="shared" si="13"/>
        <v>0</v>
      </c>
      <c r="AN57">
        <f t="shared" si="14"/>
        <v>49</v>
      </c>
      <c r="AO57">
        <f t="shared" si="15"/>
        <v>49</v>
      </c>
      <c r="AP57">
        <f t="shared" si="16"/>
        <v>49</v>
      </c>
      <c r="AQ57">
        <f t="shared" si="17"/>
        <v>49</v>
      </c>
      <c r="AR57" s="6">
        <f t="shared" si="18"/>
        <v>49</v>
      </c>
      <c r="AS57">
        <f t="shared" si="19"/>
        <v>49</v>
      </c>
      <c r="AV57" s="1" t="str">
        <f>IF(IFERROR(INDEX($A$9:$W$304,$AS57,COLUMNS($AV$9:AV56)),"")=0,"",IFERROR(INDEX($A$9:$W$304,$AS57,COLUMNS($AV$9:AV56)),""))</f>
        <v>Dark Offering</v>
      </c>
      <c r="AW57" s="1">
        <f>IFERROR(INDEX($A$9:$W$304,$AS57,COLUMNS($AV$9:AW56)),"")</f>
        <v>1</v>
      </c>
      <c r="AX57" s="1" t="str">
        <f>IF(IFERROR(INDEX($A$9:$X$304,$AS57,COLUMNS($AV$9:AX56)),"")=0,"",IFERROR(INDEX($A$9:$X$304,$AS57,COLUMNS($AV$9:AX56)),""))</f>
        <v>EVIL</v>
      </c>
      <c r="AY57" s="1" t="str">
        <f>IF(IFERROR(INDEX($A$9:$X$304,$AS57,COLUMNS($AV$9:AY56)),"")=0,"",IFERROR(INDEX($A$9:$X$304,$AS57,COLUMNS($AV$9:AY56)),""))</f>
        <v/>
      </c>
      <c r="AZ57" s="1" t="str">
        <f>IF(IFERROR(INDEX($A$9:$X$304,$AS57,COLUMNS($AV$9:AZ56)),"")=0,"",IFERROR(INDEX($A$9:$X$304,$AS57,COLUMNS($AV$9:AZ56)),""))</f>
        <v>EVENT</v>
      </c>
      <c r="BA57" s="1" t="str">
        <f>IF(IFERROR(INDEX($A$9:$X$304,$AS57,COLUMNS($AV$9:BA56)),"")=0,"",IFERROR(INDEX($A$9:$X$304,$AS57,COLUMNS($AV$9:BA56)),""))</f>
        <v/>
      </c>
      <c r="BB57" s="1" t="str">
        <f>IF(IFERROR(INDEX($A$9:$X$304,$AS57,COLUMNS($AV$9:BB56)),"")=0,"",IFERROR(INDEX($A$9:$X$304,$AS57,COLUMNS($AV$9:BB56)),""))</f>
        <v/>
      </c>
      <c r="BC57" s="1" t="str">
        <f>IF(IFERROR(INDEX($A$9:$X$304,$AS57,COLUMNS($AV$9:BC56)),"")=0,"",IFERROR(INDEX($A$9:$X$304,$AS57,COLUMNS($AV$9:BC56)),""))</f>
        <v>Draw two cards.</v>
      </c>
      <c r="BD57" s="1" t="str">
        <f>IF(IFERROR(INDEX($A$9:$X$304,$AS57,COLUMNS($AV$9:BD56)),"")=0,"",IFERROR(INDEX($A$9:$X$304,$AS57,COLUMNS($AV$9:BD56)),""))</f>
        <v>Break target {1} champion you control. If you do, break up to two target champions.</v>
      </c>
      <c r="BE57" s="1" t="str">
        <f>IF(IFERROR(INDEX($A$9:$X$304,$AS57,COLUMNS($AV$9:BE56)),"")=0,"",IFERROR(INDEX($A$9:$X$304,$AS57,COLUMNS($AV$9:BE56)),""))</f>
        <v/>
      </c>
      <c r="BF57" s="1" t="str">
        <f>IF(IFERROR(INDEX($A$9:$X$304,$AS57,COLUMNS($AV$9:BF56)),"")=0,"",IFERROR(INDEX($A$9:$X$304,$AS57,COLUMNS($AV$9:BF56)),""))</f>
        <v/>
      </c>
      <c r="BG57" s="1" t="str">
        <f>IF(IFERROR(INDEX($A$9:$X$304,$AS57,COLUMNS($AV$9:BG56)),"")=0,"",IFERROR(INDEX($A$9:$X$304,$AS57,COLUMNS($AV$9:BG56)),""))</f>
        <v/>
      </c>
      <c r="BH57" s="1" t="str">
        <f>IF(IFERROR(INDEX($A$9:$X$304,$AS57,COLUMNS($AV$9:BH56)),"")=0,"",IFERROR(INDEX($A$9:$X$304,$AS57,COLUMNS($AV$9:BH56)),""))</f>
        <v/>
      </c>
      <c r="BI57" s="1" t="str">
        <f>IF(IFERROR(INDEX($A$9:$X$304,$AS57,COLUMNS($AV$9:BI56)),"")=0,"",IFERROR(INDEX($A$9:$X$304,$AS57,COLUMNS($AV$9:BI56)),""))</f>
        <v/>
      </c>
      <c r="BJ57" s="1" t="str">
        <f>IF(IFERROR(INDEX($A$9:$X$304,$AS57,COLUMNS($AV$9:BJ56)),"")=0,"",IFERROR(INDEX($A$9:$X$304,$AS57,COLUMNS($AV$9:BJ56)),""))</f>
        <v>None</v>
      </c>
      <c r="BK57" s="1" t="str">
        <f>IF(IFERROR(INDEX($A$9:$X$304,$AS57,COLUMNS($AV$9:BK56)),"")=0,"",IFERROR(INDEX($A$9:$X$304,$AS57,COLUMNS($AV$9:BK56)),""))</f>
        <v>Common</v>
      </c>
      <c r="BL57" s="1" t="str">
        <f>IF(IFERROR(INDEX($A$9:$X$304,$AS57,COLUMNS($AV$9:BL56)),"")=0,"",IFERROR(INDEX($A$9:$X$304,$AS57,COLUMNS($AV$9:BL56)),""))</f>
        <v>Michael J Williams</v>
      </c>
      <c r="BM57" s="1" t="str">
        <f>IF(IFERROR(INDEX($A$9:$X$304,$AS57,COLUMNS($AV$9:BM56)),"")=0,"",IFERROR(INDEX($A$9:$X$304,$AS57,COLUMNS($AV$9:BM56)),""))</f>
        <v>Tyrants: Helion's Deceit</v>
      </c>
      <c r="BN57" s="3" t="b">
        <f>IF(IFERROR(INDEX($A$9:$X$304,$AS57,COLUMNS($AV$9:BN56)),"")=0,"",IFERROR(INDEX($A$9:$X$304,$AS57,COLUMNS($AV$9:BN56)),""))</f>
        <v>1</v>
      </c>
      <c r="BO57" s="3" t="b">
        <f>IF(IFERROR(INDEX($A$9:$X$304,$AS57,COLUMNS($AV$9:BO56)),"")=0,"",IFERROR(INDEX($A$9:$X$304,$AS57,COLUMNS($AV$9:BO56)),""))</f>
        <v>1</v>
      </c>
      <c r="BP57" s="3" t="b">
        <f>IF(IFERROR(INDEX($A$9:$X$304,$AS57,COLUMNS($AV$9:BP56)),"")=0,"",IFERROR(INDEX($A$9:$X$304,$AS57,COLUMNS($AV$9:BP56)),""))</f>
        <v>0</v>
      </c>
      <c r="BQ57" s="3" t="b">
        <f>IF(IFERROR(INDEX($A$9:$X$304,$AS57,COLUMNS($AV$9:BQ56)),"")=0,"",IFERROR(INDEX($A$9:$X$304,$AS57,COLUMNS($AV$9:BQ56)),""))</f>
        <v>0</v>
      </c>
      <c r="BR57" s="3" t="str">
        <f>IF(IFERROR(INDEX($A$9:$X$304,$AS57,COLUMNS($AV$9:BR56)),"")=0,"",IFERROR(INDEX($A$9:$X$304,$AS57,COLUMNS($AV$9:BR56)),""))</f>
        <v>http://www.epiccardgame.com/wp-content/uploads/2016/03/dark_offering-214x300.jpg</v>
      </c>
      <c r="BS57" s="3" t="str">
        <f>IF(IFERROR(INDEX($A$9:$X$304,$AS57,COLUMNS($AV$9:BS56)),"")=0,"",IFERROR(INDEX($A$9:$X$304,$AS57,COLUMNS($AV$9:BS56)),""))</f>
        <v/>
      </c>
      <c r="BT57" s="3"/>
      <c r="BU57" s="15"/>
      <c r="BV57" t="s">
        <v>78</v>
      </c>
    </row>
    <row r="58" spans="1:74" ht="225.2" customHeight="1" x14ac:dyDescent="0.25">
      <c r="A58" t="s">
        <v>375</v>
      </c>
      <c r="B58">
        <v>1</v>
      </c>
      <c r="C58" t="s">
        <v>618</v>
      </c>
      <c r="E58" t="s">
        <v>619</v>
      </c>
      <c r="H58" t="s">
        <v>627</v>
      </c>
      <c r="I58" t="s">
        <v>804</v>
      </c>
      <c r="O58" t="s">
        <v>1062</v>
      </c>
      <c r="P58" t="s">
        <v>1112</v>
      </c>
      <c r="Q58" t="s">
        <v>1134</v>
      </c>
      <c r="R58" t="s">
        <v>1174</v>
      </c>
      <c r="S58" t="b">
        <v>1</v>
      </c>
      <c r="T58" t="b">
        <v>1</v>
      </c>
      <c r="U58" t="b">
        <v>0</v>
      </c>
      <c r="V58" t="b">
        <v>0</v>
      </c>
      <c r="W58" s="2" t="s">
        <v>1233</v>
      </c>
      <c r="X58" s="2"/>
      <c r="Y58" s="24">
        <v>50</v>
      </c>
      <c r="Z58">
        <f t="shared" si="0"/>
        <v>50</v>
      </c>
      <c r="AA58">
        <f t="shared" si="1"/>
        <v>50</v>
      </c>
      <c r="AB58">
        <f t="shared" si="2"/>
        <v>50</v>
      </c>
      <c r="AC58">
        <f t="shared" si="3"/>
        <v>0</v>
      </c>
      <c r="AD58">
        <f t="shared" si="4"/>
        <v>50</v>
      </c>
      <c r="AE58">
        <f t="shared" si="5"/>
        <v>0</v>
      </c>
      <c r="AF58">
        <f t="shared" si="6"/>
        <v>0</v>
      </c>
      <c r="AG58">
        <f t="shared" si="7"/>
        <v>50</v>
      </c>
      <c r="AH58">
        <f t="shared" si="8"/>
        <v>50</v>
      </c>
      <c r="AI58">
        <f t="shared" si="9"/>
        <v>0</v>
      </c>
      <c r="AJ58">
        <f t="shared" si="10"/>
        <v>0</v>
      </c>
      <c r="AK58">
        <f t="shared" si="11"/>
        <v>0</v>
      </c>
      <c r="AL58">
        <f t="shared" si="12"/>
        <v>0</v>
      </c>
      <c r="AM58">
        <f t="shared" si="13"/>
        <v>0</v>
      </c>
      <c r="AN58">
        <f t="shared" si="14"/>
        <v>50</v>
      </c>
      <c r="AO58">
        <f t="shared" si="15"/>
        <v>50</v>
      </c>
      <c r="AP58">
        <f t="shared" si="16"/>
        <v>50</v>
      </c>
      <c r="AQ58">
        <f t="shared" si="17"/>
        <v>50</v>
      </c>
      <c r="AR58" s="6">
        <f t="shared" si="18"/>
        <v>50</v>
      </c>
      <c r="AS58">
        <f t="shared" si="19"/>
        <v>50</v>
      </c>
      <c r="AV58" s="1" t="str">
        <f>IF(IFERROR(INDEX($A$9:$W$304,$AS58,COLUMNS($AV$9:AV57)),"")=0,"",IFERROR(INDEX($A$9:$W$304,$AS58,COLUMNS($AV$9:AV57)),""))</f>
        <v>Dark One's Fury</v>
      </c>
      <c r="AW58" s="1">
        <f>IFERROR(INDEX($A$9:$W$304,$AS58,COLUMNS($AV$9:AW57)),"")</f>
        <v>1</v>
      </c>
      <c r="AX58" s="1" t="str">
        <f>IF(IFERROR(INDEX($A$9:$X$304,$AS58,COLUMNS($AV$9:AX57)),"")=0,"",IFERROR(INDEX($A$9:$X$304,$AS58,COLUMNS($AV$9:AX57)),""))</f>
        <v>EVIL</v>
      </c>
      <c r="AY58" s="1" t="str">
        <f>IF(IFERROR(INDEX($A$9:$X$304,$AS58,COLUMNS($AV$9:AY57)),"")=0,"",IFERROR(INDEX($A$9:$X$304,$AS58,COLUMNS($AV$9:AY57)),""))</f>
        <v/>
      </c>
      <c r="AZ58" s="1" t="str">
        <f>IF(IFERROR(INDEX($A$9:$X$304,$AS58,COLUMNS($AV$9:AZ57)),"")=0,"",IFERROR(INDEX($A$9:$X$304,$AS58,COLUMNS($AV$9:AZ57)),""))</f>
        <v>EVENT</v>
      </c>
      <c r="BA58" s="1" t="str">
        <f>IF(IFERROR(INDEX($A$9:$X$304,$AS58,COLUMNS($AV$9:BA57)),"")=0,"",IFERROR(INDEX($A$9:$X$304,$AS58,COLUMNS($AV$9:BA57)),""))</f>
        <v/>
      </c>
      <c r="BB58" s="1" t="str">
        <f>IF(IFERROR(INDEX($A$9:$X$304,$AS58,COLUMNS($AV$9:BB57)),"")=0,"",IFERROR(INDEX($A$9:$X$304,$AS58,COLUMNS($AV$9:BB57)),""))</f>
        <v/>
      </c>
      <c r="BC58" s="1" t="str">
        <f>IF(IFERROR(INDEX($A$9:$X$304,$AS58,COLUMNS($AV$9:BC57)),"")=0,"",IFERROR(INDEX($A$9:$X$304,$AS58,COLUMNS($AV$9:BC57)),""))</f>
        <v>Draw two cards.</v>
      </c>
      <c r="BD58" s="1" t="str">
        <f>IF(IFERROR(INDEX($A$9:$X$304,$AS58,COLUMNS($AV$9:BD57)),"")=0,"",IFERROR(INDEX($A$9:$X$304,$AS58,COLUMNS($AV$9:BD57)),""))</f>
        <v>If it is your turn, break all non-evil champions.</v>
      </c>
      <c r="BE58" s="1" t="str">
        <f>IF(IFERROR(INDEX($A$9:$X$304,$AS58,COLUMNS($AV$9:BE57)),"")=0,"",IFERROR(INDEX($A$9:$X$304,$AS58,COLUMNS($AV$9:BE57)),""))</f>
        <v/>
      </c>
      <c r="BF58" s="1" t="str">
        <f>IF(IFERROR(INDEX($A$9:$X$304,$AS58,COLUMNS($AV$9:BF57)),"")=0,"",IFERROR(INDEX($A$9:$X$304,$AS58,COLUMNS($AV$9:BF57)),""))</f>
        <v/>
      </c>
      <c r="BG58" s="1" t="str">
        <f>IF(IFERROR(INDEX($A$9:$X$304,$AS58,COLUMNS($AV$9:BG57)),"")=0,"",IFERROR(INDEX($A$9:$X$304,$AS58,COLUMNS($AV$9:BG57)),""))</f>
        <v/>
      </c>
      <c r="BH58" s="1" t="str">
        <f>IF(IFERROR(INDEX($A$9:$X$304,$AS58,COLUMNS($AV$9:BH57)),"")=0,"",IFERROR(INDEX($A$9:$X$304,$AS58,COLUMNS($AV$9:BH57)),""))</f>
        <v/>
      </c>
      <c r="BI58" s="1" t="str">
        <f>IF(IFERROR(INDEX($A$9:$X$304,$AS58,COLUMNS($AV$9:BI57)),"")=0,"",IFERROR(INDEX($A$9:$X$304,$AS58,COLUMNS($AV$9:BI57)),""))</f>
        <v/>
      </c>
      <c r="BJ58" s="1" t="str">
        <f>IF(IFERROR(INDEX($A$9:$X$304,$AS58,COLUMNS($AV$9:BJ57)),"")=0,"",IFERROR(INDEX($A$9:$X$304,$AS58,COLUMNS($AV$9:BJ57)),""))</f>
        <v>None</v>
      </c>
      <c r="BK58" s="1" t="str">
        <f>IF(IFERROR(INDEX($A$9:$X$304,$AS58,COLUMNS($AV$9:BK57)),"")=0,"",IFERROR(INDEX($A$9:$X$304,$AS58,COLUMNS($AV$9:BK57)),""))</f>
        <v>Common</v>
      </c>
      <c r="BL58" s="1" t="str">
        <f>IF(IFERROR(INDEX($A$9:$X$304,$AS58,COLUMNS($AV$9:BL57)),"")=0,"",IFERROR(INDEX($A$9:$X$304,$AS58,COLUMNS($AV$9:BL57)),""))</f>
        <v>Shen Fei</v>
      </c>
      <c r="BM58" s="1" t="str">
        <f>IF(IFERROR(INDEX($A$9:$X$304,$AS58,COLUMNS($AV$9:BM57)),"")=0,"",IFERROR(INDEX($A$9:$X$304,$AS58,COLUMNS($AV$9:BM57)),""))</f>
        <v>Pantheon: Furios vs Maligus</v>
      </c>
      <c r="BN58" s="3" t="b">
        <f>IF(IFERROR(INDEX($A$9:$X$304,$AS58,COLUMNS($AV$9:BN57)),"")=0,"",IFERROR(INDEX($A$9:$X$304,$AS58,COLUMNS($AV$9:BN57)),""))</f>
        <v>1</v>
      </c>
      <c r="BO58" s="3" t="b">
        <f>IF(IFERROR(INDEX($A$9:$X$304,$AS58,COLUMNS($AV$9:BO57)),"")=0,"",IFERROR(INDEX($A$9:$X$304,$AS58,COLUMNS($AV$9:BO57)),""))</f>
        <v>1</v>
      </c>
      <c r="BP58" s="3" t="b">
        <f>IF(IFERROR(INDEX($A$9:$X$304,$AS58,COLUMNS($AV$9:BP57)),"")=0,"",IFERROR(INDEX($A$9:$X$304,$AS58,COLUMNS($AV$9:BP57)),""))</f>
        <v>0</v>
      </c>
      <c r="BQ58" s="3" t="b">
        <f>IF(IFERROR(INDEX($A$9:$X$304,$AS58,COLUMNS($AV$9:BQ57)),"")=0,"",IFERROR(INDEX($A$9:$X$304,$AS58,COLUMNS($AV$9:BQ57)),""))</f>
        <v>0</v>
      </c>
      <c r="BR58" s="3" t="str">
        <f>IF(IFERROR(INDEX($A$9:$X$304,$AS58,COLUMNS($AV$9:BR57)),"")=0,"",IFERROR(INDEX($A$9:$X$304,$AS58,COLUMNS($AV$9:BR57)),""))</f>
        <v>https://www.epiccardgame.com/wp-content/uploads/2017/11/PNF-EN-14-dark-one-s-fury.jpg</v>
      </c>
      <c r="BS58" s="3" t="str">
        <f>IF(IFERROR(INDEX($A$9:$X$304,$AS58,COLUMNS($AV$9:BS57)),"")=0,"",IFERROR(INDEX($A$9:$X$304,$AS58,COLUMNS($AV$9:BS57)),""))</f>
        <v/>
      </c>
      <c r="BT58" s="3"/>
      <c r="BU58" s="15"/>
      <c r="BV58" t="s">
        <v>79</v>
      </c>
    </row>
    <row r="59" spans="1:74" ht="225" customHeight="1" x14ac:dyDescent="0.25">
      <c r="A59" t="s">
        <v>376</v>
      </c>
      <c r="B59">
        <v>1</v>
      </c>
      <c r="C59" t="s">
        <v>618</v>
      </c>
      <c r="E59" t="s">
        <v>620</v>
      </c>
      <c r="F59">
        <v>8</v>
      </c>
      <c r="G59">
        <v>7</v>
      </c>
      <c r="H59" t="s">
        <v>645</v>
      </c>
      <c r="I59" t="s">
        <v>805</v>
      </c>
      <c r="O59" t="s">
        <v>1077</v>
      </c>
      <c r="P59" t="s">
        <v>1112</v>
      </c>
      <c r="Q59" t="s">
        <v>1135</v>
      </c>
      <c r="R59" t="s">
        <v>1169</v>
      </c>
      <c r="S59" t="b">
        <v>1</v>
      </c>
      <c r="T59" t="b">
        <v>0</v>
      </c>
      <c r="U59" t="b">
        <v>0</v>
      </c>
      <c r="V59" t="b">
        <v>0</v>
      </c>
      <c r="W59" s="2" t="s">
        <v>1234</v>
      </c>
      <c r="X59" s="2"/>
      <c r="Y59" s="24">
        <v>51</v>
      </c>
      <c r="Z59">
        <f t="shared" si="0"/>
        <v>51</v>
      </c>
      <c r="AA59">
        <f t="shared" si="1"/>
        <v>51</v>
      </c>
      <c r="AB59">
        <f t="shared" si="2"/>
        <v>51</v>
      </c>
      <c r="AC59">
        <f t="shared" si="3"/>
        <v>0</v>
      </c>
      <c r="AD59">
        <f t="shared" si="4"/>
        <v>51</v>
      </c>
      <c r="AE59">
        <f t="shared" si="5"/>
        <v>51</v>
      </c>
      <c r="AF59">
        <f t="shared" si="6"/>
        <v>51</v>
      </c>
      <c r="AG59">
        <f t="shared" si="7"/>
        <v>51</v>
      </c>
      <c r="AH59">
        <f t="shared" si="8"/>
        <v>51</v>
      </c>
      <c r="AI59">
        <f t="shared" si="9"/>
        <v>0</v>
      </c>
      <c r="AJ59">
        <f t="shared" si="10"/>
        <v>0</v>
      </c>
      <c r="AK59">
        <f t="shared" si="11"/>
        <v>0</v>
      </c>
      <c r="AL59">
        <f t="shared" si="12"/>
        <v>0</v>
      </c>
      <c r="AM59">
        <f t="shared" si="13"/>
        <v>0</v>
      </c>
      <c r="AN59">
        <f t="shared" si="14"/>
        <v>51</v>
      </c>
      <c r="AO59">
        <f t="shared" si="15"/>
        <v>51</v>
      </c>
      <c r="AP59">
        <f t="shared" si="16"/>
        <v>51</v>
      </c>
      <c r="AQ59">
        <f t="shared" si="17"/>
        <v>51</v>
      </c>
      <c r="AR59" s="6">
        <f t="shared" si="18"/>
        <v>51</v>
      </c>
      <c r="AS59">
        <f t="shared" si="19"/>
        <v>51</v>
      </c>
      <c r="AV59" s="1" t="str">
        <f>IF(IFERROR(INDEX($A$9:$W$304,$AS59,COLUMNS($AV$9:AV58)),"")=0,"",IFERROR(INDEX($A$9:$W$304,$AS59,COLUMNS($AV$9:AV58)),""))</f>
        <v>Dark Prince</v>
      </c>
      <c r="AW59" s="1">
        <f>IFERROR(INDEX($A$9:$W$304,$AS59,COLUMNS($AV$9:AW58)),"")</f>
        <v>1</v>
      </c>
      <c r="AX59" s="1" t="str">
        <f>IF(IFERROR(INDEX($A$9:$X$304,$AS59,COLUMNS($AV$9:AX58)),"")=0,"",IFERROR(INDEX($A$9:$X$304,$AS59,COLUMNS($AV$9:AX58)),""))</f>
        <v>EVIL</v>
      </c>
      <c r="AY59" s="1" t="str">
        <f>IF(IFERROR(INDEX($A$9:$X$304,$AS59,COLUMNS($AV$9:AY58)),"")=0,"",IFERROR(INDEX($A$9:$X$304,$AS59,COLUMNS($AV$9:AY58)),""))</f>
        <v/>
      </c>
      <c r="AZ59" s="1" t="str">
        <f>IF(IFERROR(INDEX($A$9:$X$304,$AS59,COLUMNS($AV$9:AZ58)),"")=0,"",IFERROR(INDEX($A$9:$X$304,$AS59,COLUMNS($AV$9:AZ58)),""))</f>
        <v>CHAMPION</v>
      </c>
      <c r="BA59" s="1">
        <f>IF(IFERROR(INDEX($A$9:$X$304,$AS59,COLUMNS($AV$9:BA58)),"")=0,"",IFERROR(INDEX($A$9:$X$304,$AS59,COLUMNS($AV$9:BA58)),""))</f>
        <v>8</v>
      </c>
      <c r="BB59" s="1">
        <f>IF(IFERROR(INDEX($A$9:$X$304,$AS59,COLUMNS($AV$9:BB58)),"")=0,"",IFERROR(INDEX($A$9:$X$304,$AS59,COLUMNS($AV$9:BB58)),""))</f>
        <v>7</v>
      </c>
      <c r="BC59" s="1" t="str">
        <f>IF(IFERROR(INDEX($A$9:$X$304,$AS59,COLUMNS($AV$9:BC58)),"")=0,"",IFERROR(INDEX($A$9:$X$304,$AS59,COLUMNS($AV$9:BC58)),""))</f>
        <v>Airborne ◆ Blitz</v>
      </c>
      <c r="BD59" s="1" t="str">
        <f>IF(IFERROR(INDEX($A$9:$X$304,$AS59,COLUMNS($AV$9:BD58)),"")=0,"",IFERROR(INDEX($A$9:$X$304,$AS59,COLUMNS($AV$9:BD58)),""))</f>
        <v>{expend}: Put a demon token into play.</v>
      </c>
      <c r="BE59" s="1" t="str">
        <f>IF(IFERROR(INDEX($A$9:$X$304,$AS59,COLUMNS($AV$9:BE58)),"")=0,"",IFERROR(INDEX($A$9:$X$304,$AS59,COLUMNS($AV$9:BE58)),""))</f>
        <v/>
      </c>
      <c r="BF59" s="1" t="str">
        <f>IF(IFERROR(INDEX($A$9:$X$304,$AS59,COLUMNS($AV$9:BF58)),"")=0,"",IFERROR(INDEX($A$9:$X$304,$AS59,COLUMNS($AV$9:BF58)),""))</f>
        <v/>
      </c>
      <c r="BG59" s="1" t="str">
        <f>IF(IFERROR(INDEX($A$9:$X$304,$AS59,COLUMNS($AV$9:BG58)),"")=0,"",IFERROR(INDEX($A$9:$X$304,$AS59,COLUMNS($AV$9:BG58)),""))</f>
        <v/>
      </c>
      <c r="BH59" s="1" t="str">
        <f>IF(IFERROR(INDEX($A$9:$X$304,$AS59,COLUMNS($AV$9:BH58)),"")=0,"",IFERROR(INDEX($A$9:$X$304,$AS59,COLUMNS($AV$9:BH58)),""))</f>
        <v/>
      </c>
      <c r="BI59" s="1" t="str">
        <f>IF(IFERROR(INDEX($A$9:$X$304,$AS59,COLUMNS($AV$9:BI58)),"")=0,"",IFERROR(INDEX($A$9:$X$304,$AS59,COLUMNS($AV$9:BI58)),""))</f>
        <v/>
      </c>
      <c r="BJ59" s="1" t="str">
        <f>IF(IFERROR(INDEX($A$9:$X$304,$AS59,COLUMNS($AV$9:BJ58)),"")=0,"",IFERROR(INDEX($A$9:$X$304,$AS59,COLUMNS($AV$9:BJ58)),""))</f>
        <v>DEVIL</v>
      </c>
      <c r="BK59" s="1" t="str">
        <f>IF(IFERROR(INDEX($A$9:$X$304,$AS59,COLUMNS($AV$9:BK58)),"")=0,"",IFERROR(INDEX($A$9:$X$304,$AS59,COLUMNS($AV$9:BK58)),""))</f>
        <v>Common</v>
      </c>
      <c r="BL59" s="1" t="str">
        <f>IF(IFERROR(INDEX($A$9:$X$304,$AS59,COLUMNS($AV$9:BL58)),"")=0,"",IFERROR(INDEX($A$9:$X$304,$AS59,COLUMNS($AV$9:BL58)),""))</f>
        <v>Trevor Smith</v>
      </c>
      <c r="BM59" s="1" t="str">
        <f>IF(IFERROR(INDEX($A$9:$X$304,$AS59,COLUMNS($AV$9:BM58)),"")=0,"",IFERROR(INDEX($A$9:$X$304,$AS59,COLUMNS($AV$9:BM58)),""))</f>
        <v>Kickstarter Promo</v>
      </c>
      <c r="BN59" s="3" t="b">
        <f>IF(IFERROR(INDEX($A$9:$X$304,$AS59,COLUMNS($AV$9:BN58)),"")=0,"",IFERROR(INDEX($A$9:$X$304,$AS59,COLUMNS($AV$9:BN58)),""))</f>
        <v>1</v>
      </c>
      <c r="BO59" s="3" t="b">
        <f>IF(IFERROR(INDEX($A$9:$X$304,$AS59,COLUMNS($AV$9:BO58)),"")=0,"",IFERROR(INDEX($A$9:$X$304,$AS59,COLUMNS($AV$9:BO58)),""))</f>
        <v>0</v>
      </c>
      <c r="BP59" s="3" t="b">
        <f>IF(IFERROR(INDEX($A$9:$X$304,$AS59,COLUMNS($AV$9:BP58)),"")=0,"",IFERROR(INDEX($A$9:$X$304,$AS59,COLUMNS($AV$9:BP58)),""))</f>
        <v>0</v>
      </c>
      <c r="BQ59" s="3" t="b">
        <f>IF(IFERROR(INDEX($A$9:$X$304,$AS59,COLUMNS($AV$9:BQ58)),"")=0,"",IFERROR(INDEX($A$9:$X$304,$AS59,COLUMNS($AV$9:BQ58)),""))</f>
        <v>0</v>
      </c>
      <c r="BR59" s="3" t="str">
        <f>IF(IFERROR(INDEX($A$9:$X$304,$AS59,COLUMNS($AV$9:BR58)),"")=0,"",IFERROR(INDEX($A$9:$X$304,$AS59,COLUMNS($AV$9:BR58)),""))</f>
        <v>http://www.epiccardgame.com/wp-content/uploads/2015/09/dark_prince-215x300.jpg</v>
      </c>
      <c r="BS59" s="3" t="str">
        <f>IF(IFERROR(INDEX($A$9:$X$304,$AS59,COLUMNS($AV$9:BS58)),"")=0,"",IFERROR(INDEX($A$9:$X$304,$AS59,COLUMNS($AV$9:BS58)),""))</f>
        <v/>
      </c>
      <c r="BT59" s="3"/>
      <c r="BU59" s="15"/>
      <c r="BV59" t="s">
        <v>80</v>
      </c>
    </row>
    <row r="60" spans="1:74" ht="225" customHeight="1" x14ac:dyDescent="0.25">
      <c r="A60" t="s">
        <v>377</v>
      </c>
      <c r="B60">
        <v>1</v>
      </c>
      <c r="C60" t="s">
        <v>616</v>
      </c>
      <c r="E60" t="s">
        <v>619</v>
      </c>
      <c r="H60" t="s">
        <v>627</v>
      </c>
      <c r="I60" t="s">
        <v>806</v>
      </c>
      <c r="O60" t="s">
        <v>1062</v>
      </c>
      <c r="P60" t="s">
        <v>1113</v>
      </c>
      <c r="Q60" t="s">
        <v>1124</v>
      </c>
      <c r="R60" t="s">
        <v>1171</v>
      </c>
      <c r="S60" t="b">
        <v>1</v>
      </c>
      <c r="T60" t="b">
        <v>1</v>
      </c>
      <c r="U60" t="b">
        <v>0</v>
      </c>
      <c r="V60" t="b">
        <v>0</v>
      </c>
      <c r="W60" s="2" t="s">
        <v>1235</v>
      </c>
      <c r="X60" s="2"/>
      <c r="Y60" s="24">
        <v>52</v>
      </c>
      <c r="Z60">
        <f t="shared" si="0"/>
        <v>52</v>
      </c>
      <c r="AA60">
        <f t="shared" si="1"/>
        <v>52</v>
      </c>
      <c r="AB60">
        <f t="shared" si="2"/>
        <v>52</v>
      </c>
      <c r="AC60">
        <f t="shared" si="3"/>
        <v>0</v>
      </c>
      <c r="AD60">
        <f t="shared" si="4"/>
        <v>52</v>
      </c>
      <c r="AE60">
        <f t="shared" si="5"/>
        <v>0</v>
      </c>
      <c r="AF60">
        <f t="shared" si="6"/>
        <v>0</v>
      </c>
      <c r="AG60">
        <f t="shared" si="7"/>
        <v>52</v>
      </c>
      <c r="AH60">
        <f t="shared" si="8"/>
        <v>52</v>
      </c>
      <c r="AI60">
        <f t="shared" si="9"/>
        <v>0</v>
      </c>
      <c r="AJ60">
        <f t="shared" si="10"/>
        <v>0</v>
      </c>
      <c r="AK60">
        <f t="shared" si="11"/>
        <v>0</v>
      </c>
      <c r="AL60">
        <f t="shared" si="12"/>
        <v>0</v>
      </c>
      <c r="AM60">
        <f t="shared" si="13"/>
        <v>0</v>
      </c>
      <c r="AN60">
        <f t="shared" si="14"/>
        <v>52</v>
      </c>
      <c r="AO60">
        <f t="shared" si="15"/>
        <v>52</v>
      </c>
      <c r="AP60">
        <f t="shared" si="16"/>
        <v>52</v>
      </c>
      <c r="AQ60">
        <f t="shared" si="17"/>
        <v>52</v>
      </c>
      <c r="AR60" s="6">
        <f t="shared" si="18"/>
        <v>52</v>
      </c>
      <c r="AS60">
        <f t="shared" si="19"/>
        <v>52</v>
      </c>
      <c r="AV60" s="1" t="str">
        <f>IF(IFERROR(INDEX($A$9:$W$304,$AS60,COLUMNS($AV$9:AV59)),"")=0,"",IFERROR(INDEX($A$9:$W$304,$AS60,COLUMNS($AV$9:AV59)),""))</f>
        <v>Deadly Raid</v>
      </c>
      <c r="AW60" s="1">
        <f>IFERROR(INDEX($A$9:$W$304,$AS60,COLUMNS($AV$9:AW59)),"")</f>
        <v>1</v>
      </c>
      <c r="AX60" s="1" t="str">
        <f>IF(IFERROR(INDEX($A$9:$X$304,$AS60,COLUMNS($AV$9:AX59)),"")=0,"",IFERROR(INDEX($A$9:$X$304,$AS60,COLUMNS($AV$9:AX59)),""))</f>
        <v>SAGE</v>
      </c>
      <c r="AY60" s="1" t="str">
        <f>IF(IFERROR(INDEX($A$9:$X$304,$AS60,COLUMNS($AV$9:AY59)),"")=0,"",IFERROR(INDEX($A$9:$X$304,$AS60,COLUMNS($AV$9:AY59)),""))</f>
        <v/>
      </c>
      <c r="AZ60" s="1" t="str">
        <f>IF(IFERROR(INDEX($A$9:$X$304,$AS60,COLUMNS($AV$9:AZ59)),"")=0,"",IFERROR(INDEX($A$9:$X$304,$AS60,COLUMNS($AV$9:AZ59)),""))</f>
        <v>EVENT</v>
      </c>
      <c r="BA60" s="1" t="str">
        <f>IF(IFERROR(INDEX($A$9:$X$304,$AS60,COLUMNS($AV$9:BA59)),"")=0,"",IFERROR(INDEX($A$9:$X$304,$AS60,COLUMNS($AV$9:BA59)),""))</f>
        <v/>
      </c>
      <c r="BB60" s="1" t="str">
        <f>IF(IFERROR(INDEX($A$9:$X$304,$AS60,COLUMNS($AV$9:BB59)),"")=0,"",IFERROR(INDEX($A$9:$X$304,$AS60,COLUMNS($AV$9:BB59)),""))</f>
        <v/>
      </c>
      <c r="BC60" s="1" t="str">
        <f>IF(IFERROR(INDEX($A$9:$X$304,$AS60,COLUMNS($AV$9:BC59)),"")=0,"",IFERROR(INDEX($A$9:$X$304,$AS60,COLUMNS($AV$9:BC59)),""))</f>
        <v>Draw two cards.</v>
      </c>
      <c r="BD60" s="1" t="str">
        <f>IF(IFERROR(INDEX($A$9:$X$304,$AS60,COLUMNS($AV$9:BD59)),"")=0,"",IFERROR(INDEX($A$9:$X$304,$AS60,COLUMNS($AV$9:BD59)),""))</f>
        <v>Your champions gain unblockable and +2 {offense} this turn.</v>
      </c>
      <c r="BE60" s="1" t="str">
        <f>IF(IFERROR(INDEX($A$9:$X$304,$AS60,COLUMNS($AV$9:BE59)),"")=0,"",IFERROR(INDEX($A$9:$X$304,$AS60,COLUMNS($AV$9:BE59)),""))</f>
        <v/>
      </c>
      <c r="BF60" s="1" t="str">
        <f>IF(IFERROR(INDEX($A$9:$X$304,$AS60,COLUMNS($AV$9:BF59)),"")=0,"",IFERROR(INDEX($A$9:$X$304,$AS60,COLUMNS($AV$9:BF59)),""))</f>
        <v/>
      </c>
      <c r="BG60" s="1" t="str">
        <f>IF(IFERROR(INDEX($A$9:$X$304,$AS60,COLUMNS($AV$9:BG59)),"")=0,"",IFERROR(INDEX($A$9:$X$304,$AS60,COLUMNS($AV$9:BG59)),""))</f>
        <v/>
      </c>
      <c r="BH60" s="1" t="str">
        <f>IF(IFERROR(INDEX($A$9:$X$304,$AS60,COLUMNS($AV$9:BH59)),"")=0,"",IFERROR(INDEX($A$9:$X$304,$AS60,COLUMNS($AV$9:BH59)),""))</f>
        <v/>
      </c>
      <c r="BI60" s="1" t="str">
        <f>IF(IFERROR(INDEX($A$9:$X$304,$AS60,COLUMNS($AV$9:BI59)),"")=0,"",IFERROR(INDEX($A$9:$X$304,$AS60,COLUMNS($AV$9:BI59)),""))</f>
        <v/>
      </c>
      <c r="BJ60" s="1" t="str">
        <f>IF(IFERROR(INDEX($A$9:$X$304,$AS60,COLUMNS($AV$9:BJ59)),"")=0,"",IFERROR(INDEX($A$9:$X$304,$AS60,COLUMNS($AV$9:BJ59)),""))</f>
        <v>None</v>
      </c>
      <c r="BK60" s="1" t="str">
        <f>IF(IFERROR(INDEX($A$9:$X$304,$AS60,COLUMNS($AV$9:BK59)),"")=0,"",IFERROR(INDEX($A$9:$X$304,$AS60,COLUMNS($AV$9:BK59)),""))</f>
        <v>Rare</v>
      </c>
      <c r="BL60" s="1" t="str">
        <f>IF(IFERROR(INDEX($A$9:$X$304,$AS60,COLUMNS($AV$9:BL59)),"")=0,"",IFERROR(INDEX($A$9:$X$304,$AS60,COLUMNS($AV$9:BL59)),""))</f>
        <v>Souveraine</v>
      </c>
      <c r="BM60" s="1" t="str">
        <f>IF(IFERROR(INDEX($A$9:$X$304,$AS60,COLUMNS($AV$9:BM59)),"")=0,"",IFERROR(INDEX($A$9:$X$304,$AS60,COLUMNS($AV$9:BM59)),""))</f>
        <v>Base Set</v>
      </c>
      <c r="BN60" s="3" t="b">
        <f>IF(IFERROR(INDEX($A$9:$X$304,$AS60,COLUMNS($AV$9:BN59)),"")=0,"",IFERROR(INDEX($A$9:$X$304,$AS60,COLUMNS($AV$9:BN59)),""))</f>
        <v>1</v>
      </c>
      <c r="BO60" s="3" t="b">
        <f>IF(IFERROR(INDEX($A$9:$X$304,$AS60,COLUMNS($AV$9:BO59)),"")=0,"",IFERROR(INDEX($A$9:$X$304,$AS60,COLUMNS($AV$9:BO59)),""))</f>
        <v>1</v>
      </c>
      <c r="BP60" s="3" t="b">
        <f>IF(IFERROR(INDEX($A$9:$X$304,$AS60,COLUMNS($AV$9:BP59)),"")=0,"",IFERROR(INDEX($A$9:$X$304,$AS60,COLUMNS($AV$9:BP59)),""))</f>
        <v>0</v>
      </c>
      <c r="BQ60" s="3" t="b">
        <f>IF(IFERROR(INDEX($A$9:$X$304,$AS60,COLUMNS($AV$9:BQ59)),"")=0,"",IFERROR(INDEX($A$9:$X$304,$AS60,COLUMNS($AV$9:BQ59)),""))</f>
        <v>0</v>
      </c>
      <c r="BR60" s="3" t="str">
        <f>IF(IFERROR(INDEX($A$9:$X$304,$AS60,COLUMNS($AV$9:BR59)),"")=0,"",IFERROR(INDEX($A$9:$X$304,$AS60,COLUMNS($AV$9:BR59)),""))</f>
        <v>http://www.epiccardgame.com/wp-content/uploads/2015/09/deadly_raid-215x300.jpg</v>
      </c>
      <c r="BS60" s="3" t="str">
        <f>IF(IFERROR(INDEX($A$9:$X$304,$AS60,COLUMNS($AV$9:BS59)),"")=0,"",IFERROR(INDEX($A$9:$X$304,$AS60,COLUMNS($AV$9:BS59)),""))</f>
        <v/>
      </c>
      <c r="BT60" s="3"/>
      <c r="BU60" s="15"/>
      <c r="BV60" t="s">
        <v>81</v>
      </c>
    </row>
    <row r="61" spans="1:74" ht="225.2" customHeight="1" x14ac:dyDescent="0.25">
      <c r="A61" t="s">
        <v>378</v>
      </c>
      <c r="B61">
        <v>1</v>
      </c>
      <c r="C61" t="s">
        <v>618</v>
      </c>
      <c r="E61" t="s">
        <v>619</v>
      </c>
      <c r="H61" t="s">
        <v>651</v>
      </c>
      <c r="L61" t="s">
        <v>1044</v>
      </c>
      <c r="M61" t="s">
        <v>1059</v>
      </c>
      <c r="O61" t="s">
        <v>1078</v>
      </c>
      <c r="P61" t="s">
        <v>1113</v>
      </c>
      <c r="Q61" t="s">
        <v>1117</v>
      </c>
      <c r="R61" t="s">
        <v>1171</v>
      </c>
      <c r="S61" t="b">
        <v>1</v>
      </c>
      <c r="T61" t="b">
        <v>0</v>
      </c>
      <c r="U61" t="b">
        <v>0</v>
      </c>
      <c r="V61" t="b">
        <v>0</v>
      </c>
      <c r="W61" s="2" t="s">
        <v>1236</v>
      </c>
      <c r="X61" s="2"/>
      <c r="Y61" s="24">
        <v>53</v>
      </c>
      <c r="Z61">
        <f t="shared" si="0"/>
        <v>53</v>
      </c>
      <c r="AA61">
        <f t="shared" si="1"/>
        <v>53</v>
      </c>
      <c r="AB61">
        <f t="shared" si="2"/>
        <v>53</v>
      </c>
      <c r="AC61">
        <f t="shared" si="3"/>
        <v>0</v>
      </c>
      <c r="AD61">
        <f t="shared" si="4"/>
        <v>53</v>
      </c>
      <c r="AE61">
        <f t="shared" si="5"/>
        <v>0</v>
      </c>
      <c r="AF61">
        <f t="shared" si="6"/>
        <v>0</v>
      </c>
      <c r="AG61">
        <f t="shared" si="7"/>
        <v>53</v>
      </c>
      <c r="AH61">
        <f t="shared" si="8"/>
        <v>0</v>
      </c>
      <c r="AI61">
        <f t="shared" si="9"/>
        <v>0</v>
      </c>
      <c r="AJ61">
        <f t="shared" si="10"/>
        <v>0</v>
      </c>
      <c r="AK61">
        <f t="shared" si="11"/>
        <v>53</v>
      </c>
      <c r="AL61">
        <f t="shared" si="12"/>
        <v>53</v>
      </c>
      <c r="AM61">
        <f t="shared" si="13"/>
        <v>0</v>
      </c>
      <c r="AN61">
        <f t="shared" si="14"/>
        <v>53</v>
      </c>
      <c r="AO61">
        <f t="shared" si="15"/>
        <v>53</v>
      </c>
      <c r="AP61">
        <f t="shared" si="16"/>
        <v>53</v>
      </c>
      <c r="AQ61">
        <f t="shared" si="17"/>
        <v>53</v>
      </c>
      <c r="AR61" s="6">
        <f t="shared" si="18"/>
        <v>53</v>
      </c>
      <c r="AS61">
        <f t="shared" si="19"/>
        <v>53</v>
      </c>
      <c r="AV61" s="1" t="str">
        <f>IF(IFERROR(INDEX($A$9:$W$304,$AS61,COLUMNS($AV$9:AV60)),"")=0,"",IFERROR(INDEX($A$9:$W$304,$AS61,COLUMNS($AV$9:AV60)),""))</f>
        <v>Demon Breach</v>
      </c>
      <c r="AW61" s="1">
        <f>IFERROR(INDEX($A$9:$W$304,$AS61,COLUMNS($AV$9:AW60)),"")</f>
        <v>1</v>
      </c>
      <c r="AX61" s="1" t="str">
        <f>IF(IFERROR(INDEX($A$9:$X$304,$AS61,COLUMNS($AV$9:AX60)),"")=0,"",IFERROR(INDEX($A$9:$X$304,$AS61,COLUMNS($AV$9:AX60)),""))</f>
        <v>EVIL</v>
      </c>
      <c r="AY61" s="1" t="str">
        <f>IF(IFERROR(INDEX($A$9:$X$304,$AS61,COLUMNS($AV$9:AY60)),"")=0,"",IFERROR(INDEX($A$9:$X$304,$AS61,COLUMNS($AV$9:AY60)),""))</f>
        <v/>
      </c>
      <c r="AZ61" s="1" t="str">
        <f>IF(IFERROR(INDEX($A$9:$X$304,$AS61,COLUMNS($AV$9:AZ60)),"")=0,"",IFERROR(INDEX($A$9:$X$304,$AS61,COLUMNS($AV$9:AZ60)),""))</f>
        <v>EVENT</v>
      </c>
      <c r="BA61" s="1" t="str">
        <f>IF(IFERROR(INDEX($A$9:$X$304,$AS61,COLUMNS($AV$9:BA60)),"")=0,"",IFERROR(INDEX($A$9:$X$304,$AS61,COLUMNS($AV$9:BA60)),""))</f>
        <v/>
      </c>
      <c r="BB61" s="1" t="str">
        <f>IF(IFERROR(INDEX($A$9:$X$304,$AS61,COLUMNS($AV$9:BB60)),"")=0,"",IFERROR(INDEX($A$9:$X$304,$AS61,COLUMNS($AV$9:BB60)),""))</f>
        <v/>
      </c>
      <c r="BC61" s="1" t="str">
        <f>IF(IFERROR(INDEX($A$9:$X$304,$AS61,COLUMNS($AV$9:BC60)),"")=0,"",IFERROR(INDEX($A$9:$X$304,$AS61,COLUMNS($AV$9:BC60)),""))</f>
        <v>If it is your turn, put 3 demon tokens into play. Otherwise, put 2 demon tokens into play.</v>
      </c>
      <c r="BD61" s="1" t="str">
        <f>IF(IFERROR(INDEX($A$9:$X$304,$AS61,COLUMNS($AV$9:BD60)),"")=0,"",IFERROR(INDEX($A$9:$X$304,$AS61,COLUMNS($AV$9:BD60)),""))</f>
        <v/>
      </c>
      <c r="BE61" s="1" t="str">
        <f>IF(IFERROR(INDEX($A$9:$X$304,$AS61,COLUMNS($AV$9:BE60)),"")=0,"",IFERROR(INDEX($A$9:$X$304,$AS61,COLUMNS($AV$9:BE60)),""))</f>
        <v/>
      </c>
      <c r="BF61" s="1" t="str">
        <f>IF(IFERROR(INDEX($A$9:$X$304,$AS61,COLUMNS($AV$9:BF60)),"")=0,"",IFERROR(INDEX($A$9:$X$304,$AS61,COLUMNS($AV$9:BF60)),""))</f>
        <v/>
      </c>
      <c r="BG61" s="1" t="str">
        <f>IF(IFERROR(INDEX($A$9:$X$304,$AS61,COLUMNS($AV$9:BG60)),"")=0,"",IFERROR(INDEX($A$9:$X$304,$AS61,COLUMNS($AV$9:BG60)),""))</f>
        <v>{1}: Recall</v>
      </c>
      <c r="BH61" s="1" t="str">
        <f>IF(IFERROR(INDEX($A$9:$X$304,$AS61,COLUMNS($AV$9:BH60)),"")=0,"",IFERROR(INDEX($A$9:$X$304,$AS61,COLUMNS($AV$9:BH60)),""))</f>
        <v>When you recall this card → Lose 1 health.</v>
      </c>
      <c r="BI61" s="1" t="str">
        <f>IF(IFERROR(INDEX($A$9:$X$304,$AS61,COLUMNS($AV$9:BI60)),"")=0,"",IFERROR(INDEX($A$9:$X$304,$AS61,COLUMNS($AV$9:BI60)),""))</f>
        <v/>
      </c>
      <c r="BJ61" s="1" t="str">
        <f>IF(IFERROR(INDEX($A$9:$X$304,$AS61,COLUMNS($AV$9:BJ60)),"")=0,"",IFERROR(INDEX($A$9:$X$304,$AS61,COLUMNS($AV$9:BJ60)),""))</f>
        <v>DEMON</v>
      </c>
      <c r="BK61" s="1" t="str">
        <f>IF(IFERROR(INDEX($A$9:$X$304,$AS61,COLUMNS($AV$9:BK60)),"")=0,"",IFERROR(INDEX($A$9:$X$304,$AS61,COLUMNS($AV$9:BK60)),""))</f>
        <v>Rare</v>
      </c>
      <c r="BL61" s="1" t="str">
        <f>IF(IFERROR(INDEX($A$9:$X$304,$AS61,COLUMNS($AV$9:BL60)),"")=0,"",IFERROR(INDEX($A$9:$X$304,$AS61,COLUMNS($AV$9:BL60)),""))</f>
        <v>Antonis Papantoniou</v>
      </c>
      <c r="BM61" s="1" t="str">
        <f>IF(IFERROR(INDEX($A$9:$X$304,$AS61,COLUMNS($AV$9:BM60)),"")=0,"",IFERROR(INDEX($A$9:$X$304,$AS61,COLUMNS($AV$9:BM60)),""))</f>
        <v>Base Set</v>
      </c>
      <c r="BN61" s="3" t="b">
        <f>IF(IFERROR(INDEX($A$9:$X$304,$AS61,COLUMNS($AV$9:BN60)),"")=0,"",IFERROR(INDEX($A$9:$X$304,$AS61,COLUMNS($AV$9:BN60)),""))</f>
        <v>1</v>
      </c>
      <c r="BO61" s="3" t="b">
        <f>IF(IFERROR(INDEX($A$9:$X$304,$AS61,COLUMNS($AV$9:BO60)),"")=0,"",IFERROR(INDEX($A$9:$X$304,$AS61,COLUMNS($AV$9:BO60)),""))</f>
        <v>0</v>
      </c>
      <c r="BP61" s="3" t="b">
        <f>IF(IFERROR(INDEX($A$9:$X$304,$AS61,COLUMNS($AV$9:BP60)),"")=0,"",IFERROR(INDEX($A$9:$X$304,$AS61,COLUMNS($AV$9:BP60)),""))</f>
        <v>0</v>
      </c>
      <c r="BQ61" s="3" t="b">
        <f>IF(IFERROR(INDEX($A$9:$X$304,$AS61,COLUMNS($AV$9:BQ60)),"")=0,"",IFERROR(INDEX($A$9:$X$304,$AS61,COLUMNS($AV$9:BQ60)),""))</f>
        <v>0</v>
      </c>
      <c r="BR61" s="3" t="str">
        <f>IF(IFERROR(INDEX($A$9:$X$304,$AS61,COLUMNS($AV$9:BR60)),"")=0,"",IFERROR(INDEX($A$9:$X$304,$AS61,COLUMNS($AV$9:BR60)),""))</f>
        <v>http://www.epiccardgame.com/wp-content/uploads/2015/09/demon_breach-215x300.jpg</v>
      </c>
      <c r="BS61" s="3" t="str">
        <f>IF(IFERROR(INDEX($A$9:$X$304,$AS61,COLUMNS($AV$9:BS60)),"")=0,"",IFERROR(INDEX($A$9:$X$304,$AS61,COLUMNS($AV$9:BS60)),""))</f>
        <v/>
      </c>
      <c r="BT61" s="3"/>
      <c r="BU61" s="15"/>
      <c r="BV61" t="s">
        <v>82</v>
      </c>
    </row>
    <row r="62" spans="1:74" ht="225.2" customHeight="1" x14ac:dyDescent="0.25">
      <c r="A62" t="s">
        <v>379</v>
      </c>
      <c r="B62">
        <v>0</v>
      </c>
      <c r="C62" t="s">
        <v>618</v>
      </c>
      <c r="E62" t="s">
        <v>622</v>
      </c>
      <c r="F62">
        <v>4</v>
      </c>
      <c r="G62">
        <v>4</v>
      </c>
      <c r="H62" t="s">
        <v>652</v>
      </c>
      <c r="O62" t="s">
        <v>1079</v>
      </c>
      <c r="Q62" t="s">
        <v>1136</v>
      </c>
      <c r="R62" t="s">
        <v>1179</v>
      </c>
      <c r="S62" t="b">
        <v>0</v>
      </c>
      <c r="T62" t="b">
        <v>0</v>
      </c>
      <c r="U62" t="b">
        <v>0</v>
      </c>
      <c r="V62" t="b">
        <v>0</v>
      </c>
      <c r="W62" s="2" t="s">
        <v>1237</v>
      </c>
      <c r="X62" s="2"/>
      <c r="Y62" s="24">
        <v>54</v>
      </c>
      <c r="Z62">
        <f t="shared" si="0"/>
        <v>54</v>
      </c>
      <c r="AA62">
        <f t="shared" si="1"/>
        <v>54</v>
      </c>
      <c r="AB62">
        <f t="shared" si="2"/>
        <v>54</v>
      </c>
      <c r="AC62">
        <f t="shared" si="3"/>
        <v>0</v>
      </c>
      <c r="AD62">
        <f t="shared" si="4"/>
        <v>54</v>
      </c>
      <c r="AE62">
        <f t="shared" si="5"/>
        <v>54</v>
      </c>
      <c r="AF62">
        <f t="shared" si="6"/>
        <v>54</v>
      </c>
      <c r="AG62">
        <f t="shared" si="7"/>
        <v>54</v>
      </c>
      <c r="AH62">
        <f t="shared" si="8"/>
        <v>0</v>
      </c>
      <c r="AI62">
        <f t="shared" si="9"/>
        <v>0</v>
      </c>
      <c r="AJ62">
        <f t="shared" si="10"/>
        <v>0</v>
      </c>
      <c r="AK62">
        <f t="shared" si="11"/>
        <v>0</v>
      </c>
      <c r="AL62">
        <f t="shared" si="12"/>
        <v>0</v>
      </c>
      <c r="AM62">
        <f t="shared" si="13"/>
        <v>0</v>
      </c>
      <c r="AN62">
        <f t="shared" si="14"/>
        <v>54</v>
      </c>
      <c r="AO62">
        <f t="shared" si="15"/>
        <v>0</v>
      </c>
      <c r="AP62">
        <f t="shared" si="16"/>
        <v>54</v>
      </c>
      <c r="AQ62">
        <f t="shared" si="17"/>
        <v>54</v>
      </c>
      <c r="AR62" s="6">
        <f t="shared" si="18"/>
        <v>54</v>
      </c>
      <c r="AS62">
        <f t="shared" si="19"/>
        <v>54</v>
      </c>
      <c r="AV62" s="1" t="str">
        <f>IF(IFERROR(INDEX($A$9:$W$304,$AS62,COLUMNS($AV$9:AV61)),"")=0,"",IFERROR(INDEX($A$9:$W$304,$AS62,COLUMNS($AV$9:AV61)),""))</f>
        <v>Demon Token</v>
      </c>
      <c r="AW62" s="1">
        <f>IFERROR(INDEX($A$9:$W$304,$AS62,COLUMNS($AV$9:AW61)),"")</f>
        <v>0</v>
      </c>
      <c r="AX62" s="1" t="str">
        <f>IF(IFERROR(INDEX($A$9:$X$304,$AS62,COLUMNS($AV$9:AX61)),"")=0,"",IFERROR(INDEX($A$9:$X$304,$AS62,COLUMNS($AV$9:AX61)),""))</f>
        <v>EVIL</v>
      </c>
      <c r="AY62" s="1" t="str">
        <f>IF(IFERROR(INDEX($A$9:$X$304,$AS62,COLUMNS($AV$9:AY61)),"")=0,"",IFERROR(INDEX($A$9:$X$304,$AS62,COLUMNS($AV$9:AY61)),""))</f>
        <v/>
      </c>
      <c r="AZ62" s="1" t="str">
        <f>IF(IFERROR(INDEX($A$9:$X$304,$AS62,COLUMNS($AV$9:AZ61)),"")=0,"",IFERROR(INDEX($A$9:$X$304,$AS62,COLUMNS($AV$9:AZ61)),""))</f>
        <v>TOKEN CHAMPION</v>
      </c>
      <c r="BA62" s="1">
        <f>IF(IFERROR(INDEX($A$9:$X$304,$AS62,COLUMNS($AV$9:BA61)),"")=0,"",IFERROR(INDEX($A$9:$X$304,$AS62,COLUMNS($AV$9:BA61)),""))</f>
        <v>4</v>
      </c>
      <c r="BB62" s="1">
        <f>IF(IFERROR(INDEX($A$9:$X$304,$AS62,COLUMNS($AV$9:BB61)),"")=0,"",IFERROR(INDEX($A$9:$X$304,$AS62,COLUMNS($AV$9:BB61)),""))</f>
        <v>4</v>
      </c>
      <c r="BC62" s="1" t="str">
        <f>IF(IFERROR(INDEX($A$9:$X$304,$AS62,COLUMNS($AV$9:BC61)),"")=0,"",IFERROR(INDEX($A$9:$X$304,$AS62,COLUMNS($AV$9:BC61)),""))</f>
        <v>“With this blood, I summon you.”</v>
      </c>
      <c r="BD62" s="1" t="str">
        <f>IF(IFERROR(INDEX($A$9:$X$304,$AS62,COLUMNS($AV$9:BD61)),"")=0,"",IFERROR(INDEX($A$9:$X$304,$AS62,COLUMNS($AV$9:BD61)),""))</f>
        <v/>
      </c>
      <c r="BE62" s="1" t="str">
        <f>IF(IFERROR(INDEX($A$9:$X$304,$AS62,COLUMNS($AV$9:BE61)),"")=0,"",IFERROR(INDEX($A$9:$X$304,$AS62,COLUMNS($AV$9:BE61)),""))</f>
        <v/>
      </c>
      <c r="BF62" s="1" t="str">
        <f>IF(IFERROR(INDEX($A$9:$X$304,$AS62,COLUMNS($AV$9:BF61)),"")=0,"",IFERROR(INDEX($A$9:$X$304,$AS62,COLUMNS($AV$9:BF61)),""))</f>
        <v/>
      </c>
      <c r="BG62" s="1" t="str">
        <f>IF(IFERROR(INDEX($A$9:$X$304,$AS62,COLUMNS($AV$9:BG61)),"")=0,"",IFERROR(INDEX($A$9:$X$304,$AS62,COLUMNS($AV$9:BG61)),""))</f>
        <v/>
      </c>
      <c r="BH62" s="1" t="str">
        <f>IF(IFERROR(INDEX($A$9:$X$304,$AS62,COLUMNS($AV$9:BH61)),"")=0,"",IFERROR(INDEX($A$9:$X$304,$AS62,COLUMNS($AV$9:BH61)),""))</f>
        <v/>
      </c>
      <c r="BI62" s="1" t="str">
        <f>IF(IFERROR(INDEX($A$9:$X$304,$AS62,COLUMNS($AV$9:BI61)),"")=0,"",IFERROR(INDEX($A$9:$X$304,$AS62,COLUMNS($AV$9:BI61)),""))</f>
        <v/>
      </c>
      <c r="BJ62" s="1" t="str">
        <f>IF(IFERROR(INDEX($A$9:$X$304,$AS62,COLUMNS($AV$9:BJ61)),"")=0,"",IFERROR(INDEX($A$9:$X$304,$AS62,COLUMNS($AV$9:BJ61)),""))</f>
        <v>DEMON TOKEN</v>
      </c>
      <c r="BK62" s="1" t="str">
        <f>IF(IFERROR(INDEX($A$9:$X$304,$AS62,COLUMNS($AV$9:BK61)),"")=0,"",IFERROR(INDEX($A$9:$X$304,$AS62,COLUMNS($AV$9:BK61)),""))</f>
        <v/>
      </c>
      <c r="BL62" s="1" t="str">
        <f>IF(IFERROR(INDEX($A$9:$X$304,$AS62,COLUMNS($AV$9:BL61)),"")=0,"",IFERROR(INDEX($A$9:$X$304,$AS62,COLUMNS($AV$9:BL61)),""))</f>
        <v>L. Sean</v>
      </c>
      <c r="BM62" s="1" t="str">
        <f>IF(IFERROR(INDEX($A$9:$X$304,$AS62,COLUMNS($AV$9:BM61)),"")=0,"",IFERROR(INDEX($A$9:$X$304,$AS62,COLUMNS($AV$9:BM61)),""))</f>
        <v>Pantheon: Gareth vs Lashnok</v>
      </c>
      <c r="BN62" s="3" t="b">
        <f>IF(IFERROR(INDEX($A$9:$X$304,$AS62,COLUMNS($AV$9:BN61)),"")=0,"",IFERROR(INDEX($A$9:$X$304,$AS62,COLUMNS($AV$9:BN61)),""))</f>
        <v>0</v>
      </c>
      <c r="BO62" s="3" t="b">
        <f>IF(IFERROR(INDEX($A$9:$X$304,$AS62,COLUMNS($AV$9:BO61)),"")=0,"",IFERROR(INDEX($A$9:$X$304,$AS62,COLUMNS($AV$9:BO61)),""))</f>
        <v>0</v>
      </c>
      <c r="BP62" s="3" t="b">
        <f>IF(IFERROR(INDEX($A$9:$X$304,$AS62,COLUMNS($AV$9:BP61)),"")=0,"",IFERROR(INDEX($A$9:$X$304,$AS62,COLUMNS($AV$9:BP61)),""))</f>
        <v>0</v>
      </c>
      <c r="BQ62" s="3" t="b">
        <f>IF(IFERROR(INDEX($A$9:$X$304,$AS62,COLUMNS($AV$9:BQ61)),"")=0,"",IFERROR(INDEX($A$9:$X$304,$AS62,COLUMNS($AV$9:BQ61)),""))</f>
        <v>0</v>
      </c>
      <c r="BR62" s="3" t="str">
        <f>IF(IFERROR(INDEX($A$9:$X$304,$AS62,COLUMNS($AV$9:BR61)),"")=0,"",IFERROR(INDEX($A$9:$X$304,$AS62,COLUMNS($AV$9:BR61)),""))</f>
        <v>https://www.epiccardgame.com/wp-content/uploads/2017/11/PNG-EN-17-demon-token.jpg</v>
      </c>
      <c r="BS62" s="3" t="str">
        <f>IF(IFERROR(INDEX($A$9:$X$304,$AS62,COLUMNS($AV$9:BS61)),"")=0,"",IFERROR(INDEX($A$9:$X$304,$AS62,COLUMNS($AV$9:BS61)),""))</f>
        <v/>
      </c>
      <c r="BT62" s="3"/>
      <c r="BU62" s="15"/>
      <c r="BV62" t="s">
        <v>83</v>
      </c>
    </row>
    <row r="63" spans="1:74" ht="225" customHeight="1" x14ac:dyDescent="0.25">
      <c r="A63" t="s">
        <v>380</v>
      </c>
      <c r="B63">
        <v>1</v>
      </c>
      <c r="C63" t="s">
        <v>618</v>
      </c>
      <c r="E63" t="s">
        <v>619</v>
      </c>
      <c r="H63" t="s">
        <v>653</v>
      </c>
      <c r="I63" t="s">
        <v>627</v>
      </c>
      <c r="O63" t="s">
        <v>1078</v>
      </c>
      <c r="P63" t="s">
        <v>1112</v>
      </c>
      <c r="Q63" t="s">
        <v>1127</v>
      </c>
      <c r="R63" t="s">
        <v>1172</v>
      </c>
      <c r="S63" t="b">
        <v>1</v>
      </c>
      <c r="T63" t="b">
        <v>1</v>
      </c>
      <c r="U63" t="b">
        <v>0</v>
      </c>
      <c r="V63" t="b">
        <v>0</v>
      </c>
      <c r="W63" s="2" t="s">
        <v>1238</v>
      </c>
      <c r="X63" s="2"/>
      <c r="Y63" s="24">
        <v>55</v>
      </c>
      <c r="Z63">
        <f t="shared" si="0"/>
        <v>55</v>
      </c>
      <c r="AA63">
        <f t="shared" si="1"/>
        <v>55</v>
      </c>
      <c r="AB63">
        <f t="shared" si="2"/>
        <v>55</v>
      </c>
      <c r="AC63">
        <f t="shared" si="3"/>
        <v>0</v>
      </c>
      <c r="AD63">
        <f t="shared" si="4"/>
        <v>55</v>
      </c>
      <c r="AE63">
        <f t="shared" si="5"/>
        <v>0</v>
      </c>
      <c r="AF63">
        <f t="shared" si="6"/>
        <v>0</v>
      </c>
      <c r="AG63">
        <f t="shared" si="7"/>
        <v>55</v>
      </c>
      <c r="AH63">
        <f t="shared" si="8"/>
        <v>55</v>
      </c>
      <c r="AI63">
        <f t="shared" si="9"/>
        <v>0</v>
      </c>
      <c r="AJ63">
        <f t="shared" si="10"/>
        <v>0</v>
      </c>
      <c r="AK63">
        <f t="shared" si="11"/>
        <v>0</v>
      </c>
      <c r="AL63">
        <f t="shared" si="12"/>
        <v>0</v>
      </c>
      <c r="AM63">
        <f t="shared" si="13"/>
        <v>0</v>
      </c>
      <c r="AN63">
        <f t="shared" si="14"/>
        <v>55</v>
      </c>
      <c r="AO63">
        <f t="shared" si="15"/>
        <v>55</v>
      </c>
      <c r="AP63">
        <f t="shared" si="16"/>
        <v>55</v>
      </c>
      <c r="AQ63">
        <f t="shared" si="17"/>
        <v>55</v>
      </c>
      <c r="AR63" s="6">
        <f t="shared" si="18"/>
        <v>55</v>
      </c>
      <c r="AS63">
        <f t="shared" si="19"/>
        <v>55</v>
      </c>
      <c r="AV63" s="1" t="str">
        <f>IF(IFERROR(INDEX($A$9:$W$304,$AS63,COLUMNS($AV$9:AV62)),"")=0,"",IFERROR(INDEX($A$9:$W$304,$AS63,COLUMNS($AV$9:AV62)),""))</f>
        <v>Demonic Rising</v>
      </c>
      <c r="AW63" s="1">
        <f>IFERROR(INDEX($A$9:$W$304,$AS63,COLUMNS($AV$9:AW62)),"")</f>
        <v>1</v>
      </c>
      <c r="AX63" s="1" t="str">
        <f>IF(IFERROR(INDEX($A$9:$X$304,$AS63,COLUMNS($AV$9:AX62)),"")=0,"",IFERROR(INDEX($A$9:$X$304,$AS63,COLUMNS($AV$9:AX62)),""))</f>
        <v>EVIL</v>
      </c>
      <c r="AY63" s="1" t="str">
        <f>IF(IFERROR(INDEX($A$9:$X$304,$AS63,COLUMNS($AV$9:AY62)),"")=0,"",IFERROR(INDEX($A$9:$X$304,$AS63,COLUMNS($AV$9:AY62)),""))</f>
        <v/>
      </c>
      <c r="AZ63" s="1" t="str">
        <f>IF(IFERROR(INDEX($A$9:$X$304,$AS63,COLUMNS($AV$9:AZ62)),"")=0,"",IFERROR(INDEX($A$9:$X$304,$AS63,COLUMNS($AV$9:AZ62)),""))</f>
        <v>EVENT</v>
      </c>
      <c r="BA63" s="1" t="str">
        <f>IF(IFERROR(INDEX($A$9:$X$304,$AS63,COLUMNS($AV$9:BA62)),"")=0,"",IFERROR(INDEX($A$9:$X$304,$AS63,COLUMNS($AV$9:BA62)),""))</f>
        <v/>
      </c>
      <c r="BB63" s="1" t="str">
        <f>IF(IFERROR(INDEX($A$9:$X$304,$AS63,COLUMNS($AV$9:BB62)),"")=0,"",IFERROR(INDEX($A$9:$X$304,$AS63,COLUMNS($AV$9:BB62)),""))</f>
        <v/>
      </c>
      <c r="BC63" s="1" t="str">
        <f>IF(IFERROR(INDEX($A$9:$X$304,$AS63,COLUMNS($AV$9:BC62)),"")=0,"",IFERROR(INDEX($A$9:$X$304,$AS63,COLUMNS($AV$9:BC62)),""))</f>
        <v>Break all champions. For each champion broken this way, its controller puts a demon token into play. Demons have blitz this turn.</v>
      </c>
      <c r="BD63" s="1" t="str">
        <f>IF(IFERROR(INDEX($A$9:$X$304,$AS63,COLUMNS($AV$9:BD62)),"")=0,"",IFERROR(INDEX($A$9:$X$304,$AS63,COLUMNS($AV$9:BD62)),""))</f>
        <v>Draw two cards.</v>
      </c>
      <c r="BE63" s="1" t="str">
        <f>IF(IFERROR(INDEX($A$9:$X$304,$AS63,COLUMNS($AV$9:BE62)),"")=0,"",IFERROR(INDEX($A$9:$X$304,$AS63,COLUMNS($AV$9:BE62)),""))</f>
        <v/>
      </c>
      <c r="BF63" s="1" t="str">
        <f>IF(IFERROR(INDEX($A$9:$X$304,$AS63,COLUMNS($AV$9:BF62)),"")=0,"",IFERROR(INDEX($A$9:$X$304,$AS63,COLUMNS($AV$9:BF62)),""))</f>
        <v/>
      </c>
      <c r="BG63" s="1" t="str">
        <f>IF(IFERROR(INDEX($A$9:$X$304,$AS63,COLUMNS($AV$9:BG62)),"")=0,"",IFERROR(INDEX($A$9:$X$304,$AS63,COLUMNS($AV$9:BG62)),""))</f>
        <v/>
      </c>
      <c r="BH63" s="1" t="str">
        <f>IF(IFERROR(INDEX($A$9:$X$304,$AS63,COLUMNS($AV$9:BH62)),"")=0,"",IFERROR(INDEX($A$9:$X$304,$AS63,COLUMNS($AV$9:BH62)),""))</f>
        <v/>
      </c>
      <c r="BI63" s="1" t="str">
        <f>IF(IFERROR(INDEX($A$9:$X$304,$AS63,COLUMNS($AV$9:BI62)),"")=0,"",IFERROR(INDEX($A$9:$X$304,$AS63,COLUMNS($AV$9:BI62)),""))</f>
        <v/>
      </c>
      <c r="BJ63" s="1" t="str">
        <f>IF(IFERROR(INDEX($A$9:$X$304,$AS63,COLUMNS($AV$9:BJ62)),"")=0,"",IFERROR(INDEX($A$9:$X$304,$AS63,COLUMNS($AV$9:BJ62)),""))</f>
        <v>DEMON</v>
      </c>
      <c r="BK63" s="1" t="str">
        <f>IF(IFERROR(INDEX($A$9:$X$304,$AS63,COLUMNS($AV$9:BK62)),"")=0,"",IFERROR(INDEX($A$9:$X$304,$AS63,COLUMNS($AV$9:BK62)),""))</f>
        <v>Common</v>
      </c>
      <c r="BL63" s="1" t="str">
        <f>IF(IFERROR(INDEX($A$9:$X$304,$AS63,COLUMNS($AV$9:BL62)),"")=0,"",IFERROR(INDEX($A$9:$X$304,$AS63,COLUMNS($AV$9:BL62)),""))</f>
        <v>Johnny Morrow</v>
      </c>
      <c r="BM63" s="1" t="str">
        <f>IF(IFERROR(INDEX($A$9:$X$304,$AS63,COLUMNS($AV$9:BM62)),"")=0,"",IFERROR(INDEX($A$9:$X$304,$AS63,COLUMNS($AV$9:BM62)),""))</f>
        <v>Uprising: Velden's Wrath</v>
      </c>
      <c r="BN63" s="3" t="b">
        <f>IF(IFERROR(INDEX($A$9:$X$304,$AS63,COLUMNS($AV$9:BN62)),"")=0,"",IFERROR(INDEX($A$9:$X$304,$AS63,COLUMNS($AV$9:BN62)),""))</f>
        <v>1</v>
      </c>
      <c r="BO63" s="3" t="b">
        <f>IF(IFERROR(INDEX($A$9:$X$304,$AS63,COLUMNS($AV$9:BO62)),"")=0,"",IFERROR(INDEX($A$9:$X$304,$AS63,COLUMNS($AV$9:BO62)),""))</f>
        <v>1</v>
      </c>
      <c r="BP63" s="3" t="b">
        <f>IF(IFERROR(INDEX($A$9:$X$304,$AS63,COLUMNS($AV$9:BP62)),"")=0,"",IFERROR(INDEX($A$9:$X$304,$AS63,COLUMNS($AV$9:BP62)),""))</f>
        <v>0</v>
      </c>
      <c r="BQ63" s="3" t="b">
        <f>IF(IFERROR(INDEX($A$9:$X$304,$AS63,COLUMNS($AV$9:BQ62)),"")=0,"",IFERROR(INDEX($A$9:$X$304,$AS63,COLUMNS($AV$9:BQ62)),""))</f>
        <v>0</v>
      </c>
      <c r="BR63" s="3" t="str">
        <f>IF(IFERROR(INDEX($A$9:$X$304,$AS63,COLUMNS($AV$9:BR62)),"")=0,"",IFERROR(INDEX($A$9:$X$304,$AS63,COLUMNS($AV$9:BR62)),""))</f>
        <v>https://www.epiccardgame.com/wp-content/uploads/2017/11/UPV-EN-demonic-rising.jpg</v>
      </c>
      <c r="BS63" s="3" t="str">
        <f>IF(IFERROR(INDEX($A$9:$X$304,$AS63,COLUMNS($AV$9:BS62)),"")=0,"",IFERROR(INDEX($A$9:$X$304,$AS63,COLUMNS($AV$9:BS62)),""))</f>
        <v/>
      </c>
      <c r="BT63" s="3"/>
      <c r="BU63" s="15"/>
      <c r="BV63" t="s">
        <v>84</v>
      </c>
    </row>
    <row r="64" spans="1:74" ht="225.2" customHeight="1" x14ac:dyDescent="0.25">
      <c r="A64" t="s">
        <v>381</v>
      </c>
      <c r="B64">
        <v>1</v>
      </c>
      <c r="C64" t="s">
        <v>615</v>
      </c>
      <c r="E64" t="s">
        <v>620</v>
      </c>
      <c r="F64">
        <v>8</v>
      </c>
      <c r="G64">
        <v>8</v>
      </c>
      <c r="H64" t="s">
        <v>24</v>
      </c>
      <c r="I64" t="s">
        <v>807</v>
      </c>
      <c r="J64" t="s">
        <v>973</v>
      </c>
      <c r="O64" t="s">
        <v>1080</v>
      </c>
      <c r="P64" t="s">
        <v>1112</v>
      </c>
      <c r="Q64" t="s">
        <v>1137</v>
      </c>
      <c r="R64" t="s">
        <v>1172</v>
      </c>
      <c r="S64" t="b">
        <v>1</v>
      </c>
      <c r="T64" t="b">
        <v>0</v>
      </c>
      <c r="U64" t="b">
        <v>0</v>
      </c>
      <c r="V64" t="b">
        <v>0</v>
      </c>
      <c r="W64" s="2" t="s">
        <v>1239</v>
      </c>
      <c r="X64" s="2"/>
      <c r="Y64" s="24">
        <v>56</v>
      </c>
      <c r="Z64">
        <f t="shared" si="0"/>
        <v>56</v>
      </c>
      <c r="AA64">
        <f t="shared" si="1"/>
        <v>56</v>
      </c>
      <c r="AB64">
        <f t="shared" si="2"/>
        <v>56</v>
      </c>
      <c r="AC64">
        <f t="shared" si="3"/>
        <v>0</v>
      </c>
      <c r="AD64">
        <f t="shared" si="4"/>
        <v>56</v>
      </c>
      <c r="AE64">
        <f t="shared" si="5"/>
        <v>56</v>
      </c>
      <c r="AF64">
        <f t="shared" si="6"/>
        <v>56</v>
      </c>
      <c r="AG64">
        <f t="shared" si="7"/>
        <v>56</v>
      </c>
      <c r="AH64">
        <f t="shared" si="8"/>
        <v>56</v>
      </c>
      <c r="AI64">
        <f t="shared" si="9"/>
        <v>56</v>
      </c>
      <c r="AJ64">
        <f t="shared" si="10"/>
        <v>0</v>
      </c>
      <c r="AK64">
        <f t="shared" si="11"/>
        <v>0</v>
      </c>
      <c r="AL64">
        <f t="shared" si="12"/>
        <v>0</v>
      </c>
      <c r="AM64">
        <f t="shared" si="13"/>
        <v>0</v>
      </c>
      <c r="AN64">
        <f t="shared" si="14"/>
        <v>56</v>
      </c>
      <c r="AO64">
        <f t="shared" si="15"/>
        <v>56</v>
      </c>
      <c r="AP64">
        <f t="shared" si="16"/>
        <v>56</v>
      </c>
      <c r="AQ64">
        <f t="shared" si="17"/>
        <v>56</v>
      </c>
      <c r="AR64" s="6">
        <f t="shared" si="18"/>
        <v>56</v>
      </c>
      <c r="AS64">
        <f t="shared" si="19"/>
        <v>56</v>
      </c>
      <c r="AV64" s="1" t="str">
        <f>IF(IFERROR(INDEX($A$9:$W$304,$AS64,COLUMNS($AV$9:AV63)),"")=0,"",IFERROR(INDEX($A$9:$W$304,$AS64,COLUMNS($AV$9:AV63)),""))</f>
        <v>Den Mother</v>
      </c>
      <c r="AW64" s="1">
        <f>IFERROR(INDEX($A$9:$W$304,$AS64,COLUMNS($AV$9:AW63)),"")</f>
        <v>1</v>
      </c>
      <c r="AX64" s="1" t="str">
        <f>IF(IFERROR(INDEX($A$9:$X$304,$AS64,COLUMNS($AV$9:AX63)),"")=0,"",IFERROR(INDEX($A$9:$X$304,$AS64,COLUMNS($AV$9:AX63)),""))</f>
        <v>WILD</v>
      </c>
      <c r="AY64" s="1" t="str">
        <f>IF(IFERROR(INDEX($A$9:$X$304,$AS64,COLUMNS($AV$9:AY63)),"")=0,"",IFERROR(INDEX($A$9:$X$304,$AS64,COLUMNS($AV$9:AY63)),""))</f>
        <v/>
      </c>
      <c r="AZ64" s="1" t="str">
        <f>IF(IFERROR(INDEX($A$9:$X$304,$AS64,COLUMNS($AV$9:AZ63)),"")=0,"",IFERROR(INDEX($A$9:$X$304,$AS64,COLUMNS($AV$9:AZ63)),""))</f>
        <v>CHAMPION</v>
      </c>
      <c r="BA64" s="1">
        <f>IF(IFERROR(INDEX($A$9:$X$304,$AS64,COLUMNS($AV$9:BA63)),"")=0,"",IFERROR(INDEX($A$9:$X$304,$AS64,COLUMNS($AV$9:BA63)),""))</f>
        <v>8</v>
      </c>
      <c r="BB64" s="1">
        <f>IF(IFERROR(INDEX($A$9:$X$304,$AS64,COLUMNS($AV$9:BB63)),"")=0,"",IFERROR(INDEX($A$9:$X$304,$AS64,COLUMNS($AV$9:BB63)),""))</f>
        <v>8</v>
      </c>
      <c r="BC64" s="1" t="str">
        <f>IF(IFERROR(INDEX($A$9:$X$304,$AS64,COLUMNS($AV$9:BC63)),"")=0,"",IFERROR(INDEX($A$9:$X$304,$AS64,COLUMNS($AV$9:BC63)),""))</f>
        <v>Breakthrough</v>
      </c>
      <c r="BD64" s="1" t="str">
        <f>IF(IFERROR(INDEX($A$9:$X$304,$AS64,COLUMNS($AV$9:BD63)),"")=0,"",IFERROR(INDEX($A$9:$X$304,$AS64,COLUMNS($AV$9:BD63)),""))</f>
        <v>Tribute → Put three wolf tokens into play.</v>
      </c>
      <c r="BE64" s="1" t="str">
        <f>IF(IFERROR(INDEX($A$9:$X$304,$AS64,COLUMNS($AV$9:BE63)),"")=0,"",IFERROR(INDEX($A$9:$X$304,$AS64,COLUMNS($AV$9:BE63)),""))</f>
        <v>When a wolf you control is broken → This card gains +3 {offense} and +3 {defense} this turn.</v>
      </c>
      <c r="BF64" s="1" t="str">
        <f>IF(IFERROR(INDEX($A$9:$X$304,$AS64,COLUMNS($AV$9:BF63)),"")=0,"",IFERROR(INDEX($A$9:$X$304,$AS64,COLUMNS($AV$9:BF63)),""))</f>
        <v/>
      </c>
      <c r="BG64" s="1" t="str">
        <f>IF(IFERROR(INDEX($A$9:$X$304,$AS64,COLUMNS($AV$9:BG63)),"")=0,"",IFERROR(INDEX($A$9:$X$304,$AS64,COLUMNS($AV$9:BG63)),""))</f>
        <v/>
      </c>
      <c r="BH64" s="1" t="str">
        <f>IF(IFERROR(INDEX($A$9:$X$304,$AS64,COLUMNS($AV$9:BH63)),"")=0,"",IFERROR(INDEX($A$9:$X$304,$AS64,COLUMNS($AV$9:BH63)),""))</f>
        <v/>
      </c>
      <c r="BI64" s="1" t="str">
        <f>IF(IFERROR(INDEX($A$9:$X$304,$AS64,COLUMNS($AV$9:BI63)),"")=0,"",IFERROR(INDEX($A$9:$X$304,$AS64,COLUMNS($AV$9:BI63)),""))</f>
        <v/>
      </c>
      <c r="BJ64" s="1" t="str">
        <f>IF(IFERROR(INDEX($A$9:$X$304,$AS64,COLUMNS($AV$9:BJ63)),"")=0,"",IFERROR(INDEX($A$9:$X$304,$AS64,COLUMNS($AV$9:BJ63)),""))</f>
        <v>WOLF</v>
      </c>
      <c r="BK64" s="1" t="str">
        <f>IF(IFERROR(INDEX($A$9:$X$304,$AS64,COLUMNS($AV$9:BK63)),"")=0,"",IFERROR(INDEX($A$9:$X$304,$AS64,COLUMNS($AV$9:BK63)),""))</f>
        <v>Common</v>
      </c>
      <c r="BL64" s="1" t="str">
        <f>IF(IFERROR(INDEX($A$9:$X$304,$AS64,COLUMNS($AV$9:BL63)),"")=0,"",IFERROR(INDEX($A$9:$X$304,$AS64,COLUMNS($AV$9:BL63)),""))</f>
        <v>David Nash</v>
      </c>
      <c r="BM64" s="1" t="str">
        <f>IF(IFERROR(INDEX($A$9:$X$304,$AS64,COLUMNS($AV$9:BM63)),"")=0,"",IFERROR(INDEX($A$9:$X$304,$AS64,COLUMNS($AV$9:BM63)),""))</f>
        <v>Uprising: Velden's Wrath</v>
      </c>
      <c r="BN64" s="3" t="b">
        <f>IF(IFERROR(INDEX($A$9:$X$304,$AS64,COLUMNS($AV$9:BN63)),"")=0,"",IFERROR(INDEX($A$9:$X$304,$AS64,COLUMNS($AV$9:BN63)),""))</f>
        <v>1</v>
      </c>
      <c r="BO64" s="3" t="b">
        <f>IF(IFERROR(INDEX($A$9:$X$304,$AS64,COLUMNS($AV$9:BO63)),"")=0,"",IFERROR(INDEX($A$9:$X$304,$AS64,COLUMNS($AV$9:BO63)),""))</f>
        <v>0</v>
      </c>
      <c r="BP64" s="3" t="b">
        <f>IF(IFERROR(INDEX($A$9:$X$304,$AS64,COLUMNS($AV$9:BP63)),"")=0,"",IFERROR(INDEX($A$9:$X$304,$AS64,COLUMNS($AV$9:BP63)),""))</f>
        <v>0</v>
      </c>
      <c r="BQ64" s="3" t="b">
        <f>IF(IFERROR(INDEX($A$9:$X$304,$AS64,COLUMNS($AV$9:BQ63)),"")=0,"",IFERROR(INDEX($A$9:$X$304,$AS64,COLUMNS($AV$9:BQ63)),""))</f>
        <v>0</v>
      </c>
      <c r="BR64" s="3" t="str">
        <f>IF(IFERROR(INDEX($A$9:$X$304,$AS64,COLUMNS($AV$9:BR63)),"")=0,"",IFERROR(INDEX($A$9:$X$304,$AS64,COLUMNS($AV$9:BR63)),""))</f>
        <v>https://www.epiccardgame.com/wp-content/uploads/2017/11/UPV-EN-den-mother.jpg</v>
      </c>
      <c r="BS64" s="3" t="str">
        <f>IF(IFERROR(INDEX($A$9:$X$304,$AS64,COLUMNS($AV$9:BS63)),"")=0,"",IFERROR(INDEX($A$9:$X$304,$AS64,COLUMNS($AV$9:BS63)),""))</f>
        <v/>
      </c>
      <c r="BT64" s="3"/>
      <c r="BU64" s="15"/>
      <c r="BV64" t="s">
        <v>85</v>
      </c>
    </row>
    <row r="65" spans="1:74" ht="225.2" customHeight="1" x14ac:dyDescent="0.25">
      <c r="A65" t="s">
        <v>382</v>
      </c>
      <c r="B65">
        <v>1</v>
      </c>
      <c r="C65" t="s">
        <v>618</v>
      </c>
      <c r="E65" t="s">
        <v>619</v>
      </c>
      <c r="H65" t="s">
        <v>627</v>
      </c>
      <c r="L65" t="s">
        <v>1044</v>
      </c>
      <c r="M65" t="s">
        <v>1060</v>
      </c>
      <c r="O65" t="s">
        <v>1078</v>
      </c>
      <c r="P65" t="s">
        <v>1112</v>
      </c>
      <c r="Q65" t="s">
        <v>1138</v>
      </c>
      <c r="R65" t="s">
        <v>1170</v>
      </c>
      <c r="S65" t="b">
        <v>1</v>
      </c>
      <c r="T65" t="b">
        <v>0</v>
      </c>
      <c r="U65" t="b">
        <v>0</v>
      </c>
      <c r="V65" t="b">
        <v>0</v>
      </c>
      <c r="W65" s="2" t="s">
        <v>1240</v>
      </c>
      <c r="X65" s="2"/>
      <c r="Y65" s="24">
        <v>57</v>
      </c>
      <c r="Z65">
        <f t="shared" si="0"/>
        <v>57</v>
      </c>
      <c r="AA65">
        <f t="shared" si="1"/>
        <v>57</v>
      </c>
      <c r="AB65">
        <f t="shared" si="2"/>
        <v>57</v>
      </c>
      <c r="AC65">
        <f t="shared" si="3"/>
        <v>0</v>
      </c>
      <c r="AD65">
        <f t="shared" si="4"/>
        <v>57</v>
      </c>
      <c r="AE65">
        <f t="shared" si="5"/>
        <v>0</v>
      </c>
      <c r="AF65">
        <f t="shared" si="6"/>
        <v>0</v>
      </c>
      <c r="AG65">
        <f t="shared" si="7"/>
        <v>57</v>
      </c>
      <c r="AH65">
        <f t="shared" si="8"/>
        <v>0</v>
      </c>
      <c r="AI65">
        <f t="shared" si="9"/>
        <v>0</v>
      </c>
      <c r="AJ65">
        <f t="shared" si="10"/>
        <v>0</v>
      </c>
      <c r="AK65">
        <f t="shared" si="11"/>
        <v>57</v>
      </c>
      <c r="AL65">
        <f t="shared" si="12"/>
        <v>57</v>
      </c>
      <c r="AM65">
        <f t="shared" si="13"/>
        <v>0</v>
      </c>
      <c r="AN65">
        <f t="shared" si="14"/>
        <v>57</v>
      </c>
      <c r="AO65">
        <f t="shared" si="15"/>
        <v>57</v>
      </c>
      <c r="AP65">
        <f t="shared" si="16"/>
        <v>57</v>
      </c>
      <c r="AQ65">
        <f t="shared" si="17"/>
        <v>57</v>
      </c>
      <c r="AR65" s="6">
        <f t="shared" si="18"/>
        <v>57</v>
      </c>
      <c r="AS65">
        <f t="shared" si="19"/>
        <v>57</v>
      </c>
      <c r="AV65" s="1" t="str">
        <f>IF(IFERROR(INDEX($A$9:$W$304,$AS65,COLUMNS($AV$9:AV64)),"")=0,"",IFERROR(INDEX($A$9:$W$304,$AS65,COLUMNS($AV$9:AV64)),""))</f>
        <v>Dirge of Scara</v>
      </c>
      <c r="AW65" s="1">
        <f>IFERROR(INDEX($A$9:$W$304,$AS65,COLUMNS($AV$9:AW64)),"")</f>
        <v>1</v>
      </c>
      <c r="AX65" s="1" t="str">
        <f>IF(IFERROR(INDEX($A$9:$X$304,$AS65,COLUMNS($AV$9:AX64)),"")=0,"",IFERROR(INDEX($A$9:$X$304,$AS65,COLUMNS($AV$9:AX64)),""))</f>
        <v>EVIL</v>
      </c>
      <c r="AY65" s="1" t="str">
        <f>IF(IFERROR(INDEX($A$9:$X$304,$AS65,COLUMNS($AV$9:AY64)),"")=0,"",IFERROR(INDEX($A$9:$X$304,$AS65,COLUMNS($AV$9:AY64)),""))</f>
        <v/>
      </c>
      <c r="AZ65" s="1" t="str">
        <f>IF(IFERROR(INDEX($A$9:$X$304,$AS65,COLUMNS($AV$9:AZ64)),"")=0,"",IFERROR(INDEX($A$9:$X$304,$AS65,COLUMNS($AV$9:AZ64)),""))</f>
        <v>EVENT</v>
      </c>
      <c r="BA65" s="1" t="str">
        <f>IF(IFERROR(INDEX($A$9:$X$304,$AS65,COLUMNS($AV$9:BA64)),"")=0,"",IFERROR(INDEX($A$9:$X$304,$AS65,COLUMNS($AV$9:BA64)),""))</f>
        <v/>
      </c>
      <c r="BB65" s="1" t="str">
        <f>IF(IFERROR(INDEX($A$9:$X$304,$AS65,COLUMNS($AV$9:BB64)),"")=0,"",IFERROR(INDEX($A$9:$X$304,$AS65,COLUMNS($AV$9:BB64)),""))</f>
        <v/>
      </c>
      <c r="BC65" s="1" t="str">
        <f>IF(IFERROR(INDEX($A$9:$X$304,$AS65,COLUMNS($AV$9:BC64)),"")=0,"",IFERROR(INDEX($A$9:$X$304,$AS65,COLUMNS($AV$9:BC64)),""))</f>
        <v>Draw two cards.</v>
      </c>
      <c r="BD65" s="1" t="str">
        <f>IF(IFERROR(INDEX($A$9:$X$304,$AS65,COLUMNS($AV$9:BD64)),"")=0,"",IFERROR(INDEX($A$9:$X$304,$AS65,COLUMNS($AV$9:BD64)),""))</f>
        <v/>
      </c>
      <c r="BE65" s="1" t="str">
        <f>IF(IFERROR(INDEX($A$9:$X$304,$AS65,COLUMNS($AV$9:BE64)),"")=0,"",IFERROR(INDEX($A$9:$X$304,$AS65,COLUMNS($AV$9:BE64)),""))</f>
        <v/>
      </c>
      <c r="BF65" s="1" t="str">
        <f>IF(IFERROR(INDEX($A$9:$X$304,$AS65,COLUMNS($AV$9:BF64)),"")=0,"",IFERROR(INDEX($A$9:$X$304,$AS65,COLUMNS($AV$9:BF64)),""))</f>
        <v/>
      </c>
      <c r="BG65" s="1" t="str">
        <f>IF(IFERROR(INDEX($A$9:$X$304,$AS65,COLUMNS($AV$9:BG64)),"")=0,"",IFERROR(INDEX($A$9:$X$304,$AS65,COLUMNS($AV$9:BG64)),""))</f>
        <v>{1}: Recall</v>
      </c>
      <c r="BH65" s="1" t="str">
        <f>IF(IFERROR(INDEX($A$9:$X$304,$AS65,COLUMNS($AV$9:BH64)),"")=0,"",IFERROR(INDEX($A$9:$X$304,$AS65,COLUMNS($AV$9:BH64)),""))</f>
        <v>When this card leaves your discard pile → Put a demon token into play.</v>
      </c>
      <c r="BI65" s="1" t="str">
        <f>IF(IFERROR(INDEX($A$9:$X$304,$AS65,COLUMNS($AV$9:BI64)),"")=0,"",IFERROR(INDEX($A$9:$X$304,$AS65,COLUMNS($AV$9:BI64)),""))</f>
        <v/>
      </c>
      <c r="BJ65" s="1" t="str">
        <f>IF(IFERROR(INDEX($A$9:$X$304,$AS65,COLUMNS($AV$9:BJ64)),"")=0,"",IFERROR(INDEX($A$9:$X$304,$AS65,COLUMNS($AV$9:BJ64)),""))</f>
        <v>DEMON</v>
      </c>
      <c r="BK65" s="1" t="str">
        <f>IF(IFERROR(INDEX($A$9:$X$304,$AS65,COLUMNS($AV$9:BK64)),"")=0,"",IFERROR(INDEX($A$9:$X$304,$AS65,COLUMNS($AV$9:BK64)),""))</f>
        <v>Common</v>
      </c>
      <c r="BL65" s="1" t="str">
        <f>IF(IFERROR(INDEX($A$9:$X$304,$AS65,COLUMNS($AV$9:BL64)),"")=0,"",IFERROR(INDEX($A$9:$X$304,$AS65,COLUMNS($AV$9:BL64)),""))</f>
        <v>Alexandre Honore</v>
      </c>
      <c r="BM65" s="1" t="str">
        <f>IF(IFERROR(INDEX($A$9:$X$304,$AS65,COLUMNS($AV$9:BM64)),"")=0,"",IFERROR(INDEX($A$9:$X$304,$AS65,COLUMNS($AV$9:BM64)),""))</f>
        <v>Pantheon: Helena vs Zaltessa</v>
      </c>
      <c r="BN65" s="3" t="b">
        <f>IF(IFERROR(INDEX($A$9:$X$304,$AS65,COLUMNS($AV$9:BN64)),"")=0,"",IFERROR(INDEX($A$9:$X$304,$AS65,COLUMNS($AV$9:BN64)),""))</f>
        <v>1</v>
      </c>
      <c r="BO65" s="3" t="b">
        <f>IF(IFERROR(INDEX($A$9:$X$304,$AS65,COLUMNS($AV$9:BO64)),"")=0,"",IFERROR(INDEX($A$9:$X$304,$AS65,COLUMNS($AV$9:BO64)),""))</f>
        <v>0</v>
      </c>
      <c r="BP65" s="3" t="b">
        <f>IF(IFERROR(INDEX($A$9:$X$304,$AS65,COLUMNS($AV$9:BP64)),"")=0,"",IFERROR(INDEX($A$9:$X$304,$AS65,COLUMNS($AV$9:BP64)),""))</f>
        <v>0</v>
      </c>
      <c r="BQ65" s="3" t="b">
        <f>IF(IFERROR(INDEX($A$9:$X$304,$AS65,COLUMNS($AV$9:BQ64)),"")=0,"",IFERROR(INDEX($A$9:$X$304,$AS65,COLUMNS($AV$9:BQ64)),""))</f>
        <v>0</v>
      </c>
      <c r="BR65" s="3" t="str">
        <f>IF(IFERROR(INDEX($A$9:$X$304,$AS65,COLUMNS($AV$9:BR64)),"")=0,"",IFERROR(INDEX($A$9:$X$304,$AS65,COLUMNS($AV$9:BR64)),""))</f>
        <v>https://www.epiccardgame.com/wp-content/uploads/2017/11/PNH-EN-14-dirge-of-scara.jpg</v>
      </c>
      <c r="BS65" s="3" t="str">
        <f>IF(IFERROR(INDEX($A$9:$X$304,$AS65,COLUMNS($AV$9:BS64)),"")=0,"",IFERROR(INDEX($A$9:$X$304,$AS65,COLUMNS($AV$9:BS64)),""))</f>
        <v/>
      </c>
      <c r="BT65" s="3"/>
      <c r="BU65" s="15"/>
      <c r="BV65" t="s">
        <v>86</v>
      </c>
    </row>
    <row r="66" spans="1:74" ht="225" customHeight="1" x14ac:dyDescent="0.25">
      <c r="A66" t="s">
        <v>383</v>
      </c>
      <c r="B66">
        <v>1</v>
      </c>
      <c r="C66" t="s">
        <v>617</v>
      </c>
      <c r="E66" t="s">
        <v>619</v>
      </c>
      <c r="H66" t="s">
        <v>627</v>
      </c>
      <c r="I66" t="s">
        <v>808</v>
      </c>
      <c r="O66" t="s">
        <v>1062</v>
      </c>
      <c r="P66" t="s">
        <v>1112</v>
      </c>
      <c r="Q66" t="s">
        <v>1117</v>
      </c>
      <c r="R66" t="s">
        <v>1171</v>
      </c>
      <c r="S66" t="b">
        <v>1</v>
      </c>
      <c r="T66" t="b">
        <v>1</v>
      </c>
      <c r="U66" t="b">
        <v>0</v>
      </c>
      <c r="V66" t="b">
        <v>0</v>
      </c>
      <c r="W66" s="2" t="s">
        <v>1241</v>
      </c>
      <c r="X66" s="2"/>
      <c r="Y66" s="24">
        <v>58</v>
      </c>
      <c r="Z66">
        <f t="shared" si="0"/>
        <v>58</v>
      </c>
      <c r="AA66">
        <f t="shared" si="1"/>
        <v>58</v>
      </c>
      <c r="AB66">
        <f t="shared" si="2"/>
        <v>58</v>
      </c>
      <c r="AC66">
        <f t="shared" si="3"/>
        <v>0</v>
      </c>
      <c r="AD66">
        <f t="shared" si="4"/>
        <v>58</v>
      </c>
      <c r="AE66">
        <f t="shared" si="5"/>
        <v>0</v>
      </c>
      <c r="AF66">
        <f t="shared" si="6"/>
        <v>0</v>
      </c>
      <c r="AG66">
        <f t="shared" si="7"/>
        <v>58</v>
      </c>
      <c r="AH66">
        <f t="shared" si="8"/>
        <v>58</v>
      </c>
      <c r="AI66">
        <f t="shared" si="9"/>
        <v>0</v>
      </c>
      <c r="AJ66">
        <f t="shared" si="10"/>
        <v>0</v>
      </c>
      <c r="AK66">
        <f t="shared" si="11"/>
        <v>0</v>
      </c>
      <c r="AL66">
        <f t="shared" si="12"/>
        <v>0</v>
      </c>
      <c r="AM66">
        <f t="shared" si="13"/>
        <v>0</v>
      </c>
      <c r="AN66">
        <f t="shared" si="14"/>
        <v>58</v>
      </c>
      <c r="AO66">
        <f t="shared" si="15"/>
        <v>58</v>
      </c>
      <c r="AP66">
        <f t="shared" si="16"/>
        <v>58</v>
      </c>
      <c r="AQ66">
        <f t="shared" si="17"/>
        <v>58</v>
      </c>
      <c r="AR66" s="6">
        <f t="shared" si="18"/>
        <v>58</v>
      </c>
      <c r="AS66">
        <f t="shared" si="19"/>
        <v>58</v>
      </c>
      <c r="AV66" s="1" t="str">
        <f>IF(IFERROR(INDEX($A$9:$W$304,$AS66,COLUMNS($AV$9:AV65)),"")=0,"",IFERROR(INDEX($A$9:$W$304,$AS66,COLUMNS($AV$9:AV65)),""))</f>
        <v>Divine Judgment</v>
      </c>
      <c r="AW66" s="1">
        <f>IFERROR(INDEX($A$9:$W$304,$AS66,COLUMNS($AV$9:AW65)),"")</f>
        <v>1</v>
      </c>
      <c r="AX66" s="1" t="str">
        <f>IF(IFERROR(INDEX($A$9:$X$304,$AS66,COLUMNS($AV$9:AX65)),"")=0,"",IFERROR(INDEX($A$9:$X$304,$AS66,COLUMNS($AV$9:AX65)),""))</f>
        <v>GOOD</v>
      </c>
      <c r="AY66" s="1" t="str">
        <f>IF(IFERROR(INDEX($A$9:$X$304,$AS66,COLUMNS($AV$9:AY65)),"")=0,"",IFERROR(INDEX($A$9:$X$304,$AS66,COLUMNS($AV$9:AY65)),""))</f>
        <v/>
      </c>
      <c r="AZ66" s="1" t="str">
        <f>IF(IFERROR(INDEX($A$9:$X$304,$AS66,COLUMNS($AV$9:AZ65)),"")=0,"",IFERROR(INDEX($A$9:$X$304,$AS66,COLUMNS($AV$9:AZ65)),""))</f>
        <v>EVENT</v>
      </c>
      <c r="BA66" s="1" t="str">
        <f>IF(IFERROR(INDEX($A$9:$X$304,$AS66,COLUMNS($AV$9:BA65)),"")=0,"",IFERROR(INDEX($A$9:$X$304,$AS66,COLUMNS($AV$9:BA65)),""))</f>
        <v/>
      </c>
      <c r="BB66" s="1" t="str">
        <f>IF(IFERROR(INDEX($A$9:$X$304,$AS66,COLUMNS($AV$9:BB65)),"")=0,"",IFERROR(INDEX($A$9:$X$304,$AS66,COLUMNS($AV$9:BB65)),""))</f>
        <v/>
      </c>
      <c r="BC66" s="1" t="str">
        <f>IF(IFERROR(INDEX($A$9:$X$304,$AS66,COLUMNS($AV$9:BC65)),"")=0,"",IFERROR(INDEX($A$9:$X$304,$AS66,COLUMNS($AV$9:BC65)),""))</f>
        <v>Draw two cards.</v>
      </c>
      <c r="BD66" s="1" t="str">
        <f>IF(IFERROR(INDEX($A$9:$X$304,$AS66,COLUMNS($AV$9:BD65)),"")=0,"",IFERROR(INDEX($A$9:$X$304,$AS66,COLUMNS($AV$9:BD65)),""))</f>
        <v>If it is your turn, banish all champions.</v>
      </c>
      <c r="BE66" s="1" t="str">
        <f>IF(IFERROR(INDEX($A$9:$X$304,$AS66,COLUMNS($AV$9:BE65)),"")=0,"",IFERROR(INDEX($A$9:$X$304,$AS66,COLUMNS($AV$9:BE65)),""))</f>
        <v/>
      </c>
      <c r="BF66" s="1" t="str">
        <f>IF(IFERROR(INDEX($A$9:$X$304,$AS66,COLUMNS($AV$9:BF65)),"")=0,"",IFERROR(INDEX($A$9:$X$304,$AS66,COLUMNS($AV$9:BF65)),""))</f>
        <v/>
      </c>
      <c r="BG66" s="1" t="str">
        <f>IF(IFERROR(INDEX($A$9:$X$304,$AS66,COLUMNS($AV$9:BG65)),"")=0,"",IFERROR(INDEX($A$9:$X$304,$AS66,COLUMNS($AV$9:BG65)),""))</f>
        <v/>
      </c>
      <c r="BH66" s="1" t="str">
        <f>IF(IFERROR(INDEX($A$9:$X$304,$AS66,COLUMNS($AV$9:BH65)),"")=0,"",IFERROR(INDEX($A$9:$X$304,$AS66,COLUMNS($AV$9:BH65)),""))</f>
        <v/>
      </c>
      <c r="BI66" s="1" t="str">
        <f>IF(IFERROR(INDEX($A$9:$X$304,$AS66,COLUMNS($AV$9:BI65)),"")=0,"",IFERROR(INDEX($A$9:$X$304,$AS66,COLUMNS($AV$9:BI65)),""))</f>
        <v/>
      </c>
      <c r="BJ66" s="1" t="str">
        <f>IF(IFERROR(INDEX($A$9:$X$304,$AS66,COLUMNS($AV$9:BJ65)),"")=0,"",IFERROR(INDEX($A$9:$X$304,$AS66,COLUMNS($AV$9:BJ65)),""))</f>
        <v>None</v>
      </c>
      <c r="BK66" s="1" t="str">
        <f>IF(IFERROR(INDEX($A$9:$X$304,$AS66,COLUMNS($AV$9:BK65)),"")=0,"",IFERROR(INDEX($A$9:$X$304,$AS66,COLUMNS($AV$9:BK65)),""))</f>
        <v>Common</v>
      </c>
      <c r="BL66" s="1" t="str">
        <f>IF(IFERROR(INDEX($A$9:$X$304,$AS66,COLUMNS($AV$9:BL65)),"")=0,"",IFERROR(INDEX($A$9:$X$304,$AS66,COLUMNS($AV$9:BL65)),""))</f>
        <v>Antonis Papantoniou</v>
      </c>
      <c r="BM66" s="1" t="str">
        <f>IF(IFERROR(INDEX($A$9:$X$304,$AS66,COLUMNS($AV$9:BM65)),"")=0,"",IFERROR(INDEX($A$9:$X$304,$AS66,COLUMNS($AV$9:BM65)),""))</f>
        <v>Base Set</v>
      </c>
      <c r="BN66" s="3" t="b">
        <f>IF(IFERROR(INDEX($A$9:$X$304,$AS66,COLUMNS($AV$9:BN65)),"")=0,"",IFERROR(INDEX($A$9:$X$304,$AS66,COLUMNS($AV$9:BN65)),""))</f>
        <v>1</v>
      </c>
      <c r="BO66" s="3" t="b">
        <f>IF(IFERROR(INDEX($A$9:$X$304,$AS66,COLUMNS($AV$9:BO65)),"")=0,"",IFERROR(INDEX($A$9:$X$304,$AS66,COLUMNS($AV$9:BO65)),""))</f>
        <v>1</v>
      </c>
      <c r="BP66" s="3" t="b">
        <f>IF(IFERROR(INDEX($A$9:$X$304,$AS66,COLUMNS($AV$9:BP65)),"")=0,"",IFERROR(INDEX($A$9:$X$304,$AS66,COLUMNS($AV$9:BP65)),""))</f>
        <v>0</v>
      </c>
      <c r="BQ66" s="3" t="b">
        <f>IF(IFERROR(INDEX($A$9:$X$304,$AS66,COLUMNS($AV$9:BQ65)),"")=0,"",IFERROR(INDEX($A$9:$X$304,$AS66,COLUMNS($AV$9:BQ65)),""))</f>
        <v>0</v>
      </c>
      <c r="BR66" s="3" t="str">
        <f>IF(IFERROR(INDEX($A$9:$X$304,$AS66,COLUMNS($AV$9:BR65)),"")=0,"",IFERROR(INDEX($A$9:$X$304,$AS66,COLUMNS($AV$9:BR65)),""))</f>
        <v>http://www.epiccardgame.com/wp-content/uploads/2015/09/divine_judgment-215x300.jpg</v>
      </c>
      <c r="BS66" s="3" t="str">
        <f>IF(IFERROR(INDEX($A$9:$X$304,$AS66,COLUMNS($AV$9:BS65)),"")=0,"",IFERROR(INDEX($A$9:$X$304,$AS66,COLUMNS($AV$9:BS65)),""))</f>
        <v/>
      </c>
      <c r="BT66" s="3"/>
      <c r="BU66" s="15"/>
      <c r="BV66" t="s">
        <v>87</v>
      </c>
    </row>
    <row r="67" spans="1:74" ht="225" customHeight="1" x14ac:dyDescent="0.25">
      <c r="A67" t="s">
        <v>384</v>
      </c>
      <c r="B67">
        <v>1</v>
      </c>
      <c r="C67" t="s">
        <v>616</v>
      </c>
      <c r="E67" t="s">
        <v>620</v>
      </c>
      <c r="F67">
        <v>5</v>
      </c>
      <c r="G67">
        <v>5</v>
      </c>
      <c r="H67" t="s">
        <v>645</v>
      </c>
      <c r="I67" t="s">
        <v>809</v>
      </c>
      <c r="J67" t="s">
        <v>974</v>
      </c>
      <c r="O67" t="s">
        <v>1081</v>
      </c>
      <c r="P67" t="s">
        <v>1112</v>
      </c>
      <c r="Q67" t="s">
        <v>1116</v>
      </c>
      <c r="R67" t="s">
        <v>1171</v>
      </c>
      <c r="S67" t="b">
        <v>1</v>
      </c>
      <c r="T67" t="b">
        <v>0</v>
      </c>
      <c r="U67" t="b">
        <v>0</v>
      </c>
      <c r="V67" t="b">
        <v>0</v>
      </c>
      <c r="W67" s="2" t="s">
        <v>1242</v>
      </c>
      <c r="X67" s="2"/>
      <c r="Y67" s="24">
        <v>59</v>
      </c>
      <c r="Z67">
        <f t="shared" si="0"/>
        <v>59</v>
      </c>
      <c r="AA67">
        <f t="shared" si="1"/>
        <v>59</v>
      </c>
      <c r="AB67">
        <f t="shared" si="2"/>
        <v>59</v>
      </c>
      <c r="AC67">
        <f t="shared" si="3"/>
        <v>0</v>
      </c>
      <c r="AD67">
        <f t="shared" si="4"/>
        <v>59</v>
      </c>
      <c r="AE67">
        <f t="shared" si="5"/>
        <v>59</v>
      </c>
      <c r="AF67">
        <f t="shared" si="6"/>
        <v>59</v>
      </c>
      <c r="AG67">
        <f t="shared" si="7"/>
        <v>59</v>
      </c>
      <c r="AH67">
        <f t="shared" si="8"/>
        <v>59</v>
      </c>
      <c r="AI67">
        <f t="shared" si="9"/>
        <v>59</v>
      </c>
      <c r="AJ67">
        <f t="shared" si="10"/>
        <v>0</v>
      </c>
      <c r="AK67">
        <f t="shared" si="11"/>
        <v>0</v>
      </c>
      <c r="AL67">
        <f t="shared" si="12"/>
        <v>0</v>
      </c>
      <c r="AM67">
        <f t="shared" si="13"/>
        <v>0</v>
      </c>
      <c r="AN67">
        <f t="shared" si="14"/>
        <v>59</v>
      </c>
      <c r="AO67">
        <f t="shared" si="15"/>
        <v>59</v>
      </c>
      <c r="AP67">
        <f t="shared" si="16"/>
        <v>59</v>
      </c>
      <c r="AQ67">
        <f t="shared" si="17"/>
        <v>59</v>
      </c>
      <c r="AR67" s="6">
        <f t="shared" si="18"/>
        <v>59</v>
      </c>
      <c r="AS67">
        <f t="shared" si="19"/>
        <v>59</v>
      </c>
      <c r="AV67" s="1" t="str">
        <f>IF(IFERROR(INDEX($A$9:$W$304,$AS67,COLUMNS($AV$9:AV66)),"")=0,"",IFERROR(INDEX($A$9:$W$304,$AS67,COLUMNS($AV$9:AV66)),""))</f>
        <v>Djinn of the Sands</v>
      </c>
      <c r="AW67" s="1">
        <f>IFERROR(INDEX($A$9:$W$304,$AS67,COLUMNS($AV$9:AW66)),"")</f>
        <v>1</v>
      </c>
      <c r="AX67" s="1" t="str">
        <f>IF(IFERROR(INDEX($A$9:$X$304,$AS67,COLUMNS($AV$9:AX66)),"")=0,"",IFERROR(INDEX($A$9:$X$304,$AS67,COLUMNS($AV$9:AX66)),""))</f>
        <v>SAGE</v>
      </c>
      <c r="AY67" s="1" t="str">
        <f>IF(IFERROR(INDEX($A$9:$X$304,$AS67,COLUMNS($AV$9:AY66)),"")=0,"",IFERROR(INDEX($A$9:$X$304,$AS67,COLUMNS($AV$9:AY66)),""))</f>
        <v/>
      </c>
      <c r="AZ67" s="1" t="str">
        <f>IF(IFERROR(INDEX($A$9:$X$304,$AS67,COLUMNS($AV$9:AZ66)),"")=0,"",IFERROR(INDEX($A$9:$X$304,$AS67,COLUMNS($AV$9:AZ66)),""))</f>
        <v>CHAMPION</v>
      </c>
      <c r="BA67" s="1">
        <f>IF(IFERROR(INDEX($A$9:$X$304,$AS67,COLUMNS($AV$9:BA66)),"")=0,"",IFERROR(INDEX($A$9:$X$304,$AS67,COLUMNS($AV$9:BA66)),""))</f>
        <v>5</v>
      </c>
      <c r="BB67" s="1">
        <f>IF(IFERROR(INDEX($A$9:$X$304,$AS67,COLUMNS($AV$9:BB66)),"")=0,"",IFERROR(INDEX($A$9:$X$304,$AS67,COLUMNS($AV$9:BB66)),""))</f>
        <v>5</v>
      </c>
      <c r="BC67" s="1" t="str">
        <f>IF(IFERROR(INDEX($A$9:$X$304,$AS67,COLUMNS($AV$9:BC66)),"")=0,"",IFERROR(INDEX($A$9:$X$304,$AS67,COLUMNS($AV$9:BC66)),""))</f>
        <v>Airborne ◆ Blitz</v>
      </c>
      <c r="BD67" s="1" t="str">
        <f>IF(IFERROR(INDEX($A$9:$X$304,$AS67,COLUMNS($AV$9:BD66)),"")=0,"",IFERROR(INDEX($A$9:$X$304,$AS67,COLUMNS($AV$9:BD66)),""))</f>
        <v>Tribute → Put three +1 {offense} +1 {defense} counters on this card.</v>
      </c>
      <c r="BE67" s="1" t="str">
        <f>IF(IFERROR(INDEX($A$9:$X$304,$AS67,COLUMNS($AV$9:BE66)),"")=0,"",IFERROR(INDEX($A$9:$X$304,$AS67,COLUMNS($AV$9:BE66)),""))</f>
        <v>{expend}, Remove a counter from this card: Draw a card.</v>
      </c>
      <c r="BF67" s="1" t="str">
        <f>IF(IFERROR(INDEX($A$9:$X$304,$AS67,COLUMNS($AV$9:BF66)),"")=0,"",IFERROR(INDEX($A$9:$X$304,$AS67,COLUMNS($AV$9:BF66)),""))</f>
        <v/>
      </c>
      <c r="BG67" s="1" t="str">
        <f>IF(IFERROR(INDEX($A$9:$X$304,$AS67,COLUMNS($AV$9:BG66)),"")=0,"",IFERROR(INDEX($A$9:$X$304,$AS67,COLUMNS($AV$9:BG66)),""))</f>
        <v/>
      </c>
      <c r="BH67" s="1" t="str">
        <f>IF(IFERROR(INDEX($A$9:$X$304,$AS67,COLUMNS($AV$9:BH66)),"")=0,"",IFERROR(INDEX($A$9:$X$304,$AS67,COLUMNS($AV$9:BH66)),""))</f>
        <v/>
      </c>
      <c r="BI67" s="1" t="str">
        <f>IF(IFERROR(INDEX($A$9:$X$304,$AS67,COLUMNS($AV$9:BI66)),"")=0,"",IFERROR(INDEX($A$9:$X$304,$AS67,COLUMNS($AV$9:BI66)),""))</f>
        <v/>
      </c>
      <c r="BJ67" s="1" t="str">
        <f>IF(IFERROR(INDEX($A$9:$X$304,$AS67,COLUMNS($AV$9:BJ66)),"")=0,"",IFERROR(INDEX($A$9:$X$304,$AS67,COLUMNS($AV$9:BJ66)),""))</f>
        <v>DJINN</v>
      </c>
      <c r="BK67" s="1" t="str">
        <f>IF(IFERROR(INDEX($A$9:$X$304,$AS67,COLUMNS($AV$9:BK66)),"")=0,"",IFERROR(INDEX($A$9:$X$304,$AS67,COLUMNS($AV$9:BK66)),""))</f>
        <v>Common</v>
      </c>
      <c r="BL67" s="1" t="str">
        <f>IF(IFERROR(INDEX($A$9:$X$304,$AS67,COLUMNS($AV$9:BL66)),"")=0,"",IFERROR(INDEX($A$9:$X$304,$AS67,COLUMNS($AV$9:BL66)),""))</f>
        <v>Apsara</v>
      </c>
      <c r="BM67" s="1" t="str">
        <f>IF(IFERROR(INDEX($A$9:$X$304,$AS67,COLUMNS($AV$9:BM66)),"")=0,"",IFERROR(INDEX($A$9:$X$304,$AS67,COLUMNS($AV$9:BM66)),""))</f>
        <v>Base Set</v>
      </c>
      <c r="BN67" s="3" t="b">
        <f>IF(IFERROR(INDEX($A$9:$X$304,$AS67,COLUMNS($AV$9:BN66)),"")=0,"",IFERROR(INDEX($A$9:$X$304,$AS67,COLUMNS($AV$9:BN66)),""))</f>
        <v>1</v>
      </c>
      <c r="BO67" s="3" t="b">
        <f>IF(IFERROR(INDEX($A$9:$X$304,$AS67,COLUMNS($AV$9:BO66)),"")=0,"",IFERROR(INDEX($A$9:$X$304,$AS67,COLUMNS($AV$9:BO66)),""))</f>
        <v>0</v>
      </c>
      <c r="BP67" s="3" t="b">
        <f>IF(IFERROR(INDEX($A$9:$X$304,$AS67,COLUMNS($AV$9:BP66)),"")=0,"",IFERROR(INDEX($A$9:$X$304,$AS67,COLUMNS($AV$9:BP66)),""))</f>
        <v>0</v>
      </c>
      <c r="BQ67" s="3" t="b">
        <f>IF(IFERROR(INDEX($A$9:$X$304,$AS67,COLUMNS($AV$9:BQ66)),"")=0,"",IFERROR(INDEX($A$9:$X$304,$AS67,COLUMNS($AV$9:BQ66)),""))</f>
        <v>0</v>
      </c>
      <c r="BR67" s="3" t="str">
        <f>IF(IFERROR(INDEX($A$9:$X$304,$AS67,COLUMNS($AV$9:BR66)),"")=0,"",IFERROR(INDEX($A$9:$X$304,$AS67,COLUMNS($AV$9:BR66)),""))</f>
        <v>http://www.epiccardgame.com/wp-content/uploads/2015/09/djinn_of_the_sands-215x300.jpg</v>
      </c>
      <c r="BS67" s="3" t="str">
        <f>IF(IFERROR(INDEX($A$9:$X$304,$AS67,COLUMNS($AV$9:BS66)),"")=0,"",IFERROR(INDEX($A$9:$X$304,$AS67,COLUMNS($AV$9:BS66)),""))</f>
        <v/>
      </c>
      <c r="BT67" s="3"/>
      <c r="BU67" s="15"/>
      <c r="BV67" t="s">
        <v>88</v>
      </c>
    </row>
    <row r="68" spans="1:74" ht="225.2" customHeight="1" x14ac:dyDescent="0.25">
      <c r="A68" t="s">
        <v>385</v>
      </c>
      <c r="B68">
        <v>1</v>
      </c>
      <c r="C68" t="s">
        <v>618</v>
      </c>
      <c r="E68" t="s">
        <v>619</v>
      </c>
      <c r="H68" t="s">
        <v>654</v>
      </c>
      <c r="I68" t="s">
        <v>810</v>
      </c>
      <c r="O68" t="s">
        <v>1062</v>
      </c>
      <c r="P68" t="s">
        <v>1112</v>
      </c>
      <c r="Q68" t="s">
        <v>1124</v>
      </c>
      <c r="R68" t="s">
        <v>1171</v>
      </c>
      <c r="S68" t="b">
        <v>1</v>
      </c>
      <c r="T68" t="b">
        <v>0</v>
      </c>
      <c r="U68" t="b">
        <v>0</v>
      </c>
      <c r="V68" t="b">
        <v>0</v>
      </c>
      <c r="W68" s="2" t="s">
        <v>1243</v>
      </c>
      <c r="X68" s="2"/>
      <c r="Y68" s="24">
        <v>60</v>
      </c>
      <c r="Z68">
        <f t="shared" si="0"/>
        <v>60</v>
      </c>
      <c r="AA68">
        <f t="shared" si="1"/>
        <v>60</v>
      </c>
      <c r="AB68">
        <f t="shared" si="2"/>
        <v>60</v>
      </c>
      <c r="AC68">
        <f t="shared" si="3"/>
        <v>0</v>
      </c>
      <c r="AD68">
        <f t="shared" si="4"/>
        <v>60</v>
      </c>
      <c r="AE68">
        <f t="shared" si="5"/>
        <v>0</v>
      </c>
      <c r="AF68">
        <f t="shared" si="6"/>
        <v>0</v>
      </c>
      <c r="AG68">
        <f t="shared" si="7"/>
        <v>60</v>
      </c>
      <c r="AH68">
        <f t="shared" si="8"/>
        <v>60</v>
      </c>
      <c r="AI68">
        <f t="shared" si="9"/>
        <v>0</v>
      </c>
      <c r="AJ68">
        <f t="shared" si="10"/>
        <v>0</v>
      </c>
      <c r="AK68">
        <f t="shared" si="11"/>
        <v>0</v>
      </c>
      <c r="AL68">
        <f t="shared" si="12"/>
        <v>0</v>
      </c>
      <c r="AM68">
        <f t="shared" si="13"/>
        <v>0</v>
      </c>
      <c r="AN68">
        <f t="shared" si="14"/>
        <v>60</v>
      </c>
      <c r="AO68">
        <f t="shared" si="15"/>
        <v>60</v>
      </c>
      <c r="AP68">
        <f t="shared" si="16"/>
        <v>60</v>
      </c>
      <c r="AQ68">
        <f t="shared" si="17"/>
        <v>60</v>
      </c>
      <c r="AR68" s="6">
        <f t="shared" si="18"/>
        <v>60</v>
      </c>
      <c r="AS68">
        <f t="shared" si="19"/>
        <v>60</v>
      </c>
      <c r="AV68" s="1" t="str">
        <f>IF(IFERROR(INDEX($A$9:$W$304,$AS68,COLUMNS($AV$9:AV67)),"")=0,"",IFERROR(INDEX($A$9:$W$304,$AS68,COLUMNS($AV$9:AV67)),""))</f>
        <v>Drain Essence</v>
      </c>
      <c r="AW68" s="1">
        <f>IFERROR(INDEX($A$9:$W$304,$AS68,COLUMNS($AV$9:AW67)),"")</f>
        <v>1</v>
      </c>
      <c r="AX68" s="1" t="str">
        <f>IF(IFERROR(INDEX($A$9:$X$304,$AS68,COLUMNS($AV$9:AX67)),"")=0,"",IFERROR(INDEX($A$9:$X$304,$AS68,COLUMNS($AV$9:AX67)),""))</f>
        <v>EVIL</v>
      </c>
      <c r="AY68" s="1" t="str">
        <f>IF(IFERROR(INDEX($A$9:$X$304,$AS68,COLUMNS($AV$9:AY67)),"")=0,"",IFERROR(INDEX($A$9:$X$304,$AS68,COLUMNS($AV$9:AY67)),""))</f>
        <v/>
      </c>
      <c r="AZ68" s="1" t="str">
        <f>IF(IFERROR(INDEX($A$9:$X$304,$AS68,COLUMNS($AV$9:AZ67)),"")=0,"",IFERROR(INDEX($A$9:$X$304,$AS68,COLUMNS($AV$9:AZ67)),""))</f>
        <v>EVENT</v>
      </c>
      <c r="BA68" s="1" t="str">
        <f>IF(IFERROR(INDEX($A$9:$X$304,$AS68,COLUMNS($AV$9:BA67)),"")=0,"",IFERROR(INDEX($A$9:$X$304,$AS68,COLUMNS($AV$9:BA67)),""))</f>
        <v/>
      </c>
      <c r="BB68" s="1" t="str">
        <f>IF(IFERROR(INDEX($A$9:$X$304,$AS68,COLUMNS($AV$9:BB67)),"")=0,"",IFERROR(INDEX($A$9:$X$304,$AS68,COLUMNS($AV$9:BB67)),""))</f>
        <v/>
      </c>
      <c r="BC68" s="1" t="str">
        <f>IF(IFERROR(INDEX($A$9:$X$304,$AS68,COLUMNS($AV$9:BC67)),"")=0,"",IFERROR(INDEX($A$9:$X$304,$AS68,COLUMNS($AV$9:BC67)),""))</f>
        <v>Deal 9 damage to target champion.</v>
      </c>
      <c r="BD68" s="1" t="str">
        <f>IF(IFERROR(INDEX($A$9:$X$304,$AS68,COLUMNS($AV$9:BD67)),"")=0,"",IFERROR(INDEX($A$9:$X$304,$AS68,COLUMNS($AV$9:BD67)),""))</f>
        <v>Gain 9 health.</v>
      </c>
      <c r="BE68" s="1" t="str">
        <f>IF(IFERROR(INDEX($A$9:$X$304,$AS68,COLUMNS($AV$9:BE67)),"")=0,"",IFERROR(INDEX($A$9:$X$304,$AS68,COLUMNS($AV$9:BE67)),""))</f>
        <v/>
      </c>
      <c r="BF68" s="1" t="str">
        <f>IF(IFERROR(INDEX($A$9:$X$304,$AS68,COLUMNS($AV$9:BF67)),"")=0,"",IFERROR(INDEX($A$9:$X$304,$AS68,COLUMNS($AV$9:BF67)),""))</f>
        <v/>
      </c>
      <c r="BG68" s="1" t="str">
        <f>IF(IFERROR(INDEX($A$9:$X$304,$AS68,COLUMNS($AV$9:BG67)),"")=0,"",IFERROR(INDEX($A$9:$X$304,$AS68,COLUMNS($AV$9:BG67)),""))</f>
        <v/>
      </c>
      <c r="BH68" s="1" t="str">
        <f>IF(IFERROR(INDEX($A$9:$X$304,$AS68,COLUMNS($AV$9:BH67)),"")=0,"",IFERROR(INDEX($A$9:$X$304,$AS68,COLUMNS($AV$9:BH67)),""))</f>
        <v/>
      </c>
      <c r="BI68" s="1" t="str">
        <f>IF(IFERROR(INDEX($A$9:$X$304,$AS68,COLUMNS($AV$9:BI67)),"")=0,"",IFERROR(INDEX($A$9:$X$304,$AS68,COLUMNS($AV$9:BI67)),""))</f>
        <v/>
      </c>
      <c r="BJ68" s="1" t="str">
        <f>IF(IFERROR(INDEX($A$9:$X$304,$AS68,COLUMNS($AV$9:BJ67)),"")=0,"",IFERROR(INDEX($A$9:$X$304,$AS68,COLUMNS($AV$9:BJ67)),""))</f>
        <v>None</v>
      </c>
      <c r="BK68" s="1" t="str">
        <f>IF(IFERROR(INDEX($A$9:$X$304,$AS68,COLUMNS($AV$9:BK67)),"")=0,"",IFERROR(INDEX($A$9:$X$304,$AS68,COLUMNS($AV$9:BK67)),""))</f>
        <v>Common</v>
      </c>
      <c r="BL68" s="1" t="str">
        <f>IF(IFERROR(INDEX($A$9:$X$304,$AS68,COLUMNS($AV$9:BL67)),"")=0,"",IFERROR(INDEX($A$9:$X$304,$AS68,COLUMNS($AV$9:BL67)),""))</f>
        <v>Souveraine</v>
      </c>
      <c r="BM68" s="1" t="str">
        <f>IF(IFERROR(INDEX($A$9:$X$304,$AS68,COLUMNS($AV$9:BM67)),"")=0,"",IFERROR(INDEX($A$9:$X$304,$AS68,COLUMNS($AV$9:BM67)),""))</f>
        <v>Base Set</v>
      </c>
      <c r="BN68" s="3" t="b">
        <f>IF(IFERROR(INDEX($A$9:$X$304,$AS68,COLUMNS($AV$9:BN67)),"")=0,"",IFERROR(INDEX($A$9:$X$304,$AS68,COLUMNS($AV$9:BN67)),""))</f>
        <v>1</v>
      </c>
      <c r="BO68" s="3" t="b">
        <f>IF(IFERROR(INDEX($A$9:$X$304,$AS68,COLUMNS($AV$9:BO67)),"")=0,"",IFERROR(INDEX($A$9:$X$304,$AS68,COLUMNS($AV$9:BO67)),""))</f>
        <v>0</v>
      </c>
      <c r="BP68" s="3" t="b">
        <f>IF(IFERROR(INDEX($A$9:$X$304,$AS68,COLUMNS($AV$9:BP67)),"")=0,"",IFERROR(INDEX($A$9:$X$304,$AS68,COLUMNS($AV$9:BP67)),""))</f>
        <v>0</v>
      </c>
      <c r="BQ68" s="3" t="b">
        <f>IF(IFERROR(INDEX($A$9:$X$304,$AS68,COLUMNS($AV$9:BQ67)),"")=0,"",IFERROR(INDEX($A$9:$X$304,$AS68,COLUMNS($AV$9:BQ67)),""))</f>
        <v>0</v>
      </c>
      <c r="BR68" s="3" t="str">
        <f>IF(IFERROR(INDEX($A$9:$X$304,$AS68,COLUMNS($AV$9:BR67)),"")=0,"",IFERROR(INDEX($A$9:$X$304,$AS68,COLUMNS($AV$9:BR67)),""))</f>
        <v>http://www.epiccardgame.com/wp-content/uploads/2015/09/drain_essence-215x300.jpg</v>
      </c>
      <c r="BS68" s="3" t="str">
        <f>IF(IFERROR(INDEX($A$9:$X$304,$AS68,COLUMNS($AV$9:BS67)),"")=0,"",IFERROR(INDEX($A$9:$X$304,$AS68,COLUMNS($AV$9:BS67)),""))</f>
        <v/>
      </c>
      <c r="BT68" s="3"/>
      <c r="BU68" s="15"/>
      <c r="BV68" t="s">
        <v>89</v>
      </c>
    </row>
    <row r="69" spans="1:74" ht="225.2" customHeight="1" x14ac:dyDescent="0.25">
      <c r="A69" t="s">
        <v>386</v>
      </c>
      <c r="B69">
        <v>1</v>
      </c>
      <c r="C69" t="s">
        <v>615</v>
      </c>
      <c r="E69" t="s">
        <v>620</v>
      </c>
      <c r="F69">
        <v>7</v>
      </c>
      <c r="G69">
        <v>7</v>
      </c>
      <c r="H69" t="s">
        <v>655</v>
      </c>
      <c r="I69" t="s">
        <v>811</v>
      </c>
      <c r="J69" t="s">
        <v>975</v>
      </c>
      <c r="O69" t="s">
        <v>1069</v>
      </c>
      <c r="P69" t="s">
        <v>1112</v>
      </c>
      <c r="Q69" t="s">
        <v>1116</v>
      </c>
      <c r="R69" t="s">
        <v>1176</v>
      </c>
      <c r="S69" t="b">
        <v>1</v>
      </c>
      <c r="T69" t="b">
        <v>0</v>
      </c>
      <c r="U69" t="b">
        <v>0</v>
      </c>
      <c r="V69" t="b">
        <v>0</v>
      </c>
      <c r="W69" s="2" t="s">
        <v>1244</v>
      </c>
      <c r="X69" s="2"/>
      <c r="Y69" s="24">
        <v>61</v>
      </c>
      <c r="Z69">
        <f t="shared" si="0"/>
        <v>61</v>
      </c>
      <c r="AA69">
        <f t="shared" si="1"/>
        <v>61</v>
      </c>
      <c r="AB69">
        <f t="shared" si="2"/>
        <v>61</v>
      </c>
      <c r="AC69">
        <f t="shared" si="3"/>
        <v>0</v>
      </c>
      <c r="AD69">
        <f t="shared" si="4"/>
        <v>61</v>
      </c>
      <c r="AE69">
        <f t="shared" si="5"/>
        <v>61</v>
      </c>
      <c r="AF69">
        <f t="shared" si="6"/>
        <v>61</v>
      </c>
      <c r="AG69">
        <f t="shared" si="7"/>
        <v>61</v>
      </c>
      <c r="AH69">
        <f t="shared" si="8"/>
        <v>61</v>
      </c>
      <c r="AI69">
        <f t="shared" si="9"/>
        <v>61</v>
      </c>
      <c r="AJ69">
        <f t="shared" si="10"/>
        <v>0</v>
      </c>
      <c r="AK69">
        <f t="shared" si="11"/>
        <v>0</v>
      </c>
      <c r="AL69">
        <f t="shared" si="12"/>
        <v>0</v>
      </c>
      <c r="AM69">
        <f t="shared" si="13"/>
        <v>0</v>
      </c>
      <c r="AN69">
        <f t="shared" si="14"/>
        <v>61</v>
      </c>
      <c r="AO69">
        <f t="shared" si="15"/>
        <v>61</v>
      </c>
      <c r="AP69">
        <f t="shared" si="16"/>
        <v>61</v>
      </c>
      <c r="AQ69">
        <f t="shared" si="17"/>
        <v>61</v>
      </c>
      <c r="AR69" s="6">
        <f t="shared" si="18"/>
        <v>61</v>
      </c>
      <c r="AS69">
        <f t="shared" si="19"/>
        <v>61</v>
      </c>
      <c r="AV69" s="1" t="str">
        <f>IF(IFERROR(INDEX($A$9:$W$304,$AS69,COLUMNS($AV$9:AV68)),"")=0,"",IFERROR(INDEX($A$9:$W$304,$AS69,COLUMNS($AV$9:AV68)),""))</f>
        <v>Drakas Enforcer</v>
      </c>
      <c r="AW69" s="1">
        <f>IFERROR(INDEX($A$9:$W$304,$AS69,COLUMNS($AV$9:AW68)),"")</f>
        <v>1</v>
      </c>
      <c r="AX69" s="1" t="str">
        <f>IF(IFERROR(INDEX($A$9:$X$304,$AS69,COLUMNS($AV$9:AX68)),"")=0,"",IFERROR(INDEX($A$9:$X$304,$AS69,COLUMNS($AV$9:AX68)),""))</f>
        <v>WILD</v>
      </c>
      <c r="AY69" s="1" t="str">
        <f>IF(IFERROR(INDEX($A$9:$X$304,$AS69,COLUMNS($AV$9:AY68)),"")=0,"",IFERROR(INDEX($A$9:$X$304,$AS69,COLUMNS($AV$9:AY68)),""))</f>
        <v/>
      </c>
      <c r="AZ69" s="1" t="str">
        <f>IF(IFERROR(INDEX($A$9:$X$304,$AS69,COLUMNS($AV$9:AZ68)),"")=0,"",IFERROR(INDEX($A$9:$X$304,$AS69,COLUMNS($AV$9:AZ68)),""))</f>
        <v>CHAMPION</v>
      </c>
      <c r="BA69" s="1">
        <f>IF(IFERROR(INDEX($A$9:$X$304,$AS69,COLUMNS($AV$9:BA68)),"")=0,"",IFERROR(INDEX($A$9:$X$304,$AS69,COLUMNS($AV$9:BA68)),""))</f>
        <v>7</v>
      </c>
      <c r="BB69" s="1">
        <f>IF(IFERROR(INDEX($A$9:$X$304,$AS69,COLUMNS($AV$9:BB68)),"")=0,"",IFERROR(INDEX($A$9:$X$304,$AS69,COLUMNS($AV$9:BB68)),""))</f>
        <v>7</v>
      </c>
      <c r="BC69" s="1" t="str">
        <f>IF(IFERROR(INDEX($A$9:$X$304,$AS69,COLUMNS($AV$9:BC68)),"")=0,"",IFERROR(INDEX($A$9:$X$304,$AS69,COLUMNS($AV$9:BC68)),""))</f>
        <v>Ambush ◆ Airborne</v>
      </c>
      <c r="BD69" s="1" t="str">
        <f>IF(IFERROR(INDEX($A$9:$X$304,$AS69,COLUMNS($AV$9:BD68)),"")=0,"",IFERROR(INDEX($A$9:$X$304,$AS69,COLUMNS($AV$9:BD68)),""))</f>
        <v>Loyalty 2 → Draw a card.</v>
      </c>
      <c r="BE69" s="1" t="str">
        <f>IF(IFERROR(INDEX($A$9:$X$304,$AS69,COLUMNS($AV$9:BE68)),"")=0,"",IFERROR(INDEX($A$9:$X$304,$AS69,COLUMNS($AV$9:BE68)),""))</f>
        <v>Draka does not negotiate.</v>
      </c>
      <c r="BF69" s="1" t="str">
        <f>IF(IFERROR(INDEX($A$9:$X$304,$AS69,COLUMNS($AV$9:BF68)),"")=0,"",IFERROR(INDEX($A$9:$X$304,$AS69,COLUMNS($AV$9:BF68)),""))</f>
        <v/>
      </c>
      <c r="BG69" s="1" t="str">
        <f>IF(IFERROR(INDEX($A$9:$X$304,$AS69,COLUMNS($AV$9:BG68)),"")=0,"",IFERROR(INDEX($A$9:$X$304,$AS69,COLUMNS($AV$9:BG68)),""))</f>
        <v/>
      </c>
      <c r="BH69" s="1" t="str">
        <f>IF(IFERROR(INDEX($A$9:$X$304,$AS69,COLUMNS($AV$9:BH68)),"")=0,"",IFERROR(INDEX($A$9:$X$304,$AS69,COLUMNS($AV$9:BH68)),""))</f>
        <v/>
      </c>
      <c r="BI69" s="1" t="str">
        <f>IF(IFERROR(INDEX($A$9:$X$304,$AS69,COLUMNS($AV$9:BI68)),"")=0,"",IFERROR(INDEX($A$9:$X$304,$AS69,COLUMNS($AV$9:BI68)),""))</f>
        <v/>
      </c>
      <c r="BJ69" s="1" t="str">
        <f>IF(IFERROR(INDEX($A$9:$X$304,$AS69,COLUMNS($AV$9:BJ68)),"")=0,"",IFERROR(INDEX($A$9:$X$304,$AS69,COLUMNS($AV$9:BJ68)),""))</f>
        <v>DRAGON</v>
      </c>
      <c r="BK69" s="1" t="str">
        <f>IF(IFERROR(INDEX($A$9:$X$304,$AS69,COLUMNS($AV$9:BK68)),"")=0,"",IFERROR(INDEX($A$9:$X$304,$AS69,COLUMNS($AV$9:BK68)),""))</f>
        <v>Common</v>
      </c>
      <c r="BL69" s="1" t="str">
        <f>IF(IFERROR(INDEX($A$9:$X$304,$AS69,COLUMNS($AV$9:BL68)),"")=0,"",IFERROR(INDEX($A$9:$X$304,$AS69,COLUMNS($AV$9:BL68)),""))</f>
        <v>Apsara</v>
      </c>
      <c r="BM69" s="1" t="str">
        <f>IF(IFERROR(INDEX($A$9:$X$304,$AS69,COLUMNS($AV$9:BM68)),"")=0,"",IFERROR(INDEX($A$9:$X$304,$AS69,COLUMNS($AV$9:BM68)),""))</f>
        <v>Tyrants: Markus' Command</v>
      </c>
      <c r="BN69" s="3" t="b">
        <f>IF(IFERROR(INDEX($A$9:$X$304,$AS69,COLUMNS($AV$9:BN68)),"")=0,"",IFERROR(INDEX($A$9:$X$304,$AS69,COLUMNS($AV$9:BN68)),""))</f>
        <v>1</v>
      </c>
      <c r="BO69" s="3" t="b">
        <f>IF(IFERROR(INDEX($A$9:$X$304,$AS69,COLUMNS($AV$9:BO68)),"")=0,"",IFERROR(INDEX($A$9:$X$304,$AS69,COLUMNS($AV$9:BO68)),""))</f>
        <v>0</v>
      </c>
      <c r="BP69" s="3" t="b">
        <f>IF(IFERROR(INDEX($A$9:$X$304,$AS69,COLUMNS($AV$9:BP68)),"")=0,"",IFERROR(INDEX($A$9:$X$304,$AS69,COLUMNS($AV$9:BP68)),""))</f>
        <v>0</v>
      </c>
      <c r="BQ69" s="3" t="b">
        <f>IF(IFERROR(INDEX($A$9:$X$304,$AS69,COLUMNS($AV$9:BQ68)),"")=0,"",IFERROR(INDEX($A$9:$X$304,$AS69,COLUMNS($AV$9:BQ68)),""))</f>
        <v>0</v>
      </c>
      <c r="BR69" s="3" t="str">
        <f>IF(IFERROR(INDEX($A$9:$X$304,$AS69,COLUMNS($AV$9:BR68)),"")=0,"",IFERROR(INDEX($A$9:$X$304,$AS69,COLUMNS($AV$9:BR68)),""))</f>
        <v>http://www.epiccardgame.com/wp-content/uploads/2016/03/drakas_enforcer-214x300.jpg</v>
      </c>
      <c r="BS69" s="3" t="str">
        <f>IF(IFERROR(INDEX($A$9:$X$304,$AS69,COLUMNS($AV$9:BS68)),"")=0,"",IFERROR(INDEX($A$9:$X$304,$AS69,COLUMNS($AV$9:BS68)),""))</f>
        <v/>
      </c>
      <c r="BT69" s="3"/>
      <c r="BU69" s="15"/>
      <c r="BV69" t="s">
        <v>90</v>
      </c>
    </row>
    <row r="70" spans="1:74" ht="225.2" customHeight="1" x14ac:dyDescent="0.25">
      <c r="A70" t="s">
        <v>387</v>
      </c>
      <c r="B70">
        <v>1</v>
      </c>
      <c r="C70" t="s">
        <v>615</v>
      </c>
      <c r="E70" t="s">
        <v>619</v>
      </c>
      <c r="H70" t="s">
        <v>656</v>
      </c>
      <c r="I70" t="s">
        <v>812</v>
      </c>
      <c r="O70" t="s">
        <v>1082</v>
      </c>
      <c r="P70" t="s">
        <v>1112</v>
      </c>
      <c r="Q70" t="s">
        <v>1116</v>
      </c>
      <c r="R70" t="s">
        <v>1178</v>
      </c>
      <c r="S70" t="b">
        <v>1</v>
      </c>
      <c r="T70" t="b">
        <v>1</v>
      </c>
      <c r="U70" t="b">
        <v>0</v>
      </c>
      <c r="V70" t="b">
        <v>0</v>
      </c>
      <c r="W70" s="2" t="s">
        <v>1245</v>
      </c>
      <c r="X70" s="2"/>
      <c r="Y70" s="24">
        <v>62</v>
      </c>
      <c r="Z70">
        <f t="shared" si="0"/>
        <v>62</v>
      </c>
      <c r="AA70">
        <f t="shared" si="1"/>
        <v>62</v>
      </c>
      <c r="AB70">
        <f t="shared" si="2"/>
        <v>62</v>
      </c>
      <c r="AC70">
        <f t="shared" si="3"/>
        <v>0</v>
      </c>
      <c r="AD70">
        <f t="shared" si="4"/>
        <v>62</v>
      </c>
      <c r="AE70">
        <f t="shared" si="5"/>
        <v>0</v>
      </c>
      <c r="AF70">
        <f t="shared" si="6"/>
        <v>0</v>
      </c>
      <c r="AG70">
        <f t="shared" si="7"/>
        <v>62</v>
      </c>
      <c r="AH70">
        <f t="shared" si="8"/>
        <v>62</v>
      </c>
      <c r="AI70">
        <f t="shared" si="9"/>
        <v>0</v>
      </c>
      <c r="AJ70">
        <f t="shared" si="10"/>
        <v>0</v>
      </c>
      <c r="AK70">
        <f t="shared" si="11"/>
        <v>0</v>
      </c>
      <c r="AL70">
        <f t="shared" si="12"/>
        <v>0</v>
      </c>
      <c r="AM70">
        <f t="shared" si="13"/>
        <v>0</v>
      </c>
      <c r="AN70">
        <f t="shared" si="14"/>
        <v>62</v>
      </c>
      <c r="AO70">
        <f t="shared" si="15"/>
        <v>62</v>
      </c>
      <c r="AP70">
        <f t="shared" si="16"/>
        <v>62</v>
      </c>
      <c r="AQ70">
        <f t="shared" si="17"/>
        <v>62</v>
      </c>
      <c r="AR70" s="6">
        <f t="shared" si="18"/>
        <v>62</v>
      </c>
      <c r="AS70">
        <f t="shared" si="19"/>
        <v>62</v>
      </c>
      <c r="AV70" s="1" t="str">
        <f>IF(IFERROR(INDEX($A$9:$W$304,$AS70,COLUMNS($AV$9:AV69)),"")=0,"",IFERROR(INDEX($A$9:$W$304,$AS70,COLUMNS($AV$9:AV69)),""))</f>
        <v>Drakas Fire</v>
      </c>
      <c r="AW70" s="1">
        <f>IFERROR(INDEX($A$9:$W$304,$AS70,COLUMNS($AV$9:AW69)),"")</f>
        <v>1</v>
      </c>
      <c r="AX70" s="1" t="str">
        <f>IF(IFERROR(INDEX($A$9:$X$304,$AS70,COLUMNS($AV$9:AX69)),"")=0,"",IFERROR(INDEX($A$9:$X$304,$AS70,COLUMNS($AV$9:AX69)),""))</f>
        <v>WILD</v>
      </c>
      <c r="AY70" s="1" t="str">
        <f>IF(IFERROR(INDEX($A$9:$X$304,$AS70,COLUMNS($AV$9:AY69)),"")=0,"",IFERROR(INDEX($A$9:$X$304,$AS70,COLUMNS($AV$9:AY69)),""))</f>
        <v/>
      </c>
      <c r="AZ70" s="1" t="str">
        <f>IF(IFERROR(INDEX($A$9:$X$304,$AS70,COLUMNS($AV$9:AZ69)),"")=0,"",IFERROR(INDEX($A$9:$X$304,$AS70,COLUMNS($AV$9:AZ69)),""))</f>
        <v>EVENT</v>
      </c>
      <c r="BA70" s="1" t="str">
        <f>IF(IFERROR(INDEX($A$9:$X$304,$AS70,COLUMNS($AV$9:BA69)),"")=0,"",IFERROR(INDEX($A$9:$X$304,$AS70,COLUMNS($AV$9:BA69)),""))</f>
        <v/>
      </c>
      <c r="BB70" s="1" t="str">
        <f>IF(IFERROR(INDEX($A$9:$X$304,$AS70,COLUMNS($AV$9:BB69)),"")=0,"",IFERROR(INDEX($A$9:$X$304,$AS70,COLUMNS($AV$9:BB69)),""))</f>
        <v/>
      </c>
      <c r="BC70" s="1" t="str">
        <f>IF(IFERROR(INDEX($A$9:$X$304,$AS70,COLUMNS($AV$9:BC69)),"")=0,"",IFERROR(INDEX($A$9:$X$304,$AS70,COLUMNS($AV$9:BC69)),""))</f>
        <v>Deal 5 damage to each champion and player.</v>
      </c>
      <c r="BD70" s="1" t="str">
        <f>IF(IFERROR(INDEX($A$9:$X$304,$AS70,COLUMNS($AV$9:BD69)),"")=0,"",IFERROR(INDEX($A$9:$X$304,$AS70,COLUMNS($AV$9:BD69)),""))</f>
        <v>If it is your turn, deal 5 damage to each opposing champion and draw a card.</v>
      </c>
      <c r="BE70" s="1" t="str">
        <f>IF(IFERROR(INDEX($A$9:$X$304,$AS70,COLUMNS($AV$9:BE69)),"")=0,"",IFERROR(INDEX($A$9:$X$304,$AS70,COLUMNS($AV$9:BE69)),""))</f>
        <v/>
      </c>
      <c r="BF70" s="1" t="str">
        <f>IF(IFERROR(INDEX($A$9:$X$304,$AS70,COLUMNS($AV$9:BF69)),"")=0,"",IFERROR(INDEX($A$9:$X$304,$AS70,COLUMNS($AV$9:BF69)),""))</f>
        <v/>
      </c>
      <c r="BG70" s="1" t="str">
        <f>IF(IFERROR(INDEX($A$9:$X$304,$AS70,COLUMNS($AV$9:BG69)),"")=0,"",IFERROR(INDEX($A$9:$X$304,$AS70,COLUMNS($AV$9:BG69)),""))</f>
        <v/>
      </c>
      <c r="BH70" s="1" t="str">
        <f>IF(IFERROR(INDEX($A$9:$X$304,$AS70,COLUMNS($AV$9:BH69)),"")=0,"",IFERROR(INDEX($A$9:$X$304,$AS70,COLUMNS($AV$9:BH69)),""))</f>
        <v/>
      </c>
      <c r="BI70" s="1" t="str">
        <f>IF(IFERROR(INDEX($A$9:$X$304,$AS70,COLUMNS($AV$9:BI69)),"")=0,"",IFERROR(INDEX($A$9:$X$304,$AS70,COLUMNS($AV$9:BI69)),""))</f>
        <v/>
      </c>
      <c r="BJ70" s="1" t="str">
        <f>IF(IFERROR(INDEX($A$9:$X$304,$AS70,COLUMNS($AV$9:BJ69)),"")=0,"",IFERROR(INDEX($A$9:$X$304,$AS70,COLUMNS($AV$9:BJ69)),""))</f>
        <v>DRAGON TYRANT</v>
      </c>
      <c r="BK70" s="1" t="str">
        <f>IF(IFERROR(INDEX($A$9:$X$304,$AS70,COLUMNS($AV$9:BK69)),"")=0,"",IFERROR(INDEX($A$9:$X$304,$AS70,COLUMNS($AV$9:BK69)),""))</f>
        <v>Common</v>
      </c>
      <c r="BL70" s="1" t="str">
        <f>IF(IFERROR(INDEX($A$9:$X$304,$AS70,COLUMNS($AV$9:BL69)),"")=0,"",IFERROR(INDEX($A$9:$X$304,$AS70,COLUMNS($AV$9:BL69)),""))</f>
        <v>Apsara</v>
      </c>
      <c r="BM70" s="1" t="str">
        <f>IF(IFERROR(INDEX($A$9:$X$304,$AS70,COLUMNS($AV$9:BM69)),"")=0,"",IFERROR(INDEX($A$9:$X$304,$AS70,COLUMNS($AV$9:BM69)),""))</f>
        <v>Tyrants: Draka's Rage</v>
      </c>
      <c r="BN70" s="3" t="b">
        <f>IF(IFERROR(INDEX($A$9:$X$304,$AS70,COLUMNS($AV$9:BN69)),"")=0,"",IFERROR(INDEX($A$9:$X$304,$AS70,COLUMNS($AV$9:BN69)),""))</f>
        <v>1</v>
      </c>
      <c r="BO70" s="3" t="b">
        <f>IF(IFERROR(INDEX($A$9:$X$304,$AS70,COLUMNS($AV$9:BO69)),"")=0,"",IFERROR(INDEX($A$9:$X$304,$AS70,COLUMNS($AV$9:BO69)),""))</f>
        <v>1</v>
      </c>
      <c r="BP70" s="3" t="b">
        <f>IF(IFERROR(INDEX($A$9:$X$304,$AS70,COLUMNS($AV$9:BP69)),"")=0,"",IFERROR(INDEX($A$9:$X$304,$AS70,COLUMNS($AV$9:BP69)),""))</f>
        <v>0</v>
      </c>
      <c r="BQ70" s="3" t="b">
        <f>IF(IFERROR(INDEX($A$9:$X$304,$AS70,COLUMNS($AV$9:BQ69)),"")=0,"",IFERROR(INDEX($A$9:$X$304,$AS70,COLUMNS($AV$9:BQ69)),""))</f>
        <v>0</v>
      </c>
      <c r="BR70" s="3" t="str">
        <f>IF(IFERROR(INDEX($A$9:$X$304,$AS70,COLUMNS($AV$9:BR69)),"")=0,"",IFERROR(INDEX($A$9:$X$304,$AS70,COLUMNS($AV$9:BR69)),""))</f>
        <v>http://www.epiccardgame.com/wp-content/uploads/2016/03/drakas_fire-214x300.jpg</v>
      </c>
      <c r="BS70" s="3" t="str">
        <f>IF(IFERROR(INDEX($A$9:$X$304,$AS70,COLUMNS($AV$9:BS69)),"")=0,"",IFERROR(INDEX($A$9:$X$304,$AS70,COLUMNS($AV$9:BS69)),""))</f>
        <v/>
      </c>
      <c r="BT70" s="3"/>
      <c r="BU70" s="15"/>
      <c r="BV70" t="s">
        <v>91</v>
      </c>
    </row>
    <row r="71" spans="1:74" ht="225.2" customHeight="1" x14ac:dyDescent="0.25">
      <c r="A71" t="s">
        <v>388</v>
      </c>
      <c r="B71">
        <v>1</v>
      </c>
      <c r="C71" t="s">
        <v>615</v>
      </c>
      <c r="E71" t="s">
        <v>620</v>
      </c>
      <c r="F71">
        <v>9</v>
      </c>
      <c r="G71">
        <v>9</v>
      </c>
      <c r="H71" t="s">
        <v>25</v>
      </c>
      <c r="I71" t="s">
        <v>650</v>
      </c>
      <c r="J71" t="s">
        <v>976</v>
      </c>
      <c r="O71" t="s">
        <v>1082</v>
      </c>
      <c r="P71" t="s">
        <v>1113</v>
      </c>
      <c r="Q71" t="s">
        <v>1116</v>
      </c>
      <c r="R71" t="s">
        <v>1178</v>
      </c>
      <c r="S71" t="b">
        <v>1</v>
      </c>
      <c r="T71" t="b">
        <v>0</v>
      </c>
      <c r="U71" t="b">
        <v>0</v>
      </c>
      <c r="V71" t="b">
        <v>0</v>
      </c>
      <c r="W71" s="2" t="s">
        <v>1246</v>
      </c>
      <c r="X71" s="2"/>
      <c r="Y71" s="24">
        <v>63</v>
      </c>
      <c r="Z71">
        <f t="shared" si="0"/>
        <v>63</v>
      </c>
      <c r="AA71">
        <f t="shared" si="1"/>
        <v>63</v>
      </c>
      <c r="AB71">
        <f t="shared" si="2"/>
        <v>63</v>
      </c>
      <c r="AC71">
        <f t="shared" si="3"/>
        <v>0</v>
      </c>
      <c r="AD71">
        <f t="shared" si="4"/>
        <v>63</v>
      </c>
      <c r="AE71">
        <f t="shared" si="5"/>
        <v>63</v>
      </c>
      <c r="AF71">
        <f t="shared" si="6"/>
        <v>63</v>
      </c>
      <c r="AG71">
        <f t="shared" si="7"/>
        <v>63</v>
      </c>
      <c r="AH71">
        <f t="shared" si="8"/>
        <v>63</v>
      </c>
      <c r="AI71">
        <f t="shared" si="9"/>
        <v>63</v>
      </c>
      <c r="AJ71">
        <f t="shared" si="10"/>
        <v>0</v>
      </c>
      <c r="AK71">
        <f t="shared" si="11"/>
        <v>0</v>
      </c>
      <c r="AL71">
        <f t="shared" si="12"/>
        <v>0</v>
      </c>
      <c r="AM71">
        <f t="shared" si="13"/>
        <v>0</v>
      </c>
      <c r="AN71">
        <f t="shared" si="14"/>
        <v>63</v>
      </c>
      <c r="AO71">
        <f t="shared" si="15"/>
        <v>63</v>
      </c>
      <c r="AP71">
        <f t="shared" si="16"/>
        <v>63</v>
      </c>
      <c r="AQ71">
        <f t="shared" si="17"/>
        <v>63</v>
      </c>
      <c r="AR71" s="6">
        <f t="shared" si="18"/>
        <v>63</v>
      </c>
      <c r="AS71">
        <f t="shared" si="19"/>
        <v>63</v>
      </c>
      <c r="AV71" s="1" t="str">
        <f>IF(IFERROR(INDEX($A$9:$W$304,$AS71,COLUMNS($AV$9:AV70)),"")=0,"",IFERROR(INDEX($A$9:$W$304,$AS71,COLUMNS($AV$9:AV70)),""))</f>
        <v>Draka Dragon Tyrant</v>
      </c>
      <c r="AW71" s="1">
        <f>IFERROR(INDEX($A$9:$W$304,$AS71,COLUMNS($AV$9:AW70)),"")</f>
        <v>1</v>
      </c>
      <c r="AX71" s="1" t="str">
        <f>IF(IFERROR(INDEX($A$9:$X$304,$AS71,COLUMNS($AV$9:AX70)),"")=0,"",IFERROR(INDEX($A$9:$X$304,$AS71,COLUMNS($AV$9:AX70)),""))</f>
        <v>WILD</v>
      </c>
      <c r="AY71" s="1" t="str">
        <f>IF(IFERROR(INDEX($A$9:$X$304,$AS71,COLUMNS($AV$9:AY70)),"")=0,"",IFERROR(INDEX($A$9:$X$304,$AS71,COLUMNS($AV$9:AY70)),""))</f>
        <v/>
      </c>
      <c r="AZ71" s="1" t="str">
        <f>IF(IFERROR(INDEX($A$9:$X$304,$AS71,COLUMNS($AV$9:AZ70)),"")=0,"",IFERROR(INDEX($A$9:$X$304,$AS71,COLUMNS($AV$9:AZ70)),""))</f>
        <v>CHAMPION</v>
      </c>
      <c r="BA71" s="1">
        <f>IF(IFERROR(INDEX($A$9:$X$304,$AS71,COLUMNS($AV$9:BA70)),"")=0,"",IFERROR(INDEX($A$9:$X$304,$AS71,COLUMNS($AV$9:BA70)),""))</f>
        <v>9</v>
      </c>
      <c r="BB71" s="1">
        <f>IF(IFERROR(INDEX($A$9:$X$304,$AS71,COLUMNS($AV$9:BB70)),"")=0,"",IFERROR(INDEX($A$9:$X$304,$AS71,COLUMNS($AV$9:BB70)),""))</f>
        <v>9</v>
      </c>
      <c r="BC71" s="1" t="str">
        <f>IF(IFERROR(INDEX($A$9:$X$304,$AS71,COLUMNS($AV$9:BC70)),"")=0,"",IFERROR(INDEX($A$9:$X$304,$AS71,COLUMNS($AV$9:BC70)),""))</f>
        <v>Airborne</v>
      </c>
      <c r="BD71" s="1" t="str">
        <f>IF(IFERROR(INDEX($A$9:$X$304,$AS71,COLUMNS($AV$9:BD70)),"")=0,"",IFERROR(INDEX($A$9:$X$304,$AS71,COLUMNS($AV$9:BD70)),""))</f>
        <v>Loyalty 2 → Blitz</v>
      </c>
      <c r="BE71" s="1" t="str">
        <f>IF(IFERROR(INDEX($A$9:$X$304,$AS71,COLUMNS($AV$9:BE70)),"")=0,"",IFERROR(INDEX($A$9:$X$304,$AS71,COLUMNS($AV$9:BE70)),""))</f>
        <v>When this card attacks → Deal 3 damage to each of the defending player's champions.</v>
      </c>
      <c r="BF71" s="1" t="str">
        <f>IF(IFERROR(INDEX($A$9:$X$304,$AS71,COLUMNS($AV$9:BF70)),"")=0,"",IFERROR(INDEX($A$9:$X$304,$AS71,COLUMNS($AV$9:BF70)),""))</f>
        <v/>
      </c>
      <c r="BG71" s="1" t="str">
        <f>IF(IFERROR(INDEX($A$9:$X$304,$AS71,COLUMNS($AV$9:BG70)),"")=0,"",IFERROR(INDEX($A$9:$X$304,$AS71,COLUMNS($AV$9:BG70)),""))</f>
        <v/>
      </c>
      <c r="BH71" s="1" t="str">
        <f>IF(IFERROR(INDEX($A$9:$X$304,$AS71,COLUMNS($AV$9:BH70)),"")=0,"",IFERROR(INDEX($A$9:$X$304,$AS71,COLUMNS($AV$9:BH70)),""))</f>
        <v/>
      </c>
      <c r="BI71" s="1" t="str">
        <f>IF(IFERROR(INDEX($A$9:$X$304,$AS71,COLUMNS($AV$9:BI70)),"")=0,"",IFERROR(INDEX($A$9:$X$304,$AS71,COLUMNS($AV$9:BI70)),""))</f>
        <v/>
      </c>
      <c r="BJ71" s="1" t="str">
        <f>IF(IFERROR(INDEX($A$9:$X$304,$AS71,COLUMNS($AV$9:BJ70)),"")=0,"",IFERROR(INDEX($A$9:$X$304,$AS71,COLUMNS($AV$9:BJ70)),""))</f>
        <v>DRAGON TYRANT</v>
      </c>
      <c r="BK71" s="1" t="str">
        <f>IF(IFERROR(INDEX($A$9:$X$304,$AS71,COLUMNS($AV$9:BK70)),"")=0,"",IFERROR(INDEX($A$9:$X$304,$AS71,COLUMNS($AV$9:BK70)),""))</f>
        <v>Rare</v>
      </c>
      <c r="BL71" s="1" t="str">
        <f>IF(IFERROR(INDEX($A$9:$X$304,$AS71,COLUMNS($AV$9:BL70)),"")=0,"",IFERROR(INDEX($A$9:$X$304,$AS71,COLUMNS($AV$9:BL70)),""))</f>
        <v>Apsara</v>
      </c>
      <c r="BM71" s="1" t="str">
        <f>IF(IFERROR(INDEX($A$9:$X$304,$AS71,COLUMNS($AV$9:BM70)),"")=0,"",IFERROR(INDEX($A$9:$X$304,$AS71,COLUMNS($AV$9:BM70)),""))</f>
        <v>Tyrants: Draka's Rage</v>
      </c>
      <c r="BN71" s="3" t="b">
        <f>IF(IFERROR(INDEX($A$9:$X$304,$AS71,COLUMNS($AV$9:BN70)),"")=0,"",IFERROR(INDEX($A$9:$X$304,$AS71,COLUMNS($AV$9:BN70)),""))</f>
        <v>1</v>
      </c>
      <c r="BO71" s="3" t="b">
        <f>IF(IFERROR(INDEX($A$9:$X$304,$AS71,COLUMNS($AV$9:BO70)),"")=0,"",IFERROR(INDEX($A$9:$X$304,$AS71,COLUMNS($AV$9:BO70)),""))</f>
        <v>0</v>
      </c>
      <c r="BP71" s="3" t="b">
        <f>IF(IFERROR(INDEX($A$9:$X$304,$AS71,COLUMNS($AV$9:BP70)),"")=0,"",IFERROR(INDEX($A$9:$X$304,$AS71,COLUMNS($AV$9:BP70)),""))</f>
        <v>0</v>
      </c>
      <c r="BQ71" s="3" t="b">
        <f>IF(IFERROR(INDEX($A$9:$X$304,$AS71,COLUMNS($AV$9:BQ70)),"")=0,"",IFERROR(INDEX($A$9:$X$304,$AS71,COLUMNS($AV$9:BQ70)),""))</f>
        <v>0</v>
      </c>
      <c r="BR71" s="3" t="str">
        <f>IF(IFERROR(INDEX($A$9:$X$304,$AS71,COLUMNS($AV$9:BR70)),"")=0,"",IFERROR(INDEX($A$9:$X$304,$AS71,COLUMNS($AV$9:BR70)),""))</f>
        <v>http://www.epiccardgame.com/wp-content/uploads/2016/03/draka_dragon_tyrant-214x300.jpg</v>
      </c>
      <c r="BS71" s="3" t="str">
        <f>IF(IFERROR(INDEX($A$9:$X$304,$AS71,COLUMNS($AV$9:BS70)),"")=0,"",IFERROR(INDEX($A$9:$X$304,$AS71,COLUMNS($AV$9:BS70)),""))</f>
        <v/>
      </c>
      <c r="BT71" s="3"/>
      <c r="BU71" s="15"/>
      <c r="BV71" t="s">
        <v>92</v>
      </c>
    </row>
    <row r="72" spans="1:74" ht="225.2" customHeight="1" x14ac:dyDescent="0.25">
      <c r="A72" t="s">
        <v>389</v>
      </c>
      <c r="B72">
        <v>1</v>
      </c>
      <c r="C72" t="s">
        <v>618</v>
      </c>
      <c r="E72" t="s">
        <v>620</v>
      </c>
      <c r="F72">
        <v>5</v>
      </c>
      <c r="G72">
        <v>4</v>
      </c>
      <c r="H72" t="s">
        <v>25</v>
      </c>
      <c r="I72" t="s">
        <v>801</v>
      </c>
      <c r="J72" t="s">
        <v>977</v>
      </c>
      <c r="O72" t="s">
        <v>1083</v>
      </c>
      <c r="P72" t="s">
        <v>1113</v>
      </c>
      <c r="Q72" t="s">
        <v>1124</v>
      </c>
      <c r="R72" t="s">
        <v>1171</v>
      </c>
      <c r="S72" t="b">
        <v>1</v>
      </c>
      <c r="T72" t="b">
        <v>0</v>
      </c>
      <c r="U72" t="b">
        <v>0</v>
      </c>
      <c r="V72" t="b">
        <v>0</v>
      </c>
      <c r="W72" s="2" t="s">
        <v>1247</v>
      </c>
      <c r="X72" s="2"/>
      <c r="Y72" s="24">
        <v>64</v>
      </c>
      <c r="Z72">
        <f t="shared" si="0"/>
        <v>64</v>
      </c>
      <c r="AA72">
        <f t="shared" si="1"/>
        <v>64</v>
      </c>
      <c r="AB72">
        <f t="shared" si="2"/>
        <v>64</v>
      </c>
      <c r="AC72">
        <f t="shared" si="3"/>
        <v>0</v>
      </c>
      <c r="AD72">
        <f t="shared" si="4"/>
        <v>64</v>
      </c>
      <c r="AE72">
        <f t="shared" si="5"/>
        <v>64</v>
      </c>
      <c r="AF72">
        <f t="shared" si="6"/>
        <v>64</v>
      </c>
      <c r="AG72">
        <f t="shared" si="7"/>
        <v>64</v>
      </c>
      <c r="AH72">
        <f t="shared" si="8"/>
        <v>64</v>
      </c>
      <c r="AI72">
        <f t="shared" si="9"/>
        <v>64</v>
      </c>
      <c r="AJ72">
        <f t="shared" si="10"/>
        <v>0</v>
      </c>
      <c r="AK72">
        <f t="shared" si="11"/>
        <v>0</v>
      </c>
      <c r="AL72">
        <f t="shared" si="12"/>
        <v>0</v>
      </c>
      <c r="AM72">
        <f t="shared" si="13"/>
        <v>0</v>
      </c>
      <c r="AN72">
        <f t="shared" si="14"/>
        <v>64</v>
      </c>
      <c r="AO72">
        <f t="shared" si="15"/>
        <v>64</v>
      </c>
      <c r="AP72">
        <f t="shared" si="16"/>
        <v>64</v>
      </c>
      <c r="AQ72">
        <f t="shared" si="17"/>
        <v>64</v>
      </c>
      <c r="AR72" s="6">
        <f t="shared" si="18"/>
        <v>64</v>
      </c>
      <c r="AS72">
        <f t="shared" si="19"/>
        <v>64</v>
      </c>
      <c r="AV72" s="1" t="str">
        <f>IF(IFERROR(INDEX($A$9:$W$304,$AS72,COLUMNS($AV$9:AV71)),"")=0,"",IFERROR(INDEX($A$9:$W$304,$AS72,COLUMNS($AV$9:AV71)),""))</f>
        <v>Drinker  of Blood</v>
      </c>
      <c r="AW72" s="1">
        <f>IFERROR(INDEX($A$9:$W$304,$AS72,COLUMNS($AV$9:AW71)),"")</f>
        <v>1</v>
      </c>
      <c r="AX72" s="1" t="str">
        <f>IF(IFERROR(INDEX($A$9:$X$304,$AS72,COLUMNS($AV$9:AX71)),"")=0,"",IFERROR(INDEX($A$9:$X$304,$AS72,COLUMNS($AV$9:AX71)),""))</f>
        <v>EVIL</v>
      </c>
      <c r="AY72" s="1" t="str">
        <f>IF(IFERROR(INDEX($A$9:$X$304,$AS72,COLUMNS($AV$9:AY71)),"")=0,"",IFERROR(INDEX($A$9:$X$304,$AS72,COLUMNS($AV$9:AY71)),""))</f>
        <v/>
      </c>
      <c r="AZ72" s="1" t="str">
        <f>IF(IFERROR(INDEX($A$9:$X$304,$AS72,COLUMNS($AV$9:AZ71)),"")=0,"",IFERROR(INDEX($A$9:$X$304,$AS72,COLUMNS($AV$9:AZ71)),""))</f>
        <v>CHAMPION</v>
      </c>
      <c r="BA72" s="1">
        <f>IF(IFERROR(INDEX($A$9:$X$304,$AS72,COLUMNS($AV$9:BA71)),"")=0,"",IFERROR(INDEX($A$9:$X$304,$AS72,COLUMNS($AV$9:BA71)),""))</f>
        <v>5</v>
      </c>
      <c r="BB72" s="1">
        <f>IF(IFERROR(INDEX($A$9:$X$304,$AS72,COLUMNS($AV$9:BB71)),"")=0,"",IFERROR(INDEX($A$9:$X$304,$AS72,COLUMNS($AV$9:BB71)),""))</f>
        <v>4</v>
      </c>
      <c r="BC72" s="1" t="str">
        <f>IF(IFERROR(INDEX($A$9:$X$304,$AS72,COLUMNS($AV$9:BC71)),"")=0,"",IFERROR(INDEX($A$9:$X$304,$AS72,COLUMNS($AV$9:BC71)),""))</f>
        <v>Airborne</v>
      </c>
      <c r="BD72" s="1" t="str">
        <f>IF(IFERROR(INDEX($A$9:$X$304,$AS72,COLUMNS($AV$9:BD71)),"")=0,"",IFERROR(INDEX($A$9:$X$304,$AS72,COLUMNS($AV$9:BD71)),""))</f>
        <v>Unbreakable on your turn.</v>
      </c>
      <c r="BE72" s="1" t="str">
        <f>IF(IFERROR(INDEX($A$9:$X$304,$AS72,COLUMNS($AV$9:BE71)),"")=0,"",IFERROR(INDEX($A$9:$X$304,$AS72,COLUMNS($AV$9:BE71)),""))</f>
        <v>When another champion is broken → If this card is in play, you gain 2 health and each opponent loses 2 health.</v>
      </c>
      <c r="BF72" s="1" t="str">
        <f>IF(IFERROR(INDEX($A$9:$X$304,$AS72,COLUMNS($AV$9:BF71)),"")=0,"",IFERROR(INDEX($A$9:$X$304,$AS72,COLUMNS($AV$9:BF71)),""))</f>
        <v/>
      </c>
      <c r="BG72" s="1" t="str">
        <f>IF(IFERROR(INDEX($A$9:$X$304,$AS72,COLUMNS($AV$9:BG71)),"")=0,"",IFERROR(INDEX($A$9:$X$304,$AS72,COLUMNS($AV$9:BG71)),""))</f>
        <v/>
      </c>
      <c r="BH72" s="1" t="str">
        <f>IF(IFERROR(INDEX($A$9:$X$304,$AS72,COLUMNS($AV$9:BH71)),"")=0,"",IFERROR(INDEX($A$9:$X$304,$AS72,COLUMNS($AV$9:BH71)),""))</f>
        <v/>
      </c>
      <c r="BI72" s="1" t="str">
        <f>IF(IFERROR(INDEX($A$9:$X$304,$AS72,COLUMNS($AV$9:BI71)),"")=0,"",IFERROR(INDEX($A$9:$X$304,$AS72,COLUMNS($AV$9:BI71)),""))</f>
        <v/>
      </c>
      <c r="BJ72" s="1" t="str">
        <f>IF(IFERROR(INDEX($A$9:$X$304,$AS72,COLUMNS($AV$9:BJ71)),"")=0,"",IFERROR(INDEX($A$9:$X$304,$AS72,COLUMNS($AV$9:BJ71)),""))</f>
        <v>VAMPIRE</v>
      </c>
      <c r="BK72" s="1" t="str">
        <f>IF(IFERROR(INDEX($A$9:$X$304,$AS72,COLUMNS($AV$9:BK71)),"")=0,"",IFERROR(INDEX($A$9:$X$304,$AS72,COLUMNS($AV$9:BK71)),""))</f>
        <v>Rare</v>
      </c>
      <c r="BL72" s="1" t="str">
        <f>IF(IFERROR(INDEX($A$9:$X$304,$AS72,COLUMNS($AV$9:BL71)),"")=0,"",IFERROR(INDEX($A$9:$X$304,$AS72,COLUMNS($AV$9:BL71)),""))</f>
        <v>Souveraine</v>
      </c>
      <c r="BM72" s="1" t="str">
        <f>IF(IFERROR(INDEX($A$9:$X$304,$AS72,COLUMNS($AV$9:BM71)),"")=0,"",IFERROR(INDEX($A$9:$X$304,$AS72,COLUMNS($AV$9:BM71)),""))</f>
        <v>Base Set</v>
      </c>
      <c r="BN72" s="3" t="b">
        <f>IF(IFERROR(INDEX($A$9:$X$304,$AS72,COLUMNS($AV$9:BN71)),"")=0,"",IFERROR(INDEX($A$9:$X$304,$AS72,COLUMNS($AV$9:BN71)),""))</f>
        <v>1</v>
      </c>
      <c r="BO72" s="3" t="b">
        <f>IF(IFERROR(INDEX($A$9:$X$304,$AS72,COLUMNS($AV$9:BO71)),"")=0,"",IFERROR(INDEX($A$9:$X$304,$AS72,COLUMNS($AV$9:BO71)),""))</f>
        <v>0</v>
      </c>
      <c r="BP72" s="3" t="b">
        <f>IF(IFERROR(INDEX($A$9:$X$304,$AS72,COLUMNS($AV$9:BP71)),"")=0,"",IFERROR(INDEX($A$9:$X$304,$AS72,COLUMNS($AV$9:BP71)),""))</f>
        <v>0</v>
      </c>
      <c r="BQ72" s="3" t="b">
        <f>IF(IFERROR(INDEX($A$9:$X$304,$AS72,COLUMNS($AV$9:BQ71)),"")=0,"",IFERROR(INDEX($A$9:$X$304,$AS72,COLUMNS($AV$9:BQ71)),""))</f>
        <v>0</v>
      </c>
      <c r="BR72" s="3" t="str">
        <f>IF(IFERROR(INDEX($A$9:$X$304,$AS72,COLUMNS($AV$9:BR71)),"")=0,"",IFERROR(INDEX($A$9:$X$304,$AS72,COLUMNS($AV$9:BR71)),""))</f>
        <v>http://www.epiccardgame.com/wp-content/uploads/2015/09/drinker_of_blood-215x300.jpg</v>
      </c>
      <c r="BS72" s="3" t="str">
        <f>IF(IFERROR(INDEX($A$9:$X$304,$AS72,COLUMNS($AV$9:BS71)),"")=0,"",IFERROR(INDEX($A$9:$X$304,$AS72,COLUMNS($AV$9:BS71)),""))</f>
        <v/>
      </c>
      <c r="BT72" s="3"/>
      <c r="BU72" s="15"/>
      <c r="BV72" t="s">
        <v>93</v>
      </c>
    </row>
    <row r="73" spans="1:74" ht="225" customHeight="1" x14ac:dyDescent="0.25">
      <c r="A73" t="s">
        <v>390</v>
      </c>
      <c r="B73">
        <v>1</v>
      </c>
      <c r="C73" t="s">
        <v>616</v>
      </c>
      <c r="E73" t="s">
        <v>620</v>
      </c>
      <c r="F73">
        <v>6</v>
      </c>
      <c r="G73">
        <v>5</v>
      </c>
      <c r="H73" t="s">
        <v>650</v>
      </c>
      <c r="I73" t="s">
        <v>813</v>
      </c>
      <c r="J73" t="s">
        <v>978</v>
      </c>
      <c r="O73" t="s">
        <v>1074</v>
      </c>
      <c r="P73" t="s">
        <v>1112</v>
      </c>
      <c r="Q73" t="s">
        <v>1139</v>
      </c>
      <c r="R73" t="s">
        <v>1176</v>
      </c>
      <c r="S73" t="b">
        <v>1</v>
      </c>
      <c r="T73" t="b">
        <v>0</v>
      </c>
      <c r="U73" t="b">
        <v>0</v>
      </c>
      <c r="V73" t="b">
        <v>0</v>
      </c>
      <c r="W73" s="2" t="s">
        <v>1248</v>
      </c>
      <c r="X73" s="2"/>
      <c r="Y73" s="24">
        <v>65</v>
      </c>
      <c r="Z73">
        <f t="shared" ref="Z73:Z136" si="20">IF((IFERROR(SEARCH($BU$6,A73), FALSE)),$Y73,0)</f>
        <v>65</v>
      </c>
      <c r="AA73">
        <f t="shared" ref="AA73:AA136" si="21">IF((IFERROR(SEARCH($BU$6,B73), FALSE)),$Y73,0)</f>
        <v>65</v>
      </c>
      <c r="AB73">
        <f t="shared" ref="AB73:AB136" si="22">IF((IFERROR(SEARCH($BU$6,C73), FALSE)),$Y73,0)</f>
        <v>65</v>
      </c>
      <c r="AC73">
        <f t="shared" ref="AC73:AC136" si="23">IF((IFERROR(SEARCH($BU$6,D73), FALSE)),$Y73,0)</f>
        <v>0</v>
      </c>
      <c r="AD73">
        <f t="shared" ref="AD73:AD136" si="24">IF((IFERROR(SEARCH($BU$6,E73), FALSE)),$Y73,0)</f>
        <v>65</v>
      </c>
      <c r="AE73">
        <f t="shared" ref="AE73:AE136" si="25">IF((IFERROR(SEARCH($BU$6,F73), FALSE)),$Y73,0)</f>
        <v>65</v>
      </c>
      <c r="AF73">
        <f t="shared" ref="AF73:AF136" si="26">IF((IFERROR(SEARCH($BU$6,G73), FALSE)),$Y73,0)</f>
        <v>65</v>
      </c>
      <c r="AG73">
        <f t="shared" ref="AG73:AG136" si="27">IF((IFERROR(SEARCH($BU$6,H73), FALSE)),$Y73,0)</f>
        <v>65</v>
      </c>
      <c r="AH73">
        <f t="shared" ref="AH73:AH136" si="28">IF((IFERROR(SEARCH($BU$6,I73), FALSE)),$Y73,0)</f>
        <v>65</v>
      </c>
      <c r="AI73">
        <f t="shared" ref="AI73:AI136" si="29">IF((IFERROR(SEARCH($BU$6,J73), FALSE)),$Y73,0)</f>
        <v>65</v>
      </c>
      <c r="AJ73">
        <f t="shared" ref="AJ73:AJ136" si="30">IF((IFERROR(SEARCH($BU$6,K73), FALSE)),$Y73,0)</f>
        <v>0</v>
      </c>
      <c r="AK73">
        <f t="shared" ref="AK73:AK136" si="31">IF((IFERROR(SEARCH($BU$6,L73), FALSE)),$Y73,0)</f>
        <v>0</v>
      </c>
      <c r="AL73">
        <f t="shared" ref="AL73:AL136" si="32">IF((IFERROR(SEARCH($BU$6,M73), FALSE)),$Y73,0)</f>
        <v>0</v>
      </c>
      <c r="AM73">
        <f t="shared" ref="AM73:AM136" si="33">IF((IFERROR(SEARCH($BU$6,N73), FALSE)),$Y73,0)</f>
        <v>0</v>
      </c>
      <c r="AN73">
        <f t="shared" ref="AN73:AN136" si="34">IF((IFERROR(SEARCH($BU$6,O73), FALSE)),$Y73,0)</f>
        <v>65</v>
      </c>
      <c r="AO73">
        <f t="shared" ref="AO73:AO136" si="35">IF((IFERROR(SEARCH($BU$6,P73), FALSE)),$Y73,0)</f>
        <v>65</v>
      </c>
      <c r="AP73">
        <f t="shared" ref="AP73:AP136" si="36">IF((IFERROR(SEARCH($BU$6,Q73), FALSE)),$Y73,0)</f>
        <v>65</v>
      </c>
      <c r="AQ73">
        <f t="shared" ref="AQ73:AQ136" si="37">IF((IFERROR(SEARCH($BU$6,R73), FALSE)),$Y73,0)</f>
        <v>65</v>
      </c>
      <c r="AR73" s="6">
        <f t="shared" si="18"/>
        <v>65</v>
      </c>
      <c r="AS73">
        <f t="shared" si="19"/>
        <v>65</v>
      </c>
      <c r="AV73" s="1" t="str">
        <f>IF(IFERROR(INDEX($A$9:$W$304,$AS73,COLUMNS($AV$9:AV72)),"")=0,"",IFERROR(INDEX($A$9:$W$304,$AS73,COLUMNS($AV$9:AV72)),""))</f>
        <v>Elara the Lycomancer</v>
      </c>
      <c r="AW73" s="1">
        <f>IFERROR(INDEX($A$9:$W$304,$AS73,COLUMNS($AV$9:AW72)),"")</f>
        <v>1</v>
      </c>
      <c r="AX73" s="1" t="str">
        <f>IF(IFERROR(INDEX($A$9:$X$304,$AS73,COLUMNS($AV$9:AX72)),"")=0,"",IFERROR(INDEX($A$9:$X$304,$AS73,COLUMNS($AV$9:AX72)),""))</f>
        <v>SAGE</v>
      </c>
      <c r="AY73" s="1" t="str">
        <f>IF(IFERROR(INDEX($A$9:$X$304,$AS73,COLUMNS($AV$9:AY72)),"")=0,"",IFERROR(INDEX($A$9:$X$304,$AS73,COLUMNS($AV$9:AY72)),""))</f>
        <v/>
      </c>
      <c r="AZ73" s="1" t="str">
        <f>IF(IFERROR(INDEX($A$9:$X$304,$AS73,COLUMNS($AV$9:AZ72)),"")=0,"",IFERROR(INDEX($A$9:$X$304,$AS73,COLUMNS($AV$9:AZ72)),""))</f>
        <v>CHAMPION</v>
      </c>
      <c r="BA73" s="1">
        <f>IF(IFERROR(INDEX($A$9:$X$304,$AS73,COLUMNS($AV$9:BA72)),"")=0,"",IFERROR(INDEX($A$9:$X$304,$AS73,COLUMNS($AV$9:BA72)),""))</f>
        <v>6</v>
      </c>
      <c r="BB73" s="1">
        <f>IF(IFERROR(INDEX($A$9:$X$304,$AS73,COLUMNS($AV$9:BB72)),"")=0,"",IFERROR(INDEX($A$9:$X$304,$AS73,COLUMNS($AV$9:BB72)),""))</f>
        <v>5</v>
      </c>
      <c r="BC73" s="1" t="str">
        <f>IF(IFERROR(INDEX($A$9:$X$304,$AS73,COLUMNS($AV$9:BC72)),"")=0,"",IFERROR(INDEX($A$9:$X$304,$AS73,COLUMNS($AV$9:BC72)),""))</f>
        <v>Loyalty 2 → Blitz</v>
      </c>
      <c r="BD73" s="1" t="str">
        <f>IF(IFERROR(INDEX($A$9:$X$304,$AS73,COLUMNS($AV$9:BD72)),"")=0,"",IFERROR(INDEX($A$9:$X$304,$AS73,COLUMNS($AV$9:BD72)),""))</f>
        <v>Tribute → Put a wolf token into play.</v>
      </c>
      <c r="BE73" s="1" t="str">
        <f>IF(IFERROR(INDEX($A$9:$X$304,$AS73,COLUMNS($AV$9:BE72)),"")=0,"",IFERROR(INDEX($A$9:$X$304,$AS73,COLUMNS($AV$9:BE72)),""))</f>
        <v>{expend}: Transform target champion into a wolf token. (Put it on the bottom of its owner's deck. Its controller puts a wolf token into play.)</v>
      </c>
      <c r="BF73" s="1" t="str">
        <f>IF(IFERROR(INDEX($A$9:$X$304,$AS73,COLUMNS($AV$9:BF72)),"")=0,"",IFERROR(INDEX($A$9:$X$304,$AS73,COLUMNS($AV$9:BF72)),""))</f>
        <v/>
      </c>
      <c r="BG73" s="1" t="str">
        <f>IF(IFERROR(INDEX($A$9:$X$304,$AS73,COLUMNS($AV$9:BG72)),"")=0,"",IFERROR(INDEX($A$9:$X$304,$AS73,COLUMNS($AV$9:BG72)),""))</f>
        <v/>
      </c>
      <c r="BH73" s="1" t="str">
        <f>IF(IFERROR(INDEX($A$9:$X$304,$AS73,COLUMNS($AV$9:BH72)),"")=0,"",IFERROR(INDEX($A$9:$X$304,$AS73,COLUMNS($AV$9:BH72)),""))</f>
        <v/>
      </c>
      <c r="BI73" s="1" t="str">
        <f>IF(IFERROR(INDEX($A$9:$X$304,$AS73,COLUMNS($AV$9:BI72)),"")=0,"",IFERROR(INDEX($A$9:$X$304,$AS73,COLUMNS($AV$9:BI72)),""))</f>
        <v/>
      </c>
      <c r="BJ73" s="1" t="str">
        <f>IF(IFERROR(INDEX($A$9:$X$304,$AS73,COLUMNS($AV$9:BJ72)),"")=0,"",IFERROR(INDEX($A$9:$X$304,$AS73,COLUMNS($AV$9:BJ72)),""))</f>
        <v>HUMAN MAGE</v>
      </c>
      <c r="BK73" s="1" t="str">
        <f>IF(IFERROR(INDEX($A$9:$X$304,$AS73,COLUMNS($AV$9:BK72)),"")=0,"",IFERROR(INDEX($A$9:$X$304,$AS73,COLUMNS($AV$9:BK72)),""))</f>
        <v>Common</v>
      </c>
      <c r="BL73" s="1" t="str">
        <f>IF(IFERROR(INDEX($A$9:$X$304,$AS73,COLUMNS($AV$9:BL72)),"")=0,"",IFERROR(INDEX($A$9:$X$304,$AS73,COLUMNS($AV$9:BL72)),""))</f>
        <v>Bramasta Aji</v>
      </c>
      <c r="BM73" s="1" t="str">
        <f>IF(IFERROR(INDEX($A$9:$X$304,$AS73,COLUMNS($AV$9:BM72)),"")=0,"",IFERROR(INDEX($A$9:$X$304,$AS73,COLUMNS($AV$9:BM72)),""))</f>
        <v>Tyrants: Markus' Command</v>
      </c>
      <c r="BN73" s="3" t="b">
        <f>IF(IFERROR(INDEX($A$9:$X$304,$AS73,COLUMNS($AV$9:BN72)),"")=0,"",IFERROR(INDEX($A$9:$X$304,$AS73,COLUMNS($AV$9:BN72)),""))</f>
        <v>1</v>
      </c>
      <c r="BO73" s="3" t="b">
        <f>IF(IFERROR(INDEX($A$9:$X$304,$AS73,COLUMNS($AV$9:BO72)),"")=0,"",IFERROR(INDEX($A$9:$X$304,$AS73,COLUMNS($AV$9:BO72)),""))</f>
        <v>0</v>
      </c>
      <c r="BP73" s="3" t="b">
        <f>IF(IFERROR(INDEX($A$9:$X$304,$AS73,COLUMNS($AV$9:BP72)),"")=0,"",IFERROR(INDEX($A$9:$X$304,$AS73,COLUMNS($AV$9:BP72)),""))</f>
        <v>0</v>
      </c>
      <c r="BQ73" s="3" t="b">
        <f>IF(IFERROR(INDEX($A$9:$X$304,$AS73,COLUMNS($AV$9:BQ72)),"")=0,"",IFERROR(INDEX($A$9:$X$304,$AS73,COLUMNS($AV$9:BQ72)),""))</f>
        <v>0</v>
      </c>
      <c r="BR73" s="3" t="str">
        <f>IF(IFERROR(INDEX($A$9:$X$304,$AS73,COLUMNS($AV$9:BR72)),"")=0,"",IFERROR(INDEX($A$9:$X$304,$AS73,COLUMNS($AV$9:BR72)),""))</f>
        <v>http://www.epiccardgame.com/wp-content/uploads/2016/03/elara_the_lycomancer-214x300.jpg</v>
      </c>
      <c r="BS73" s="3" t="str">
        <f>IF(IFERROR(INDEX($A$9:$X$304,$AS73,COLUMNS($AV$9:BS72)),"")=0,"",IFERROR(INDEX($A$9:$X$304,$AS73,COLUMNS($AV$9:BS72)),""))</f>
        <v/>
      </c>
      <c r="BT73" s="3"/>
      <c r="BU73" s="15"/>
      <c r="BV73" t="s">
        <v>94</v>
      </c>
    </row>
    <row r="74" spans="1:74" ht="225.2" customHeight="1" x14ac:dyDescent="0.25">
      <c r="A74" t="s">
        <v>391</v>
      </c>
      <c r="B74">
        <v>1</v>
      </c>
      <c r="C74" t="s">
        <v>615</v>
      </c>
      <c r="E74" t="s">
        <v>620</v>
      </c>
      <c r="F74">
        <v>30</v>
      </c>
      <c r="G74">
        <v>30</v>
      </c>
      <c r="H74" t="s">
        <v>657</v>
      </c>
      <c r="I74" t="s">
        <v>814</v>
      </c>
      <c r="O74" t="s">
        <v>1071</v>
      </c>
      <c r="P74" t="s">
        <v>1113</v>
      </c>
      <c r="Q74" t="s">
        <v>1135</v>
      </c>
      <c r="R74" t="s">
        <v>1182</v>
      </c>
      <c r="S74" t="b">
        <v>1</v>
      </c>
      <c r="T74" t="b">
        <v>0</v>
      </c>
      <c r="U74" t="b">
        <v>0</v>
      </c>
      <c r="V74" t="b">
        <v>0</v>
      </c>
      <c r="W74" s="2" t="s">
        <v>1249</v>
      </c>
      <c r="X74" s="2"/>
      <c r="Y74" s="24">
        <v>66</v>
      </c>
      <c r="Z74">
        <f t="shared" si="20"/>
        <v>66</v>
      </c>
      <c r="AA74">
        <f t="shared" si="21"/>
        <v>66</v>
      </c>
      <c r="AB74">
        <f t="shared" si="22"/>
        <v>66</v>
      </c>
      <c r="AC74">
        <f t="shared" si="23"/>
        <v>0</v>
      </c>
      <c r="AD74">
        <f t="shared" si="24"/>
        <v>66</v>
      </c>
      <c r="AE74">
        <f t="shared" si="25"/>
        <v>66</v>
      </c>
      <c r="AF74">
        <f t="shared" si="26"/>
        <v>66</v>
      </c>
      <c r="AG74">
        <f t="shared" si="27"/>
        <v>66</v>
      </c>
      <c r="AH74">
        <f t="shared" si="28"/>
        <v>66</v>
      </c>
      <c r="AI74">
        <f t="shared" si="29"/>
        <v>0</v>
      </c>
      <c r="AJ74">
        <f t="shared" si="30"/>
        <v>0</v>
      </c>
      <c r="AK74">
        <f t="shared" si="31"/>
        <v>0</v>
      </c>
      <c r="AL74">
        <f t="shared" si="32"/>
        <v>0</v>
      </c>
      <c r="AM74">
        <f t="shared" si="33"/>
        <v>0</v>
      </c>
      <c r="AN74">
        <f t="shared" si="34"/>
        <v>66</v>
      </c>
      <c r="AO74">
        <f t="shared" si="35"/>
        <v>66</v>
      </c>
      <c r="AP74">
        <f t="shared" si="36"/>
        <v>66</v>
      </c>
      <c r="AQ74">
        <f t="shared" si="37"/>
        <v>66</v>
      </c>
      <c r="AR74" s="6">
        <f t="shared" ref="AR74:AR137" si="38">IF(SUM($Z74:$AQ74)&gt;=$Y74,$Y74,"")</f>
        <v>66</v>
      </c>
      <c r="AS74">
        <f t="shared" ref="AS74:AS137" si="39">IFERROR(SMALL($AR$9:$AR$304,$Y74),"")</f>
        <v>66</v>
      </c>
      <c r="AV74" s="1" t="str">
        <f>IF(IFERROR(INDEX($A$9:$W$304,$AS74,COLUMNS($AV$9:AV73)),"")=0,"",IFERROR(INDEX($A$9:$W$304,$AS74,COLUMNS($AV$9:AV73)),""))</f>
        <v>Elder Greatwurm</v>
      </c>
      <c r="AW74" s="1">
        <f>IFERROR(INDEX($A$9:$W$304,$AS74,COLUMNS($AV$9:AW73)),"")</f>
        <v>1</v>
      </c>
      <c r="AX74" s="1" t="str">
        <f>IF(IFERROR(INDEX($A$9:$X$304,$AS74,COLUMNS($AV$9:AX73)),"")=0,"",IFERROR(INDEX($A$9:$X$304,$AS74,COLUMNS($AV$9:AX73)),""))</f>
        <v>WILD</v>
      </c>
      <c r="AY74" s="1" t="str">
        <f>IF(IFERROR(INDEX($A$9:$X$304,$AS74,COLUMNS($AV$9:AY73)),"")=0,"",IFERROR(INDEX($A$9:$X$304,$AS74,COLUMNS($AV$9:AY73)),""))</f>
        <v/>
      </c>
      <c r="AZ74" s="1" t="str">
        <f>IF(IFERROR(INDEX($A$9:$X$304,$AS74,COLUMNS($AV$9:AZ73)),"")=0,"",IFERROR(INDEX($A$9:$X$304,$AS74,COLUMNS($AV$9:AZ73)),""))</f>
        <v>CHAMPION</v>
      </c>
      <c r="BA74" s="1">
        <f>IF(IFERROR(INDEX($A$9:$X$304,$AS74,COLUMNS($AV$9:BA73)),"")=0,"",IFERROR(INDEX($A$9:$X$304,$AS74,COLUMNS($AV$9:BA73)),""))</f>
        <v>30</v>
      </c>
      <c r="BB74" s="1">
        <f>IF(IFERROR(INDEX($A$9:$X$304,$AS74,COLUMNS($AV$9:BB73)),"")=0,"",IFERROR(INDEX($A$9:$X$304,$AS74,COLUMNS($AV$9:BB73)),""))</f>
        <v>30</v>
      </c>
      <c r="BC74" s="1" t="str">
        <f>IF(IFERROR(INDEX($A$9:$X$304,$AS74,COLUMNS($AV$9:BC73)),"")=0,"",IFERROR(INDEX($A$9:$X$304,$AS74,COLUMNS($AV$9:BC73)),""))</f>
        <v>This card can't gain powers or abilities.</v>
      </c>
      <c r="BD74" s="1" t="str">
        <f>IF(IFERROR(INDEX($A$9:$X$304,$AS74,COLUMNS($AV$9:BD73)),"")=0,"",IFERROR(INDEX($A$9:$X$304,$AS74,COLUMNS($AV$9:BD73)),""))</f>
        <v>(For example, it can't gain blitz or breakthrough.)</v>
      </c>
      <c r="BE74" s="1" t="str">
        <f>IF(IFERROR(INDEX($A$9:$X$304,$AS74,COLUMNS($AV$9:BE73)),"")=0,"",IFERROR(INDEX($A$9:$X$304,$AS74,COLUMNS($AV$9:BE73)),""))</f>
        <v/>
      </c>
      <c r="BF74" s="1" t="str">
        <f>IF(IFERROR(INDEX($A$9:$X$304,$AS74,COLUMNS($AV$9:BF73)),"")=0,"",IFERROR(INDEX($A$9:$X$304,$AS74,COLUMNS($AV$9:BF73)),""))</f>
        <v/>
      </c>
      <c r="BG74" s="1" t="str">
        <f>IF(IFERROR(INDEX($A$9:$X$304,$AS74,COLUMNS($AV$9:BG73)),"")=0,"",IFERROR(INDEX($A$9:$X$304,$AS74,COLUMNS($AV$9:BG73)),""))</f>
        <v/>
      </c>
      <c r="BH74" s="1" t="str">
        <f>IF(IFERROR(INDEX($A$9:$X$304,$AS74,COLUMNS($AV$9:BH73)),"")=0,"",IFERROR(INDEX($A$9:$X$304,$AS74,COLUMNS($AV$9:BH73)),""))</f>
        <v/>
      </c>
      <c r="BI74" s="1" t="str">
        <f>IF(IFERROR(INDEX($A$9:$X$304,$AS74,COLUMNS($AV$9:BI73)),"")=0,"",IFERROR(INDEX($A$9:$X$304,$AS74,COLUMNS($AV$9:BI73)),""))</f>
        <v/>
      </c>
      <c r="BJ74" s="1" t="str">
        <f>IF(IFERROR(INDEX($A$9:$X$304,$AS74,COLUMNS($AV$9:BJ73)),"")=0,"",IFERROR(INDEX($A$9:$X$304,$AS74,COLUMNS($AV$9:BJ73)),""))</f>
        <v>WURM</v>
      </c>
      <c r="BK74" s="1" t="str">
        <f>IF(IFERROR(INDEX($A$9:$X$304,$AS74,COLUMNS($AV$9:BK73)),"")=0,"",IFERROR(INDEX($A$9:$X$304,$AS74,COLUMNS($AV$9:BK73)),""))</f>
        <v>Rare</v>
      </c>
      <c r="BL74" s="1" t="str">
        <f>IF(IFERROR(INDEX($A$9:$X$304,$AS74,COLUMNS($AV$9:BL73)),"")=0,"",IFERROR(INDEX($A$9:$X$304,$AS74,COLUMNS($AV$9:BL73)),""))</f>
        <v>Trevor Smith</v>
      </c>
      <c r="BM74" s="1" t="str">
        <f>IF(IFERROR(INDEX($A$9:$X$304,$AS74,COLUMNS($AV$9:BM73)),"")=0,"",IFERROR(INDEX($A$9:$X$304,$AS74,COLUMNS($AV$9:BM73)),""))</f>
        <v>Season 1 Promo</v>
      </c>
      <c r="BN74" s="3" t="b">
        <f>IF(IFERROR(INDEX($A$9:$X$304,$AS74,COLUMNS($AV$9:BN73)),"")=0,"",IFERROR(INDEX($A$9:$X$304,$AS74,COLUMNS($AV$9:BN73)),""))</f>
        <v>1</v>
      </c>
      <c r="BO74" s="3" t="b">
        <f>IF(IFERROR(INDEX($A$9:$X$304,$AS74,COLUMNS($AV$9:BO73)),"")=0,"",IFERROR(INDEX($A$9:$X$304,$AS74,COLUMNS($AV$9:BO73)),""))</f>
        <v>0</v>
      </c>
      <c r="BP74" s="3" t="b">
        <f>IF(IFERROR(INDEX($A$9:$X$304,$AS74,COLUMNS($AV$9:BP73)),"")=0,"",IFERROR(INDEX($A$9:$X$304,$AS74,COLUMNS($AV$9:BP73)),""))</f>
        <v>0</v>
      </c>
      <c r="BQ74" s="3" t="b">
        <f>IF(IFERROR(INDEX($A$9:$X$304,$AS74,COLUMNS($AV$9:BQ73)),"")=0,"",IFERROR(INDEX($A$9:$X$304,$AS74,COLUMNS($AV$9:BQ73)),""))</f>
        <v>0</v>
      </c>
      <c r="BR74" s="3" t="str">
        <f>IF(IFERROR(INDEX($A$9:$X$304,$AS74,COLUMNS($AV$9:BR73)),"")=0,"",IFERROR(INDEX($A$9:$X$304,$AS74,COLUMNS($AV$9:BR73)),""))</f>
        <v>http://www.epiccardgame.com/wp-content/uploads/2015/09/elder_greatwurm-215x300.jpg</v>
      </c>
      <c r="BS74" s="3" t="str">
        <f>IF(IFERROR(INDEX($A$9:$X$304,$AS74,COLUMNS($AV$9:BS73)),"")=0,"",IFERROR(INDEX($A$9:$X$304,$AS74,COLUMNS($AV$9:BS73)),""))</f>
        <v/>
      </c>
      <c r="BT74" s="3"/>
      <c r="BU74" s="15"/>
      <c r="BV74" t="s">
        <v>95</v>
      </c>
    </row>
    <row r="75" spans="1:74" ht="225" customHeight="1" x14ac:dyDescent="0.25">
      <c r="A75" t="s">
        <v>392</v>
      </c>
      <c r="B75">
        <v>1</v>
      </c>
      <c r="C75" t="s">
        <v>615</v>
      </c>
      <c r="E75" t="s">
        <v>620</v>
      </c>
      <c r="F75">
        <v>9</v>
      </c>
      <c r="G75">
        <v>8</v>
      </c>
      <c r="H75" t="s">
        <v>21</v>
      </c>
      <c r="I75" t="s">
        <v>815</v>
      </c>
      <c r="O75" t="s">
        <v>1084</v>
      </c>
      <c r="P75" t="s">
        <v>1112</v>
      </c>
      <c r="Q75" t="s">
        <v>1124</v>
      </c>
      <c r="R75" t="s">
        <v>1177</v>
      </c>
      <c r="S75" t="b">
        <v>1</v>
      </c>
      <c r="T75" t="b">
        <v>0</v>
      </c>
      <c r="U75" t="b">
        <v>0</v>
      </c>
      <c r="V75" t="b">
        <v>0</v>
      </c>
      <c r="W75" s="2" t="s">
        <v>1250</v>
      </c>
      <c r="X75" s="2"/>
      <c r="Y75" s="24">
        <v>67</v>
      </c>
      <c r="Z75">
        <f t="shared" si="20"/>
        <v>67</v>
      </c>
      <c r="AA75">
        <f t="shared" si="21"/>
        <v>67</v>
      </c>
      <c r="AB75">
        <f t="shared" si="22"/>
        <v>67</v>
      </c>
      <c r="AC75">
        <f t="shared" si="23"/>
        <v>0</v>
      </c>
      <c r="AD75">
        <f t="shared" si="24"/>
        <v>67</v>
      </c>
      <c r="AE75">
        <f t="shared" si="25"/>
        <v>67</v>
      </c>
      <c r="AF75">
        <f t="shared" si="26"/>
        <v>67</v>
      </c>
      <c r="AG75">
        <f t="shared" si="27"/>
        <v>67</v>
      </c>
      <c r="AH75">
        <f t="shared" si="28"/>
        <v>67</v>
      </c>
      <c r="AI75">
        <f t="shared" si="29"/>
        <v>0</v>
      </c>
      <c r="AJ75">
        <f t="shared" si="30"/>
        <v>0</v>
      </c>
      <c r="AK75">
        <f t="shared" si="31"/>
        <v>0</v>
      </c>
      <c r="AL75">
        <f t="shared" si="32"/>
        <v>0</v>
      </c>
      <c r="AM75">
        <f t="shared" si="33"/>
        <v>0</v>
      </c>
      <c r="AN75">
        <f t="shared" si="34"/>
        <v>67</v>
      </c>
      <c r="AO75">
        <f t="shared" si="35"/>
        <v>67</v>
      </c>
      <c r="AP75">
        <f t="shared" si="36"/>
        <v>67</v>
      </c>
      <c r="AQ75">
        <f t="shared" si="37"/>
        <v>67</v>
      </c>
      <c r="AR75" s="6">
        <f t="shared" si="38"/>
        <v>67</v>
      </c>
      <c r="AS75">
        <f t="shared" si="39"/>
        <v>67</v>
      </c>
      <c r="AV75" s="1" t="str">
        <f>IF(IFERROR(INDEX($A$9:$W$304,$AS75,COLUMNS($AV$9:AV74)),"")=0,"",IFERROR(INDEX($A$9:$W$304,$AS75,COLUMNS($AV$9:AV74)),""))</f>
        <v>Entangling Vines</v>
      </c>
      <c r="AW75" s="1">
        <f>IFERROR(INDEX($A$9:$W$304,$AS75,COLUMNS($AV$9:AW74)),"")</f>
        <v>1</v>
      </c>
      <c r="AX75" s="1" t="str">
        <f>IF(IFERROR(INDEX($A$9:$X$304,$AS75,COLUMNS($AV$9:AX74)),"")=0,"",IFERROR(INDEX($A$9:$X$304,$AS75,COLUMNS($AV$9:AX74)),""))</f>
        <v>WILD</v>
      </c>
      <c r="AY75" s="1" t="str">
        <f>IF(IFERROR(INDEX($A$9:$X$304,$AS75,COLUMNS($AV$9:AY74)),"")=0,"",IFERROR(INDEX($A$9:$X$304,$AS75,COLUMNS($AV$9:AY74)),""))</f>
        <v/>
      </c>
      <c r="AZ75" s="1" t="str">
        <f>IF(IFERROR(INDEX($A$9:$X$304,$AS75,COLUMNS($AV$9:AZ74)),"")=0,"",IFERROR(INDEX($A$9:$X$304,$AS75,COLUMNS($AV$9:AZ74)),""))</f>
        <v>CHAMPION</v>
      </c>
      <c r="BA75" s="1">
        <f>IF(IFERROR(INDEX($A$9:$X$304,$AS75,COLUMNS($AV$9:BA74)),"")=0,"",IFERROR(INDEX($A$9:$X$304,$AS75,COLUMNS($AV$9:BA74)),""))</f>
        <v>9</v>
      </c>
      <c r="BB75" s="1">
        <f>IF(IFERROR(INDEX($A$9:$X$304,$AS75,COLUMNS($AV$9:BB74)),"")=0,"",IFERROR(INDEX($A$9:$X$304,$AS75,COLUMNS($AV$9:BB74)),""))</f>
        <v>8</v>
      </c>
      <c r="BC75" s="1" t="str">
        <f>IF(IFERROR(INDEX($A$9:$X$304,$AS75,COLUMNS($AV$9:BC74)),"")=0,"",IFERROR(INDEX($A$9:$X$304,$AS75,COLUMNS($AV$9:BC74)),""))</f>
        <v>Ambush</v>
      </c>
      <c r="BD75" s="1" t="str">
        <f>IF(IFERROR(INDEX($A$9:$X$304,$AS75,COLUMNS($AV$9:BD74)),"")=0,"",IFERROR(INDEX($A$9:$X$304,$AS75,COLUMNS($AV$9:BD74)),""))</f>
        <v>Tribute and/or {wild} → Expend target champion.</v>
      </c>
      <c r="BE75" s="1" t="str">
        <f>IF(IFERROR(INDEX($A$9:$X$304,$AS75,COLUMNS($AV$9:BE74)),"")=0,"",IFERROR(INDEX($A$9:$X$304,$AS75,COLUMNS($AV$9:BE74)),""))</f>
        <v/>
      </c>
      <c r="BF75" s="1" t="str">
        <f>IF(IFERROR(INDEX($A$9:$X$304,$AS75,COLUMNS($AV$9:BF74)),"")=0,"",IFERROR(INDEX($A$9:$X$304,$AS75,COLUMNS($AV$9:BF74)),""))</f>
        <v/>
      </c>
      <c r="BG75" s="1" t="str">
        <f>IF(IFERROR(INDEX($A$9:$X$304,$AS75,COLUMNS($AV$9:BG74)),"")=0,"",IFERROR(INDEX($A$9:$X$304,$AS75,COLUMNS($AV$9:BG74)),""))</f>
        <v/>
      </c>
      <c r="BH75" s="1" t="str">
        <f>IF(IFERROR(INDEX($A$9:$X$304,$AS75,COLUMNS($AV$9:BH74)),"")=0,"",IFERROR(INDEX($A$9:$X$304,$AS75,COLUMNS($AV$9:BH74)),""))</f>
        <v/>
      </c>
      <c r="BI75" s="1" t="str">
        <f>IF(IFERROR(INDEX($A$9:$X$304,$AS75,COLUMNS($AV$9:BI74)),"")=0,"",IFERROR(INDEX($A$9:$X$304,$AS75,COLUMNS($AV$9:BI74)),""))</f>
        <v/>
      </c>
      <c r="BJ75" s="1" t="str">
        <f>IF(IFERROR(INDEX($A$9:$X$304,$AS75,COLUMNS($AV$9:BJ74)),"")=0,"",IFERROR(INDEX($A$9:$X$304,$AS75,COLUMNS($AV$9:BJ74)),""))</f>
        <v>PLANT</v>
      </c>
      <c r="BK75" s="1" t="str">
        <f>IF(IFERROR(INDEX($A$9:$X$304,$AS75,COLUMNS($AV$9:BK74)),"")=0,"",IFERROR(INDEX($A$9:$X$304,$AS75,COLUMNS($AV$9:BK74)),""))</f>
        <v>Common</v>
      </c>
      <c r="BL75" s="1" t="str">
        <f>IF(IFERROR(INDEX($A$9:$X$304,$AS75,COLUMNS($AV$9:BL74)),"")=0,"",IFERROR(INDEX($A$9:$X$304,$AS75,COLUMNS($AV$9:BL74)),""))</f>
        <v>Souveraine</v>
      </c>
      <c r="BM75" s="1" t="str">
        <f>IF(IFERROR(INDEX($A$9:$X$304,$AS75,COLUMNS($AV$9:BM74)),"")=0,"",IFERROR(INDEX($A$9:$X$304,$AS75,COLUMNS($AV$9:BM74)),""))</f>
        <v>Uprising: Will of Zannos</v>
      </c>
      <c r="BN75" s="3" t="b">
        <f>IF(IFERROR(INDEX($A$9:$X$304,$AS75,COLUMNS($AV$9:BN74)),"")=0,"",IFERROR(INDEX($A$9:$X$304,$AS75,COLUMNS($AV$9:BN74)),""))</f>
        <v>1</v>
      </c>
      <c r="BO75" s="3" t="b">
        <f>IF(IFERROR(INDEX($A$9:$X$304,$AS75,COLUMNS($AV$9:BO74)),"")=0,"",IFERROR(INDEX($A$9:$X$304,$AS75,COLUMNS($AV$9:BO74)),""))</f>
        <v>0</v>
      </c>
      <c r="BP75" s="3" t="b">
        <f>IF(IFERROR(INDEX($A$9:$X$304,$AS75,COLUMNS($AV$9:BP74)),"")=0,"",IFERROR(INDEX($A$9:$X$304,$AS75,COLUMNS($AV$9:BP74)),""))</f>
        <v>0</v>
      </c>
      <c r="BQ75" s="3" t="b">
        <f>IF(IFERROR(INDEX($A$9:$X$304,$AS75,COLUMNS($AV$9:BQ74)),"")=0,"",IFERROR(INDEX($A$9:$X$304,$AS75,COLUMNS($AV$9:BQ74)),""))</f>
        <v>0</v>
      </c>
      <c r="BR75" s="3" t="str">
        <f>IF(IFERROR(INDEX($A$9:$X$304,$AS75,COLUMNS($AV$9:BR74)),"")=0,"",IFERROR(INDEX($A$9:$X$304,$AS75,COLUMNS($AV$9:BR74)),""))</f>
        <v>https://www.epiccardgame.com/wp-content/uploads/2017/11/UPZ-EN-entangling-vines.jpg</v>
      </c>
      <c r="BS75" s="3" t="str">
        <f>IF(IFERROR(INDEX($A$9:$X$304,$AS75,COLUMNS($AV$9:BS74)),"")=0,"",IFERROR(INDEX($A$9:$X$304,$AS75,COLUMNS($AV$9:BS74)),""))</f>
        <v/>
      </c>
      <c r="BT75" s="3"/>
      <c r="BU75" s="15"/>
      <c r="BV75" t="s">
        <v>96</v>
      </c>
    </row>
    <row r="76" spans="1:74" ht="225" customHeight="1" x14ac:dyDescent="0.25">
      <c r="A76" t="s">
        <v>393</v>
      </c>
      <c r="B76">
        <v>1</v>
      </c>
      <c r="C76" t="s">
        <v>616</v>
      </c>
      <c r="E76" t="s">
        <v>619</v>
      </c>
      <c r="H76" t="s">
        <v>627</v>
      </c>
      <c r="I76" t="s">
        <v>816</v>
      </c>
      <c r="O76" t="s">
        <v>1062</v>
      </c>
      <c r="P76" t="s">
        <v>1113</v>
      </c>
      <c r="Q76" t="s">
        <v>1117</v>
      </c>
      <c r="R76" t="s">
        <v>1171</v>
      </c>
      <c r="S76" t="b">
        <v>1</v>
      </c>
      <c r="T76" t="b">
        <v>0</v>
      </c>
      <c r="U76" t="b">
        <v>0</v>
      </c>
      <c r="V76" t="b">
        <v>0</v>
      </c>
      <c r="W76" s="2" t="s">
        <v>1251</v>
      </c>
      <c r="X76" s="2"/>
      <c r="Y76" s="24">
        <v>68</v>
      </c>
      <c r="Z76">
        <f t="shared" si="20"/>
        <v>68</v>
      </c>
      <c r="AA76">
        <f t="shared" si="21"/>
        <v>68</v>
      </c>
      <c r="AB76">
        <f t="shared" si="22"/>
        <v>68</v>
      </c>
      <c r="AC76">
        <f t="shared" si="23"/>
        <v>0</v>
      </c>
      <c r="AD76">
        <f t="shared" si="24"/>
        <v>68</v>
      </c>
      <c r="AE76">
        <f t="shared" si="25"/>
        <v>0</v>
      </c>
      <c r="AF76">
        <f t="shared" si="26"/>
        <v>0</v>
      </c>
      <c r="AG76">
        <f t="shared" si="27"/>
        <v>68</v>
      </c>
      <c r="AH76">
        <f t="shared" si="28"/>
        <v>68</v>
      </c>
      <c r="AI76">
        <f t="shared" si="29"/>
        <v>0</v>
      </c>
      <c r="AJ76">
        <f t="shared" si="30"/>
        <v>0</v>
      </c>
      <c r="AK76">
        <f t="shared" si="31"/>
        <v>0</v>
      </c>
      <c r="AL76">
        <f t="shared" si="32"/>
        <v>0</v>
      </c>
      <c r="AM76">
        <f t="shared" si="33"/>
        <v>0</v>
      </c>
      <c r="AN76">
        <f t="shared" si="34"/>
        <v>68</v>
      </c>
      <c r="AO76">
        <f t="shared" si="35"/>
        <v>68</v>
      </c>
      <c r="AP76">
        <f t="shared" si="36"/>
        <v>68</v>
      </c>
      <c r="AQ76">
        <f t="shared" si="37"/>
        <v>68</v>
      </c>
      <c r="AR76" s="6">
        <f t="shared" si="38"/>
        <v>68</v>
      </c>
      <c r="AS76">
        <f t="shared" si="39"/>
        <v>68</v>
      </c>
      <c r="AV76" s="1" t="str">
        <f>IF(IFERROR(INDEX($A$9:$W$304,$AS76,COLUMNS($AV$9:AV75)),"")=0,"",IFERROR(INDEX($A$9:$W$304,$AS76,COLUMNS($AV$9:AV75)),""))</f>
        <v>Erase</v>
      </c>
      <c r="AW76" s="1">
        <f>IFERROR(INDEX($A$9:$W$304,$AS76,COLUMNS($AV$9:AW75)),"")</f>
        <v>1</v>
      </c>
      <c r="AX76" s="1" t="str">
        <f>IF(IFERROR(INDEX($A$9:$X$304,$AS76,COLUMNS($AV$9:AX75)),"")=0,"",IFERROR(INDEX($A$9:$X$304,$AS76,COLUMNS($AV$9:AX75)),""))</f>
        <v>SAGE</v>
      </c>
      <c r="AY76" s="1" t="str">
        <f>IF(IFERROR(INDEX($A$9:$X$304,$AS76,COLUMNS($AV$9:AY75)),"")=0,"",IFERROR(INDEX($A$9:$X$304,$AS76,COLUMNS($AV$9:AY75)),""))</f>
        <v/>
      </c>
      <c r="AZ76" s="1" t="str">
        <f>IF(IFERROR(INDEX($A$9:$X$304,$AS76,COLUMNS($AV$9:AZ75)),"")=0,"",IFERROR(INDEX($A$9:$X$304,$AS76,COLUMNS($AV$9:AZ75)),""))</f>
        <v>EVENT</v>
      </c>
      <c r="BA76" s="1" t="str">
        <f>IF(IFERROR(INDEX($A$9:$X$304,$AS76,COLUMNS($AV$9:BA75)),"")=0,"",IFERROR(INDEX($A$9:$X$304,$AS76,COLUMNS($AV$9:BA75)),""))</f>
        <v/>
      </c>
      <c r="BB76" s="1" t="str">
        <f>IF(IFERROR(INDEX($A$9:$X$304,$AS76,COLUMNS($AV$9:BB75)),"")=0,"",IFERROR(INDEX($A$9:$X$304,$AS76,COLUMNS($AV$9:BB75)),""))</f>
        <v/>
      </c>
      <c r="BC76" s="1" t="str">
        <f>IF(IFERROR(INDEX($A$9:$X$304,$AS76,COLUMNS($AV$9:BC75)),"")=0,"",IFERROR(INDEX($A$9:$X$304,$AS76,COLUMNS($AV$9:BC75)),""))</f>
        <v>Draw two cards.</v>
      </c>
      <c r="BD76" s="1" t="str">
        <f>IF(IFERROR(INDEX($A$9:$X$304,$AS76,COLUMNS($AV$9:BD75)),"")=0,"",IFERROR(INDEX($A$9:$X$304,$AS76,COLUMNS($AV$9:BD75)),""))</f>
        <v>Return target champion to its owner's hand.</v>
      </c>
      <c r="BE76" s="1" t="str">
        <f>IF(IFERROR(INDEX($A$9:$X$304,$AS76,COLUMNS($AV$9:BE75)),"")=0,"",IFERROR(INDEX($A$9:$X$304,$AS76,COLUMNS($AV$9:BE75)),""))</f>
        <v/>
      </c>
      <c r="BF76" s="1" t="str">
        <f>IF(IFERROR(INDEX($A$9:$X$304,$AS76,COLUMNS($AV$9:BF75)),"")=0,"",IFERROR(INDEX($A$9:$X$304,$AS76,COLUMNS($AV$9:BF75)),""))</f>
        <v/>
      </c>
      <c r="BG76" s="1" t="str">
        <f>IF(IFERROR(INDEX($A$9:$X$304,$AS76,COLUMNS($AV$9:BG75)),"")=0,"",IFERROR(INDEX($A$9:$X$304,$AS76,COLUMNS($AV$9:BG75)),""))</f>
        <v/>
      </c>
      <c r="BH76" s="1" t="str">
        <f>IF(IFERROR(INDEX($A$9:$X$304,$AS76,COLUMNS($AV$9:BH75)),"")=0,"",IFERROR(INDEX($A$9:$X$304,$AS76,COLUMNS($AV$9:BH75)),""))</f>
        <v/>
      </c>
      <c r="BI76" s="1" t="str">
        <f>IF(IFERROR(INDEX($A$9:$X$304,$AS76,COLUMNS($AV$9:BI75)),"")=0,"",IFERROR(INDEX($A$9:$X$304,$AS76,COLUMNS($AV$9:BI75)),""))</f>
        <v/>
      </c>
      <c r="BJ76" s="1" t="str">
        <f>IF(IFERROR(INDEX($A$9:$X$304,$AS76,COLUMNS($AV$9:BJ75)),"")=0,"",IFERROR(INDEX($A$9:$X$304,$AS76,COLUMNS($AV$9:BJ75)),""))</f>
        <v>None</v>
      </c>
      <c r="BK76" s="1" t="str">
        <f>IF(IFERROR(INDEX($A$9:$X$304,$AS76,COLUMNS($AV$9:BK75)),"")=0,"",IFERROR(INDEX($A$9:$X$304,$AS76,COLUMNS($AV$9:BK75)),""))</f>
        <v>Rare</v>
      </c>
      <c r="BL76" s="1" t="str">
        <f>IF(IFERROR(INDEX($A$9:$X$304,$AS76,COLUMNS($AV$9:BL75)),"")=0,"",IFERROR(INDEX($A$9:$X$304,$AS76,COLUMNS($AV$9:BL75)),""))</f>
        <v>Antonis Papantoniou</v>
      </c>
      <c r="BM76" s="1" t="str">
        <f>IF(IFERROR(INDEX($A$9:$X$304,$AS76,COLUMNS($AV$9:BM75)),"")=0,"",IFERROR(INDEX($A$9:$X$304,$AS76,COLUMNS($AV$9:BM75)),""))</f>
        <v>Base Set</v>
      </c>
      <c r="BN76" s="3" t="b">
        <f>IF(IFERROR(INDEX($A$9:$X$304,$AS76,COLUMNS($AV$9:BN75)),"")=0,"",IFERROR(INDEX($A$9:$X$304,$AS76,COLUMNS($AV$9:BN75)),""))</f>
        <v>1</v>
      </c>
      <c r="BO76" s="3" t="b">
        <f>IF(IFERROR(INDEX($A$9:$X$304,$AS76,COLUMNS($AV$9:BO75)),"")=0,"",IFERROR(INDEX($A$9:$X$304,$AS76,COLUMNS($AV$9:BO75)),""))</f>
        <v>0</v>
      </c>
      <c r="BP76" s="3" t="b">
        <f>IF(IFERROR(INDEX($A$9:$X$304,$AS76,COLUMNS($AV$9:BP75)),"")=0,"",IFERROR(INDEX($A$9:$X$304,$AS76,COLUMNS($AV$9:BP75)),""))</f>
        <v>0</v>
      </c>
      <c r="BQ76" s="3" t="b">
        <f>IF(IFERROR(INDEX($A$9:$X$304,$AS76,COLUMNS($AV$9:BQ75)),"")=0,"",IFERROR(INDEX($A$9:$X$304,$AS76,COLUMNS($AV$9:BQ75)),""))</f>
        <v>0</v>
      </c>
      <c r="BR76" s="3" t="str">
        <f>IF(IFERROR(INDEX($A$9:$X$304,$AS76,COLUMNS($AV$9:BR75)),"")=0,"",IFERROR(INDEX($A$9:$X$304,$AS76,COLUMNS($AV$9:BR75)),""))</f>
        <v>http://www.epiccardgame.com/wp-content/uploads/2015/09/erase-215x300.jpg</v>
      </c>
      <c r="BS76" s="3" t="str">
        <f>IF(IFERROR(INDEX($A$9:$X$304,$AS76,COLUMNS($AV$9:BS75)),"")=0,"",IFERROR(INDEX($A$9:$X$304,$AS76,COLUMNS($AV$9:BS75)),""))</f>
        <v/>
      </c>
      <c r="BT76" s="3"/>
      <c r="BU76" s="15"/>
      <c r="BV76" t="s">
        <v>97</v>
      </c>
    </row>
    <row r="77" spans="1:74" ht="225.2" customHeight="1" x14ac:dyDescent="0.25">
      <c r="A77" t="s">
        <v>394</v>
      </c>
      <c r="B77">
        <v>1</v>
      </c>
      <c r="C77" t="s">
        <v>616</v>
      </c>
      <c r="E77" t="s">
        <v>619</v>
      </c>
      <c r="H77" t="s">
        <v>627</v>
      </c>
      <c r="I77" t="s">
        <v>626</v>
      </c>
      <c r="O77" t="s">
        <v>1062</v>
      </c>
      <c r="P77" t="s">
        <v>1112</v>
      </c>
      <c r="Q77" t="s">
        <v>1127</v>
      </c>
      <c r="R77" t="s">
        <v>1172</v>
      </c>
      <c r="S77" t="b">
        <v>1</v>
      </c>
      <c r="T77" t="b">
        <v>0</v>
      </c>
      <c r="U77" t="b">
        <v>0</v>
      </c>
      <c r="V77" t="b">
        <v>0</v>
      </c>
      <c r="W77" s="2" t="s">
        <v>1252</v>
      </c>
      <c r="X77" s="2"/>
      <c r="Y77" s="24">
        <v>69</v>
      </c>
      <c r="Z77">
        <f t="shared" si="20"/>
        <v>69</v>
      </c>
      <c r="AA77">
        <f t="shared" si="21"/>
        <v>69</v>
      </c>
      <c r="AB77">
        <f t="shared" si="22"/>
        <v>69</v>
      </c>
      <c r="AC77">
        <f t="shared" si="23"/>
        <v>0</v>
      </c>
      <c r="AD77">
        <f t="shared" si="24"/>
        <v>69</v>
      </c>
      <c r="AE77">
        <f t="shared" si="25"/>
        <v>0</v>
      </c>
      <c r="AF77">
        <f t="shared" si="26"/>
        <v>0</v>
      </c>
      <c r="AG77">
        <f t="shared" si="27"/>
        <v>69</v>
      </c>
      <c r="AH77">
        <f t="shared" si="28"/>
        <v>69</v>
      </c>
      <c r="AI77">
        <f t="shared" si="29"/>
        <v>0</v>
      </c>
      <c r="AJ77">
        <f t="shared" si="30"/>
        <v>0</v>
      </c>
      <c r="AK77">
        <f t="shared" si="31"/>
        <v>0</v>
      </c>
      <c r="AL77">
        <f t="shared" si="32"/>
        <v>0</v>
      </c>
      <c r="AM77">
        <f t="shared" si="33"/>
        <v>0</v>
      </c>
      <c r="AN77">
        <f t="shared" si="34"/>
        <v>69</v>
      </c>
      <c r="AO77">
        <f t="shared" si="35"/>
        <v>69</v>
      </c>
      <c r="AP77">
        <f t="shared" si="36"/>
        <v>69</v>
      </c>
      <c r="AQ77">
        <f t="shared" si="37"/>
        <v>69</v>
      </c>
      <c r="AR77" s="6">
        <f t="shared" si="38"/>
        <v>69</v>
      </c>
      <c r="AS77">
        <f t="shared" si="39"/>
        <v>69</v>
      </c>
      <c r="AV77" s="1" t="str">
        <f>IF(IFERROR(INDEX($A$9:$W$304,$AS77,COLUMNS($AV$9:AV76)),"")=0,"",IFERROR(INDEX($A$9:$W$304,$AS77,COLUMNS($AV$9:AV76)),""))</f>
        <v>Erratic Research</v>
      </c>
      <c r="AW77" s="1">
        <f>IFERROR(INDEX($A$9:$W$304,$AS77,COLUMNS($AV$9:AW76)),"")</f>
        <v>1</v>
      </c>
      <c r="AX77" s="1" t="str">
        <f>IF(IFERROR(INDEX($A$9:$X$304,$AS77,COLUMNS($AV$9:AX76)),"")=0,"",IFERROR(INDEX($A$9:$X$304,$AS77,COLUMNS($AV$9:AX76)),""))</f>
        <v>SAGE</v>
      </c>
      <c r="AY77" s="1" t="str">
        <f>IF(IFERROR(INDEX($A$9:$X$304,$AS77,COLUMNS($AV$9:AY76)),"")=0,"",IFERROR(INDEX($A$9:$X$304,$AS77,COLUMNS($AV$9:AY76)),""))</f>
        <v/>
      </c>
      <c r="AZ77" s="1" t="str">
        <f>IF(IFERROR(INDEX($A$9:$X$304,$AS77,COLUMNS($AV$9:AZ76)),"")=0,"",IFERROR(INDEX($A$9:$X$304,$AS77,COLUMNS($AV$9:AZ76)),""))</f>
        <v>EVENT</v>
      </c>
      <c r="BA77" s="1" t="str">
        <f>IF(IFERROR(INDEX($A$9:$X$304,$AS77,COLUMNS($AV$9:BA76)),"")=0,"",IFERROR(INDEX($A$9:$X$304,$AS77,COLUMNS($AV$9:BA76)),""))</f>
        <v/>
      </c>
      <c r="BB77" s="1" t="str">
        <f>IF(IFERROR(INDEX($A$9:$X$304,$AS77,COLUMNS($AV$9:BB76)),"")=0,"",IFERROR(INDEX($A$9:$X$304,$AS77,COLUMNS($AV$9:BB76)),""))</f>
        <v/>
      </c>
      <c r="BC77" s="1" t="str">
        <f>IF(IFERROR(INDEX($A$9:$X$304,$AS77,COLUMNS($AV$9:BC76)),"")=0,"",IFERROR(INDEX($A$9:$X$304,$AS77,COLUMNS($AV$9:BC76)),""))</f>
        <v>Draw two cards.</v>
      </c>
      <c r="BD77" s="1" t="str">
        <f>IF(IFERROR(INDEX($A$9:$X$304,$AS77,COLUMNS($AV$9:BD76)),"")=0,"",IFERROR(INDEX($A$9:$X$304,$AS77,COLUMNS($AV$9:BD76)),""))</f>
        <v>Banish target player's discard pile.</v>
      </c>
      <c r="BE77" s="1" t="str">
        <f>IF(IFERROR(INDEX($A$9:$X$304,$AS77,COLUMNS($AV$9:BE76)),"")=0,"",IFERROR(INDEX($A$9:$X$304,$AS77,COLUMNS($AV$9:BE76)),""))</f>
        <v/>
      </c>
      <c r="BF77" s="1" t="str">
        <f>IF(IFERROR(INDEX($A$9:$X$304,$AS77,COLUMNS($AV$9:BF76)),"")=0,"",IFERROR(INDEX($A$9:$X$304,$AS77,COLUMNS($AV$9:BF76)),""))</f>
        <v/>
      </c>
      <c r="BG77" s="1" t="str">
        <f>IF(IFERROR(INDEX($A$9:$X$304,$AS77,COLUMNS($AV$9:BG76)),"")=0,"",IFERROR(INDEX($A$9:$X$304,$AS77,COLUMNS($AV$9:BG76)),""))</f>
        <v/>
      </c>
      <c r="BH77" s="1" t="str">
        <f>IF(IFERROR(INDEX($A$9:$X$304,$AS77,COLUMNS($AV$9:BH76)),"")=0,"",IFERROR(INDEX($A$9:$X$304,$AS77,COLUMNS($AV$9:BH76)),""))</f>
        <v/>
      </c>
      <c r="BI77" s="1" t="str">
        <f>IF(IFERROR(INDEX($A$9:$X$304,$AS77,COLUMNS($AV$9:BI76)),"")=0,"",IFERROR(INDEX($A$9:$X$304,$AS77,COLUMNS($AV$9:BI76)),""))</f>
        <v/>
      </c>
      <c r="BJ77" s="1" t="str">
        <f>IF(IFERROR(INDEX($A$9:$X$304,$AS77,COLUMNS($AV$9:BJ76)),"")=0,"",IFERROR(INDEX($A$9:$X$304,$AS77,COLUMNS($AV$9:BJ76)),""))</f>
        <v>None</v>
      </c>
      <c r="BK77" s="1" t="str">
        <f>IF(IFERROR(INDEX($A$9:$X$304,$AS77,COLUMNS($AV$9:BK76)),"")=0,"",IFERROR(INDEX($A$9:$X$304,$AS77,COLUMNS($AV$9:BK76)),""))</f>
        <v>Common</v>
      </c>
      <c r="BL77" s="1" t="str">
        <f>IF(IFERROR(INDEX($A$9:$X$304,$AS77,COLUMNS($AV$9:BL76)),"")=0,"",IFERROR(INDEX($A$9:$X$304,$AS77,COLUMNS($AV$9:BL76)),""))</f>
        <v>Johnny Morrow</v>
      </c>
      <c r="BM77" s="1" t="str">
        <f>IF(IFERROR(INDEX($A$9:$X$304,$AS77,COLUMNS($AV$9:BM76)),"")=0,"",IFERROR(INDEX($A$9:$X$304,$AS77,COLUMNS($AV$9:BM76)),""))</f>
        <v>Uprising: Velden's Wrath</v>
      </c>
      <c r="BN77" s="3" t="b">
        <f>IF(IFERROR(INDEX($A$9:$X$304,$AS77,COLUMNS($AV$9:BN76)),"")=0,"",IFERROR(INDEX($A$9:$X$304,$AS77,COLUMNS($AV$9:BN76)),""))</f>
        <v>1</v>
      </c>
      <c r="BO77" s="3" t="b">
        <f>IF(IFERROR(INDEX($A$9:$X$304,$AS77,COLUMNS($AV$9:BO76)),"")=0,"",IFERROR(INDEX($A$9:$X$304,$AS77,COLUMNS($AV$9:BO76)),""))</f>
        <v>0</v>
      </c>
      <c r="BP77" s="3" t="b">
        <f>IF(IFERROR(INDEX($A$9:$X$304,$AS77,COLUMNS($AV$9:BP76)),"")=0,"",IFERROR(INDEX($A$9:$X$304,$AS77,COLUMNS($AV$9:BP76)),""))</f>
        <v>0</v>
      </c>
      <c r="BQ77" s="3" t="b">
        <f>IF(IFERROR(INDEX($A$9:$X$304,$AS77,COLUMNS($AV$9:BQ76)),"")=0,"",IFERROR(INDEX($A$9:$X$304,$AS77,COLUMNS($AV$9:BQ76)),""))</f>
        <v>0</v>
      </c>
      <c r="BR77" s="3" t="str">
        <f>IF(IFERROR(INDEX($A$9:$X$304,$AS77,COLUMNS($AV$9:BR76)),"")=0,"",IFERROR(INDEX($A$9:$X$304,$AS77,COLUMNS($AV$9:BR76)),""))</f>
        <v>https://www.epiccardgame.com/wp-content/uploads/2017/11/UPV-EN-erratic-research.jpg</v>
      </c>
      <c r="BS77" s="3" t="str">
        <f>IF(IFERROR(INDEX($A$9:$X$304,$AS77,COLUMNS($AV$9:BS76)),"")=0,"",IFERROR(INDEX($A$9:$X$304,$AS77,COLUMNS($AV$9:BS76)),""))</f>
        <v/>
      </c>
      <c r="BT77" s="3"/>
      <c r="BU77" s="15"/>
      <c r="BV77" t="s">
        <v>98</v>
      </c>
    </row>
    <row r="78" spans="1:74" ht="225.2" customHeight="1" x14ac:dyDescent="0.25">
      <c r="A78" t="s">
        <v>395</v>
      </c>
      <c r="B78">
        <v>0</v>
      </c>
      <c r="C78" t="s">
        <v>616</v>
      </c>
      <c r="E78" t="s">
        <v>620</v>
      </c>
      <c r="F78">
        <v>1</v>
      </c>
      <c r="G78">
        <v>5</v>
      </c>
      <c r="H78" t="s">
        <v>646</v>
      </c>
      <c r="I78" t="s">
        <v>817</v>
      </c>
      <c r="O78" t="s">
        <v>1063</v>
      </c>
      <c r="P78" t="s">
        <v>1112</v>
      </c>
      <c r="Q78" t="s">
        <v>1140</v>
      </c>
      <c r="R78" t="s">
        <v>1174</v>
      </c>
      <c r="S78" t="b">
        <v>0</v>
      </c>
      <c r="T78" t="b">
        <v>0</v>
      </c>
      <c r="U78" t="b">
        <v>0</v>
      </c>
      <c r="V78" t="b">
        <v>0</v>
      </c>
      <c r="W78" s="2" t="s">
        <v>1253</v>
      </c>
      <c r="X78" s="2"/>
      <c r="Y78" s="24">
        <v>70</v>
      </c>
      <c r="Z78">
        <f t="shared" si="20"/>
        <v>70</v>
      </c>
      <c r="AA78">
        <f t="shared" si="21"/>
        <v>70</v>
      </c>
      <c r="AB78">
        <f t="shared" si="22"/>
        <v>70</v>
      </c>
      <c r="AC78">
        <f t="shared" si="23"/>
        <v>0</v>
      </c>
      <c r="AD78">
        <f t="shared" si="24"/>
        <v>70</v>
      </c>
      <c r="AE78">
        <f t="shared" si="25"/>
        <v>70</v>
      </c>
      <c r="AF78">
        <f t="shared" si="26"/>
        <v>70</v>
      </c>
      <c r="AG78">
        <f t="shared" si="27"/>
        <v>70</v>
      </c>
      <c r="AH78">
        <f t="shared" si="28"/>
        <v>70</v>
      </c>
      <c r="AI78">
        <f t="shared" si="29"/>
        <v>0</v>
      </c>
      <c r="AJ78">
        <f t="shared" si="30"/>
        <v>0</v>
      </c>
      <c r="AK78">
        <f t="shared" si="31"/>
        <v>0</v>
      </c>
      <c r="AL78">
        <f t="shared" si="32"/>
        <v>0</v>
      </c>
      <c r="AM78">
        <f t="shared" si="33"/>
        <v>0</v>
      </c>
      <c r="AN78">
        <f t="shared" si="34"/>
        <v>70</v>
      </c>
      <c r="AO78">
        <f t="shared" si="35"/>
        <v>70</v>
      </c>
      <c r="AP78">
        <f t="shared" si="36"/>
        <v>70</v>
      </c>
      <c r="AQ78">
        <f t="shared" si="37"/>
        <v>70</v>
      </c>
      <c r="AR78" s="6">
        <f t="shared" si="38"/>
        <v>70</v>
      </c>
      <c r="AS78">
        <f t="shared" si="39"/>
        <v>70</v>
      </c>
      <c r="AV78" s="1" t="str">
        <f>IF(IFERROR(INDEX($A$9:$W$304,$AS78,COLUMNS($AV$9:AV77)),"")=0,"",IFERROR(INDEX($A$9:$W$304,$AS78,COLUMNS($AV$9:AV77)),""))</f>
        <v>Erwin, Architect of War</v>
      </c>
      <c r="AW78" s="1">
        <f>IFERROR(INDEX($A$9:$W$304,$AS78,COLUMNS($AV$9:AW77)),"")</f>
        <v>0</v>
      </c>
      <c r="AX78" s="1" t="str">
        <f>IF(IFERROR(INDEX($A$9:$X$304,$AS78,COLUMNS($AV$9:AX77)),"")=0,"",IFERROR(INDEX($A$9:$X$304,$AS78,COLUMNS($AV$9:AX77)),""))</f>
        <v>SAGE</v>
      </c>
      <c r="AY78" s="1" t="str">
        <f>IF(IFERROR(INDEX($A$9:$X$304,$AS78,COLUMNS($AV$9:AY77)),"")=0,"",IFERROR(INDEX($A$9:$X$304,$AS78,COLUMNS($AV$9:AY77)),""))</f>
        <v/>
      </c>
      <c r="AZ78" s="1" t="str">
        <f>IF(IFERROR(INDEX($A$9:$X$304,$AS78,COLUMNS($AV$9:AZ77)),"")=0,"",IFERROR(INDEX($A$9:$X$304,$AS78,COLUMNS($AV$9:AZ77)),""))</f>
        <v>CHAMPION</v>
      </c>
      <c r="BA78" s="1">
        <f>IF(IFERROR(INDEX($A$9:$X$304,$AS78,COLUMNS($AV$9:BA77)),"")=0,"",IFERROR(INDEX($A$9:$X$304,$AS78,COLUMNS($AV$9:BA77)),""))</f>
        <v>1</v>
      </c>
      <c r="BB78" s="1">
        <f>IF(IFERROR(INDEX($A$9:$X$304,$AS78,COLUMNS($AV$9:BB77)),"")=0,"",IFERROR(INDEX($A$9:$X$304,$AS78,COLUMNS($AV$9:BB77)),""))</f>
        <v>5</v>
      </c>
      <c r="BC78" s="1" t="str">
        <f>IF(IFERROR(INDEX($A$9:$X$304,$AS78,COLUMNS($AV$9:BC77)),"")=0,"",IFERROR(INDEX($A$9:$X$304,$AS78,COLUMNS($AV$9:BC77)),""))</f>
        <v>Tribute → Recycle</v>
      </c>
      <c r="BD78" s="1" t="str">
        <f>IF(IFERROR(INDEX($A$9:$X$304,$AS78,COLUMNS($AV$9:BD77)),"")=0,"",IFERROR(INDEX($A$9:$X$304,$AS78,COLUMNS($AV$9:BD77)),""))</f>
        <v>This card has all alignments, even while it is in your hand, deck, or discard pile. (During deck construction, it is only sage.)</v>
      </c>
      <c r="BE78" s="1" t="str">
        <f>IF(IFERROR(INDEX($A$9:$X$304,$AS78,COLUMNS($AV$9:BE77)),"")=0,"",IFERROR(INDEX($A$9:$X$304,$AS78,COLUMNS($AV$9:BE77)),""))</f>
        <v/>
      </c>
      <c r="BF78" s="1" t="str">
        <f>IF(IFERROR(INDEX($A$9:$X$304,$AS78,COLUMNS($AV$9:BF77)),"")=0,"",IFERROR(INDEX($A$9:$X$304,$AS78,COLUMNS($AV$9:BF77)),""))</f>
        <v/>
      </c>
      <c r="BG78" s="1" t="str">
        <f>IF(IFERROR(INDEX($A$9:$X$304,$AS78,COLUMNS($AV$9:BG77)),"")=0,"",IFERROR(INDEX($A$9:$X$304,$AS78,COLUMNS($AV$9:BG77)),""))</f>
        <v/>
      </c>
      <c r="BH78" s="1" t="str">
        <f>IF(IFERROR(INDEX($A$9:$X$304,$AS78,COLUMNS($AV$9:BH77)),"")=0,"",IFERROR(INDEX($A$9:$X$304,$AS78,COLUMNS($AV$9:BH77)),""))</f>
        <v/>
      </c>
      <c r="BI78" s="1" t="str">
        <f>IF(IFERROR(INDEX($A$9:$X$304,$AS78,COLUMNS($AV$9:BI77)),"")=0,"",IFERROR(INDEX($A$9:$X$304,$AS78,COLUMNS($AV$9:BI77)),""))</f>
        <v/>
      </c>
      <c r="BJ78" s="1" t="str">
        <f>IF(IFERROR(INDEX($A$9:$X$304,$AS78,COLUMNS($AV$9:BJ77)),"")=0,"",IFERROR(INDEX($A$9:$X$304,$AS78,COLUMNS($AV$9:BJ77)),""))</f>
        <v>HUMAN</v>
      </c>
      <c r="BK78" s="1" t="str">
        <f>IF(IFERROR(INDEX($A$9:$X$304,$AS78,COLUMNS($AV$9:BK77)),"")=0,"",IFERROR(INDEX($A$9:$X$304,$AS78,COLUMNS($AV$9:BK77)),""))</f>
        <v>Common</v>
      </c>
      <c r="BL78" s="1" t="str">
        <f>IF(IFERROR(INDEX($A$9:$X$304,$AS78,COLUMNS($AV$9:BL77)),"")=0,"",IFERROR(INDEX($A$9:$X$304,$AS78,COLUMNS($AV$9:BL77)),""))</f>
        <v>Ksenia Kozhevnikova</v>
      </c>
      <c r="BM78" s="1" t="str">
        <f>IF(IFERROR(INDEX($A$9:$X$304,$AS78,COLUMNS($AV$9:BM77)),"")=0,"",IFERROR(INDEX($A$9:$X$304,$AS78,COLUMNS($AV$9:BM77)),""))</f>
        <v>Pantheon: Furios vs Maligus</v>
      </c>
      <c r="BN78" s="3" t="b">
        <f>IF(IFERROR(INDEX($A$9:$X$304,$AS78,COLUMNS($AV$9:BN77)),"")=0,"",IFERROR(INDEX($A$9:$X$304,$AS78,COLUMNS($AV$9:BN77)),""))</f>
        <v>0</v>
      </c>
      <c r="BO78" s="3" t="b">
        <f>IF(IFERROR(INDEX($A$9:$X$304,$AS78,COLUMNS($AV$9:BO77)),"")=0,"",IFERROR(INDEX($A$9:$X$304,$AS78,COLUMNS($AV$9:BO77)),""))</f>
        <v>0</v>
      </c>
      <c r="BP78" s="3" t="b">
        <f>IF(IFERROR(INDEX($A$9:$X$304,$AS78,COLUMNS($AV$9:BP77)),"")=0,"",IFERROR(INDEX($A$9:$X$304,$AS78,COLUMNS($AV$9:BP77)),""))</f>
        <v>0</v>
      </c>
      <c r="BQ78" s="3" t="b">
        <f>IF(IFERROR(INDEX($A$9:$X$304,$AS78,COLUMNS($AV$9:BQ77)),"")=0,"",IFERROR(INDEX($A$9:$X$304,$AS78,COLUMNS($AV$9:BQ77)),""))</f>
        <v>0</v>
      </c>
      <c r="BR78" s="3" t="str">
        <f>IF(IFERROR(INDEX($A$9:$X$304,$AS78,COLUMNS($AV$9:BR77)),"")=0,"",IFERROR(INDEX($A$9:$X$304,$AS78,COLUMNS($AV$9:BR77)),""))</f>
        <v>https://www.epiccardgame.com/wp-content/uploads/2017/11/PNF-EN-11-erwin-architect-of-war.jpg</v>
      </c>
      <c r="BS78" s="3" t="str">
        <f>IF(IFERROR(INDEX($A$9:$X$304,$AS78,COLUMNS($AV$9:BS77)),"")=0,"",IFERROR(INDEX($A$9:$X$304,$AS78,COLUMNS($AV$9:BS77)),""))</f>
        <v/>
      </c>
      <c r="BT78" s="3"/>
      <c r="BU78" s="15"/>
      <c r="BV78" t="s">
        <v>99</v>
      </c>
    </row>
    <row r="79" spans="1:74" ht="225" customHeight="1" x14ac:dyDescent="0.25">
      <c r="A79" t="s">
        <v>396</v>
      </c>
      <c r="B79">
        <v>1</v>
      </c>
      <c r="C79" t="s">
        <v>616</v>
      </c>
      <c r="E79" t="s">
        <v>620</v>
      </c>
      <c r="F79">
        <v>6</v>
      </c>
      <c r="G79">
        <v>8</v>
      </c>
      <c r="H79" t="s">
        <v>658</v>
      </c>
      <c r="I79" t="s">
        <v>818</v>
      </c>
      <c r="O79" t="s">
        <v>1085</v>
      </c>
      <c r="P79" t="s">
        <v>1112</v>
      </c>
      <c r="Q79" t="s">
        <v>1141</v>
      </c>
      <c r="R79" t="s">
        <v>1174</v>
      </c>
      <c r="S79" t="b">
        <v>1</v>
      </c>
      <c r="T79" t="b">
        <v>0</v>
      </c>
      <c r="U79" t="b">
        <v>0</v>
      </c>
      <c r="V79" t="b">
        <v>0</v>
      </c>
      <c r="W79" s="2" t="s">
        <v>1254</v>
      </c>
      <c r="X79" s="2"/>
      <c r="Y79" s="24">
        <v>71</v>
      </c>
      <c r="Z79">
        <f t="shared" si="20"/>
        <v>71</v>
      </c>
      <c r="AA79">
        <f t="shared" si="21"/>
        <v>71</v>
      </c>
      <c r="AB79">
        <f t="shared" si="22"/>
        <v>71</v>
      </c>
      <c r="AC79">
        <f t="shared" si="23"/>
        <v>0</v>
      </c>
      <c r="AD79">
        <f t="shared" si="24"/>
        <v>71</v>
      </c>
      <c r="AE79">
        <f t="shared" si="25"/>
        <v>71</v>
      </c>
      <c r="AF79">
        <f t="shared" si="26"/>
        <v>71</v>
      </c>
      <c r="AG79">
        <f t="shared" si="27"/>
        <v>71</v>
      </c>
      <c r="AH79">
        <f t="shared" si="28"/>
        <v>71</v>
      </c>
      <c r="AI79">
        <f t="shared" si="29"/>
        <v>0</v>
      </c>
      <c r="AJ79">
        <f t="shared" si="30"/>
        <v>0</v>
      </c>
      <c r="AK79">
        <f t="shared" si="31"/>
        <v>0</v>
      </c>
      <c r="AL79">
        <f t="shared" si="32"/>
        <v>0</v>
      </c>
      <c r="AM79">
        <f t="shared" si="33"/>
        <v>0</v>
      </c>
      <c r="AN79">
        <f t="shared" si="34"/>
        <v>71</v>
      </c>
      <c r="AO79">
        <f t="shared" si="35"/>
        <v>71</v>
      </c>
      <c r="AP79">
        <f t="shared" si="36"/>
        <v>71</v>
      </c>
      <c r="AQ79">
        <f t="shared" si="37"/>
        <v>71</v>
      </c>
      <c r="AR79" s="6">
        <f t="shared" si="38"/>
        <v>71</v>
      </c>
      <c r="AS79">
        <f t="shared" si="39"/>
        <v>71</v>
      </c>
      <c r="AV79" s="1" t="str">
        <f>IF(IFERROR(INDEX($A$9:$W$304,$AS79,COLUMNS($AV$9:AV78)),"")=0,"",IFERROR(INDEX($A$9:$W$304,$AS79,COLUMNS($AV$9:AV78)),""))</f>
        <v>Ethereal Dragon</v>
      </c>
      <c r="AW79" s="1">
        <f>IFERROR(INDEX($A$9:$W$304,$AS79,COLUMNS($AV$9:AW78)),"")</f>
        <v>1</v>
      </c>
      <c r="AX79" s="1" t="str">
        <f>IF(IFERROR(INDEX($A$9:$X$304,$AS79,COLUMNS($AV$9:AX78)),"")=0,"",IFERROR(INDEX($A$9:$X$304,$AS79,COLUMNS($AV$9:AX78)),""))</f>
        <v>SAGE</v>
      </c>
      <c r="AY79" s="1" t="str">
        <f>IF(IFERROR(INDEX($A$9:$X$304,$AS79,COLUMNS($AV$9:AY78)),"")=0,"",IFERROR(INDEX($A$9:$X$304,$AS79,COLUMNS($AV$9:AY78)),""))</f>
        <v/>
      </c>
      <c r="AZ79" s="1" t="str">
        <f>IF(IFERROR(INDEX($A$9:$X$304,$AS79,COLUMNS($AV$9:AZ78)),"")=0,"",IFERROR(INDEX($A$9:$X$304,$AS79,COLUMNS($AV$9:AZ78)),""))</f>
        <v>CHAMPION</v>
      </c>
      <c r="BA79" s="1">
        <f>IF(IFERROR(INDEX($A$9:$X$304,$AS79,COLUMNS($AV$9:BA78)),"")=0,"",IFERROR(INDEX($A$9:$X$304,$AS79,COLUMNS($AV$9:BA78)),""))</f>
        <v>6</v>
      </c>
      <c r="BB79" s="1">
        <f>IF(IFERROR(INDEX($A$9:$X$304,$AS79,COLUMNS($AV$9:BB78)),"")=0,"",IFERROR(INDEX($A$9:$X$304,$AS79,COLUMNS($AV$9:BB78)),""))</f>
        <v>8</v>
      </c>
      <c r="BC79" s="1" t="str">
        <f>IF(IFERROR(INDEX($A$9:$X$304,$AS79,COLUMNS($AV$9:BC78)),"")=0,"",IFERROR(INDEX($A$9:$X$304,$AS79,COLUMNS($AV$9:BC78)),""))</f>
        <v>Airborne ◆ Ambush ◆ Untargetable</v>
      </c>
      <c r="BD79" s="1" t="str">
        <f>IF(IFERROR(INDEX($A$9:$X$304,$AS79,COLUMNS($AV$9:BD78)),"")=0,"",IFERROR(INDEX($A$9:$X$304,$AS79,COLUMNS($AV$9:BD78)),""))</f>
        <v>Its bite feels real enough.</v>
      </c>
      <c r="BE79" s="1" t="str">
        <f>IF(IFERROR(INDEX($A$9:$X$304,$AS79,COLUMNS($AV$9:BE78)),"")=0,"",IFERROR(INDEX($A$9:$X$304,$AS79,COLUMNS($AV$9:BE78)),""))</f>
        <v/>
      </c>
      <c r="BF79" s="1" t="str">
        <f>IF(IFERROR(INDEX($A$9:$X$304,$AS79,COLUMNS($AV$9:BF78)),"")=0,"",IFERROR(INDEX($A$9:$X$304,$AS79,COLUMNS($AV$9:BF78)),""))</f>
        <v/>
      </c>
      <c r="BG79" s="1" t="str">
        <f>IF(IFERROR(INDEX($A$9:$X$304,$AS79,COLUMNS($AV$9:BG78)),"")=0,"",IFERROR(INDEX($A$9:$X$304,$AS79,COLUMNS($AV$9:BG78)),""))</f>
        <v/>
      </c>
      <c r="BH79" s="1" t="str">
        <f>IF(IFERROR(INDEX($A$9:$X$304,$AS79,COLUMNS($AV$9:BH78)),"")=0,"",IFERROR(INDEX($A$9:$X$304,$AS79,COLUMNS($AV$9:BH78)),""))</f>
        <v/>
      </c>
      <c r="BI79" s="1" t="str">
        <f>IF(IFERROR(INDEX($A$9:$X$304,$AS79,COLUMNS($AV$9:BI78)),"")=0,"",IFERROR(INDEX($A$9:$X$304,$AS79,COLUMNS($AV$9:BI78)),""))</f>
        <v/>
      </c>
      <c r="BJ79" s="1" t="str">
        <f>IF(IFERROR(INDEX($A$9:$X$304,$AS79,COLUMNS($AV$9:BJ78)),"")=0,"",IFERROR(INDEX($A$9:$X$304,$AS79,COLUMNS($AV$9:BJ78)),""))</f>
        <v>DRAGON SPIRIT</v>
      </c>
      <c r="BK79" s="1" t="str">
        <f>IF(IFERROR(INDEX($A$9:$X$304,$AS79,COLUMNS($AV$9:BK78)),"")=0,"",IFERROR(INDEX($A$9:$X$304,$AS79,COLUMNS($AV$9:BK78)),""))</f>
        <v>Common</v>
      </c>
      <c r="BL79" s="1" t="str">
        <f>IF(IFERROR(INDEX($A$9:$X$304,$AS79,COLUMNS($AV$9:BL78)),"")=0,"",IFERROR(INDEX($A$9:$X$304,$AS79,COLUMNS($AV$9:BL78)),""))</f>
        <v>Michele Parisi</v>
      </c>
      <c r="BM79" s="1" t="str">
        <f>IF(IFERROR(INDEX($A$9:$X$304,$AS79,COLUMNS($AV$9:BM78)),"")=0,"",IFERROR(INDEX($A$9:$X$304,$AS79,COLUMNS($AV$9:BM78)),""))</f>
        <v>Pantheon: Furios vs Maligus</v>
      </c>
      <c r="BN79" s="3" t="b">
        <f>IF(IFERROR(INDEX($A$9:$X$304,$AS79,COLUMNS($AV$9:BN78)),"")=0,"",IFERROR(INDEX($A$9:$X$304,$AS79,COLUMNS($AV$9:BN78)),""))</f>
        <v>1</v>
      </c>
      <c r="BO79" s="3" t="b">
        <f>IF(IFERROR(INDEX($A$9:$X$304,$AS79,COLUMNS($AV$9:BO78)),"")=0,"",IFERROR(INDEX($A$9:$X$304,$AS79,COLUMNS($AV$9:BO78)),""))</f>
        <v>0</v>
      </c>
      <c r="BP79" s="3" t="b">
        <f>IF(IFERROR(INDEX($A$9:$X$304,$AS79,COLUMNS($AV$9:BP78)),"")=0,"",IFERROR(INDEX($A$9:$X$304,$AS79,COLUMNS($AV$9:BP78)),""))</f>
        <v>0</v>
      </c>
      <c r="BQ79" s="3" t="b">
        <f>IF(IFERROR(INDEX($A$9:$X$304,$AS79,COLUMNS($AV$9:BQ78)),"")=0,"",IFERROR(INDEX($A$9:$X$304,$AS79,COLUMNS($AV$9:BQ78)),""))</f>
        <v>0</v>
      </c>
      <c r="BR79" s="3" t="str">
        <f>IF(IFERROR(INDEX($A$9:$X$304,$AS79,COLUMNS($AV$9:BR78)),"")=0,"",IFERROR(INDEX($A$9:$X$304,$AS79,COLUMNS($AV$9:BR78)),""))</f>
        <v>https://www.epiccardgame.com/wp-content/uploads/2017/11/PNF-EN-12-ethereal-dragon.jpg</v>
      </c>
      <c r="BS79" s="3" t="str">
        <f>IF(IFERROR(INDEX($A$9:$X$304,$AS79,COLUMNS($AV$9:BS78)),"")=0,"",IFERROR(INDEX($A$9:$X$304,$AS79,COLUMNS($AV$9:BS78)),""))</f>
        <v/>
      </c>
      <c r="BT79" s="3"/>
      <c r="BU79" s="15"/>
      <c r="BV79" t="s">
        <v>100</v>
      </c>
    </row>
    <row r="80" spans="1:74" ht="225" customHeight="1" x14ac:dyDescent="0.25">
      <c r="A80" t="s">
        <v>397</v>
      </c>
      <c r="B80">
        <v>1</v>
      </c>
      <c r="C80" t="s">
        <v>616</v>
      </c>
      <c r="E80" t="s">
        <v>620</v>
      </c>
      <c r="F80">
        <v>2</v>
      </c>
      <c r="G80">
        <v>1</v>
      </c>
      <c r="H80" t="s">
        <v>645</v>
      </c>
      <c r="I80" t="s">
        <v>819</v>
      </c>
      <c r="J80" t="s">
        <v>979</v>
      </c>
      <c r="O80" t="s">
        <v>1086</v>
      </c>
      <c r="P80" t="s">
        <v>1113</v>
      </c>
      <c r="Q80" t="s">
        <v>1117</v>
      </c>
      <c r="R80" t="s">
        <v>1179</v>
      </c>
      <c r="S80" t="b">
        <v>1</v>
      </c>
      <c r="T80" t="b">
        <v>0</v>
      </c>
      <c r="U80" t="b">
        <v>0</v>
      </c>
      <c r="V80" t="b">
        <v>0</v>
      </c>
      <c r="W80" s="2" t="s">
        <v>1255</v>
      </c>
      <c r="X80" s="2"/>
      <c r="Y80" s="24">
        <v>72</v>
      </c>
      <c r="Z80">
        <f t="shared" si="20"/>
        <v>72</v>
      </c>
      <c r="AA80">
        <f t="shared" si="21"/>
        <v>72</v>
      </c>
      <c r="AB80">
        <f t="shared" si="22"/>
        <v>72</v>
      </c>
      <c r="AC80">
        <f t="shared" si="23"/>
        <v>0</v>
      </c>
      <c r="AD80">
        <f t="shared" si="24"/>
        <v>72</v>
      </c>
      <c r="AE80">
        <f t="shared" si="25"/>
        <v>72</v>
      </c>
      <c r="AF80">
        <f t="shared" si="26"/>
        <v>72</v>
      </c>
      <c r="AG80">
        <f t="shared" si="27"/>
        <v>72</v>
      </c>
      <c r="AH80">
        <f t="shared" si="28"/>
        <v>72</v>
      </c>
      <c r="AI80">
        <f t="shared" si="29"/>
        <v>72</v>
      </c>
      <c r="AJ80">
        <f t="shared" si="30"/>
        <v>0</v>
      </c>
      <c r="AK80">
        <f t="shared" si="31"/>
        <v>0</v>
      </c>
      <c r="AL80">
        <f t="shared" si="32"/>
        <v>0</v>
      </c>
      <c r="AM80">
        <f t="shared" si="33"/>
        <v>0</v>
      </c>
      <c r="AN80">
        <f t="shared" si="34"/>
        <v>72</v>
      </c>
      <c r="AO80">
        <f t="shared" si="35"/>
        <v>72</v>
      </c>
      <c r="AP80">
        <f t="shared" si="36"/>
        <v>72</v>
      </c>
      <c r="AQ80">
        <f t="shared" si="37"/>
        <v>72</v>
      </c>
      <c r="AR80" s="6">
        <f t="shared" si="38"/>
        <v>72</v>
      </c>
      <c r="AS80">
        <f t="shared" si="39"/>
        <v>72</v>
      </c>
      <c r="AV80" s="1" t="str">
        <f>IF(IFERROR(INDEX($A$9:$W$304,$AS80,COLUMNS($AV$9:AV79)),"")=0,"",IFERROR(INDEX($A$9:$W$304,$AS80,COLUMNS($AV$9:AV79)),""))</f>
        <v>Fairy Entrancer</v>
      </c>
      <c r="AW80" s="1">
        <f>IFERROR(INDEX($A$9:$W$304,$AS80,COLUMNS($AV$9:AW79)),"")</f>
        <v>1</v>
      </c>
      <c r="AX80" s="1" t="str">
        <f>IF(IFERROR(INDEX($A$9:$X$304,$AS80,COLUMNS($AV$9:AX79)),"")=0,"",IFERROR(INDEX($A$9:$X$304,$AS80,COLUMNS($AV$9:AX79)),""))</f>
        <v>SAGE</v>
      </c>
      <c r="AY80" s="1" t="str">
        <f>IF(IFERROR(INDEX($A$9:$X$304,$AS80,COLUMNS($AV$9:AY79)),"")=0,"",IFERROR(INDEX($A$9:$X$304,$AS80,COLUMNS($AV$9:AY79)),""))</f>
        <v/>
      </c>
      <c r="AZ80" s="1" t="str">
        <f>IF(IFERROR(INDEX($A$9:$X$304,$AS80,COLUMNS($AV$9:AZ79)),"")=0,"",IFERROR(INDEX($A$9:$X$304,$AS80,COLUMNS($AV$9:AZ79)),""))</f>
        <v>CHAMPION</v>
      </c>
      <c r="BA80" s="1">
        <f>IF(IFERROR(INDEX($A$9:$X$304,$AS80,COLUMNS($AV$9:BA79)),"")=0,"",IFERROR(INDEX($A$9:$X$304,$AS80,COLUMNS($AV$9:BA79)),""))</f>
        <v>2</v>
      </c>
      <c r="BB80" s="1">
        <f>IF(IFERROR(INDEX($A$9:$X$304,$AS80,COLUMNS($AV$9:BB79)),"")=0,"",IFERROR(INDEX($A$9:$X$304,$AS80,COLUMNS($AV$9:BB79)),""))</f>
        <v>1</v>
      </c>
      <c r="BC80" s="1" t="str">
        <f>IF(IFERROR(INDEX($A$9:$X$304,$AS80,COLUMNS($AV$9:BC79)),"")=0,"",IFERROR(INDEX($A$9:$X$304,$AS80,COLUMNS($AV$9:BC79)),""))</f>
        <v>Airborne ◆ Blitz</v>
      </c>
      <c r="BD80" s="1" t="str">
        <f>IF(IFERROR(INDEX($A$9:$X$304,$AS80,COLUMNS($AV$9:BD79)),"")=0,"",IFERROR(INDEX($A$9:$X$304,$AS80,COLUMNS($AV$9:BD79)),""))</f>
        <v>Loyalty 2 and/or when this card attacks → Put a +1 {offense} +1 {defense} counter on this card.</v>
      </c>
      <c r="BE80" s="1" t="str">
        <f>IF(IFERROR(INDEX($A$9:$X$304,$AS80,COLUMNS($AV$9:BE79)),"")=0,"",IFERROR(INDEX($A$9:$X$304,$AS80,COLUMNS($AV$9:BE79)),""))</f>
        <v>Remove two counters from this card: Gain control of target champion.</v>
      </c>
      <c r="BF80" s="1" t="str">
        <f>IF(IFERROR(INDEX($A$9:$X$304,$AS80,COLUMNS($AV$9:BF79)),"")=0,"",IFERROR(INDEX($A$9:$X$304,$AS80,COLUMNS($AV$9:BF79)),""))</f>
        <v/>
      </c>
      <c r="BG80" s="1" t="str">
        <f>IF(IFERROR(INDEX($A$9:$X$304,$AS80,COLUMNS($AV$9:BG79)),"")=0,"",IFERROR(INDEX($A$9:$X$304,$AS80,COLUMNS($AV$9:BG79)),""))</f>
        <v/>
      </c>
      <c r="BH80" s="1" t="str">
        <f>IF(IFERROR(INDEX($A$9:$X$304,$AS80,COLUMNS($AV$9:BH79)),"")=0,"",IFERROR(INDEX($A$9:$X$304,$AS80,COLUMNS($AV$9:BH79)),""))</f>
        <v/>
      </c>
      <c r="BI80" s="1" t="str">
        <f>IF(IFERROR(INDEX($A$9:$X$304,$AS80,COLUMNS($AV$9:BI79)),"")=0,"",IFERROR(INDEX($A$9:$X$304,$AS80,COLUMNS($AV$9:BI79)),""))</f>
        <v/>
      </c>
      <c r="BJ80" s="1" t="str">
        <f>IF(IFERROR(INDEX($A$9:$X$304,$AS80,COLUMNS($AV$9:BJ79)),"")=0,"",IFERROR(INDEX($A$9:$X$304,$AS80,COLUMNS($AV$9:BJ79)),""))</f>
        <v>FAIRY</v>
      </c>
      <c r="BK80" s="1" t="str">
        <f>IF(IFERROR(INDEX($A$9:$X$304,$AS80,COLUMNS($AV$9:BK79)),"")=0,"",IFERROR(INDEX($A$9:$X$304,$AS80,COLUMNS($AV$9:BK79)),""))</f>
        <v>Rare</v>
      </c>
      <c r="BL80" s="1" t="str">
        <f>IF(IFERROR(INDEX($A$9:$X$304,$AS80,COLUMNS($AV$9:BL79)),"")=0,"",IFERROR(INDEX($A$9:$X$304,$AS80,COLUMNS($AV$9:BL79)),""))</f>
        <v>Antonis Papantoniou</v>
      </c>
      <c r="BM80" s="1" t="str">
        <f>IF(IFERROR(INDEX($A$9:$X$304,$AS80,COLUMNS($AV$9:BM79)),"")=0,"",IFERROR(INDEX($A$9:$X$304,$AS80,COLUMNS($AV$9:BM79)),""))</f>
        <v>Pantheon: Gareth vs Lashnok</v>
      </c>
      <c r="BN80" s="3" t="b">
        <f>IF(IFERROR(INDEX($A$9:$X$304,$AS80,COLUMNS($AV$9:BN79)),"")=0,"",IFERROR(INDEX($A$9:$X$304,$AS80,COLUMNS($AV$9:BN79)),""))</f>
        <v>1</v>
      </c>
      <c r="BO80" s="3" t="b">
        <f>IF(IFERROR(INDEX($A$9:$X$304,$AS80,COLUMNS($AV$9:BO79)),"")=0,"",IFERROR(INDEX($A$9:$X$304,$AS80,COLUMNS($AV$9:BO79)),""))</f>
        <v>0</v>
      </c>
      <c r="BP80" s="3" t="b">
        <f>IF(IFERROR(INDEX($A$9:$X$304,$AS80,COLUMNS($AV$9:BP79)),"")=0,"",IFERROR(INDEX($A$9:$X$304,$AS80,COLUMNS($AV$9:BP79)),""))</f>
        <v>0</v>
      </c>
      <c r="BQ80" s="3" t="b">
        <f>IF(IFERROR(INDEX($A$9:$X$304,$AS80,COLUMNS($AV$9:BQ79)),"")=0,"",IFERROR(INDEX($A$9:$X$304,$AS80,COLUMNS($AV$9:BQ79)),""))</f>
        <v>0</v>
      </c>
      <c r="BR80" s="3" t="str">
        <f>IF(IFERROR(INDEX($A$9:$X$304,$AS80,COLUMNS($AV$9:BR79)),"")=0,"",IFERROR(INDEX($A$9:$X$304,$AS80,COLUMNS($AV$9:BR79)),""))</f>
        <v>https://www.epiccardgame.com/wp-content/uploads/2017/11/PNG-EN-03-fairy-entrancer.jpg</v>
      </c>
      <c r="BS80" s="3" t="str">
        <f>IF(IFERROR(INDEX($A$9:$X$304,$AS80,COLUMNS($AV$9:BS79)),"")=0,"",IFERROR(INDEX($A$9:$X$304,$AS80,COLUMNS($AV$9:BS79)),""))</f>
        <v/>
      </c>
      <c r="BT80" s="3"/>
      <c r="BU80" s="15"/>
      <c r="BV80" t="s">
        <v>101</v>
      </c>
    </row>
    <row r="81" spans="1:74" ht="225" customHeight="1" x14ac:dyDescent="0.25">
      <c r="A81" t="s">
        <v>398</v>
      </c>
      <c r="B81">
        <v>1</v>
      </c>
      <c r="C81" t="s">
        <v>616</v>
      </c>
      <c r="E81" t="s">
        <v>620</v>
      </c>
      <c r="F81">
        <v>5</v>
      </c>
      <c r="G81">
        <v>5</v>
      </c>
      <c r="H81" t="s">
        <v>659</v>
      </c>
      <c r="I81" t="s">
        <v>820</v>
      </c>
      <c r="O81" t="s">
        <v>1086</v>
      </c>
      <c r="P81" t="s">
        <v>1113</v>
      </c>
      <c r="Q81" t="s">
        <v>1142</v>
      </c>
      <c r="R81" t="s">
        <v>1181</v>
      </c>
      <c r="S81" t="b">
        <v>1</v>
      </c>
      <c r="T81" t="b">
        <v>0</v>
      </c>
      <c r="U81" t="b">
        <v>0</v>
      </c>
      <c r="V81" t="b">
        <v>0</v>
      </c>
      <c r="W81" s="2" t="s">
        <v>1256</v>
      </c>
      <c r="X81" s="2"/>
      <c r="Y81" s="24">
        <v>73</v>
      </c>
      <c r="Z81">
        <f t="shared" si="20"/>
        <v>73</v>
      </c>
      <c r="AA81">
        <f t="shared" si="21"/>
        <v>73</v>
      </c>
      <c r="AB81">
        <f t="shared" si="22"/>
        <v>73</v>
      </c>
      <c r="AC81">
        <f t="shared" si="23"/>
        <v>0</v>
      </c>
      <c r="AD81">
        <f t="shared" si="24"/>
        <v>73</v>
      </c>
      <c r="AE81">
        <f t="shared" si="25"/>
        <v>73</v>
      </c>
      <c r="AF81">
        <f t="shared" si="26"/>
        <v>73</v>
      </c>
      <c r="AG81">
        <f t="shared" si="27"/>
        <v>73</v>
      </c>
      <c r="AH81">
        <f t="shared" si="28"/>
        <v>73</v>
      </c>
      <c r="AI81">
        <f t="shared" si="29"/>
        <v>0</v>
      </c>
      <c r="AJ81">
        <f t="shared" si="30"/>
        <v>0</v>
      </c>
      <c r="AK81">
        <f t="shared" si="31"/>
        <v>0</v>
      </c>
      <c r="AL81">
        <f t="shared" si="32"/>
        <v>0</v>
      </c>
      <c r="AM81">
        <f t="shared" si="33"/>
        <v>0</v>
      </c>
      <c r="AN81">
        <f t="shared" si="34"/>
        <v>73</v>
      </c>
      <c r="AO81">
        <f t="shared" si="35"/>
        <v>73</v>
      </c>
      <c r="AP81">
        <f t="shared" si="36"/>
        <v>73</v>
      </c>
      <c r="AQ81">
        <f t="shared" si="37"/>
        <v>73</v>
      </c>
      <c r="AR81" s="6">
        <f t="shared" si="38"/>
        <v>73</v>
      </c>
      <c r="AS81">
        <f t="shared" si="39"/>
        <v>73</v>
      </c>
      <c r="AV81" s="1" t="str">
        <f>IF(IFERROR(INDEX($A$9:$W$304,$AS81,COLUMNS($AV$9:AV80)),"")=0,"",IFERROR(INDEX($A$9:$W$304,$AS81,COLUMNS($AV$9:AV80)),""))</f>
        <v>Fairy Trickster</v>
      </c>
      <c r="AW81" s="1">
        <f>IFERROR(INDEX($A$9:$W$304,$AS81,COLUMNS($AV$9:AW80)),"")</f>
        <v>1</v>
      </c>
      <c r="AX81" s="1" t="str">
        <f>IF(IFERROR(INDEX($A$9:$X$304,$AS81,COLUMNS($AV$9:AX80)),"")=0,"",IFERROR(INDEX($A$9:$X$304,$AS81,COLUMNS($AV$9:AX80)),""))</f>
        <v>SAGE</v>
      </c>
      <c r="AY81" s="1" t="str">
        <f>IF(IFERROR(INDEX($A$9:$X$304,$AS81,COLUMNS($AV$9:AY80)),"")=0,"",IFERROR(INDEX($A$9:$X$304,$AS81,COLUMNS($AV$9:AY80)),""))</f>
        <v/>
      </c>
      <c r="AZ81" s="1" t="str">
        <f>IF(IFERROR(INDEX($A$9:$X$304,$AS81,COLUMNS($AV$9:AZ80)),"")=0,"",IFERROR(INDEX($A$9:$X$304,$AS81,COLUMNS($AV$9:AZ80)),""))</f>
        <v>CHAMPION</v>
      </c>
      <c r="BA81" s="1">
        <f>IF(IFERROR(INDEX($A$9:$X$304,$AS81,COLUMNS($AV$9:BA80)),"")=0,"",IFERROR(INDEX($A$9:$X$304,$AS81,COLUMNS($AV$9:BA80)),""))</f>
        <v>5</v>
      </c>
      <c r="BB81" s="1">
        <f>IF(IFERROR(INDEX($A$9:$X$304,$AS81,COLUMNS($AV$9:BB80)),"")=0,"",IFERROR(INDEX($A$9:$X$304,$AS81,COLUMNS($AV$9:BB80)),""))</f>
        <v>5</v>
      </c>
      <c r="BC81" s="1" t="str">
        <f>IF(IFERROR(INDEX($A$9:$X$304,$AS81,COLUMNS($AV$9:BC80)),"")=0,"",IFERROR(INDEX($A$9:$X$304,$AS81,COLUMNS($AV$9:BC80)),""))</f>
        <v>Airborne ◆ Ambush ◆ Blitz</v>
      </c>
      <c r="BD81" s="1" t="str">
        <f>IF(IFERROR(INDEX($A$9:$X$304,$AS81,COLUMNS($AV$9:BD80)),"")=0,"",IFERROR(INDEX($A$9:$X$304,$AS81,COLUMNS($AV$9:BD80)),""))</f>
        <v>{expend}: Reveal the top card of target player's deck. You may play it (paying all costs). If you don't, banish it.</v>
      </c>
      <c r="BE81" s="1" t="str">
        <f>IF(IFERROR(INDEX($A$9:$X$304,$AS81,COLUMNS($AV$9:BE80)),"")=0,"",IFERROR(INDEX($A$9:$X$304,$AS81,COLUMNS($AV$9:BE80)),""))</f>
        <v/>
      </c>
      <c r="BF81" s="1" t="str">
        <f>IF(IFERROR(INDEX($A$9:$X$304,$AS81,COLUMNS($AV$9:BF80)),"")=0,"",IFERROR(INDEX($A$9:$X$304,$AS81,COLUMNS($AV$9:BF80)),""))</f>
        <v/>
      </c>
      <c r="BG81" s="1" t="str">
        <f>IF(IFERROR(INDEX($A$9:$X$304,$AS81,COLUMNS($AV$9:BG80)),"")=0,"",IFERROR(INDEX($A$9:$X$304,$AS81,COLUMNS($AV$9:BG80)),""))</f>
        <v/>
      </c>
      <c r="BH81" s="1" t="str">
        <f>IF(IFERROR(INDEX($A$9:$X$304,$AS81,COLUMNS($AV$9:BH80)),"")=0,"",IFERROR(INDEX($A$9:$X$304,$AS81,COLUMNS($AV$9:BH80)),""))</f>
        <v/>
      </c>
      <c r="BI81" s="1" t="str">
        <f>IF(IFERROR(INDEX($A$9:$X$304,$AS81,COLUMNS($AV$9:BI80)),"")=0,"",IFERROR(INDEX($A$9:$X$304,$AS81,COLUMNS($AV$9:BI80)),""))</f>
        <v/>
      </c>
      <c r="BJ81" s="1" t="str">
        <f>IF(IFERROR(INDEX($A$9:$X$304,$AS81,COLUMNS($AV$9:BJ80)),"")=0,"",IFERROR(INDEX($A$9:$X$304,$AS81,COLUMNS($AV$9:BJ80)),""))</f>
        <v>FAIRY</v>
      </c>
      <c r="BK81" s="1" t="str">
        <f>IF(IFERROR(INDEX($A$9:$X$304,$AS81,COLUMNS($AV$9:BK80)),"")=0,"",IFERROR(INDEX($A$9:$X$304,$AS81,COLUMNS($AV$9:BK80)),""))</f>
        <v>Rare</v>
      </c>
      <c r="BL81" s="1" t="str">
        <f>IF(IFERROR(INDEX($A$9:$X$304,$AS81,COLUMNS($AV$9:BL80)),"")=0,"",IFERROR(INDEX($A$9:$X$304,$AS81,COLUMNS($AV$9:BL80)),""))</f>
        <v>Stephanie Böhm</v>
      </c>
      <c r="BM81" s="1" t="str">
        <f>IF(IFERROR(INDEX($A$9:$X$304,$AS81,COLUMNS($AV$9:BM80)),"")=0,"",IFERROR(INDEX($A$9:$X$304,$AS81,COLUMNS($AV$9:BM80)),""))</f>
        <v>Uprising: Kark's Edict</v>
      </c>
      <c r="BN81" s="3" t="b">
        <f>IF(IFERROR(INDEX($A$9:$X$304,$AS81,COLUMNS($AV$9:BN80)),"")=0,"",IFERROR(INDEX($A$9:$X$304,$AS81,COLUMNS($AV$9:BN80)),""))</f>
        <v>1</v>
      </c>
      <c r="BO81" s="3" t="b">
        <f>IF(IFERROR(INDEX($A$9:$X$304,$AS81,COLUMNS($AV$9:BO80)),"")=0,"",IFERROR(INDEX($A$9:$X$304,$AS81,COLUMNS($AV$9:BO80)),""))</f>
        <v>0</v>
      </c>
      <c r="BP81" s="3" t="b">
        <f>IF(IFERROR(INDEX($A$9:$X$304,$AS81,COLUMNS($AV$9:BP80)),"")=0,"",IFERROR(INDEX($A$9:$X$304,$AS81,COLUMNS($AV$9:BP80)),""))</f>
        <v>0</v>
      </c>
      <c r="BQ81" s="3" t="b">
        <f>IF(IFERROR(INDEX($A$9:$X$304,$AS81,COLUMNS($AV$9:BQ80)),"")=0,"",IFERROR(INDEX($A$9:$X$304,$AS81,COLUMNS($AV$9:BQ80)),""))</f>
        <v>0</v>
      </c>
      <c r="BR81" s="3" t="str">
        <f>IF(IFERROR(INDEX($A$9:$X$304,$AS81,COLUMNS($AV$9:BR80)),"")=0,"",IFERROR(INDEX($A$9:$X$304,$AS81,COLUMNS($AV$9:BR80)),""))</f>
        <v>https://www.epiccardgame.com/wp-content/uploads/2017/11/UPK-EN-fairy-trickster.jpg</v>
      </c>
      <c r="BS81" s="3" t="str">
        <f>IF(IFERROR(INDEX($A$9:$X$304,$AS81,COLUMNS($AV$9:BS80)),"")=0,"",IFERROR(INDEX($A$9:$X$304,$AS81,COLUMNS($AV$9:BS80)),""))</f>
        <v/>
      </c>
      <c r="BT81" s="3"/>
      <c r="BU81" s="15"/>
      <c r="BV81" t="s">
        <v>102</v>
      </c>
    </row>
    <row r="82" spans="1:74" ht="225.2" customHeight="1" x14ac:dyDescent="0.25">
      <c r="A82" t="s">
        <v>399</v>
      </c>
      <c r="B82">
        <v>0</v>
      </c>
      <c r="C82" t="s">
        <v>617</v>
      </c>
      <c r="E82" t="s">
        <v>620</v>
      </c>
      <c r="F82">
        <v>2</v>
      </c>
      <c r="G82">
        <v>2</v>
      </c>
      <c r="H82" t="s">
        <v>645</v>
      </c>
      <c r="I82" t="s">
        <v>646</v>
      </c>
      <c r="J82" t="s">
        <v>980</v>
      </c>
      <c r="O82" t="s">
        <v>1087</v>
      </c>
      <c r="P82" t="s">
        <v>1112</v>
      </c>
      <c r="Q82" t="s">
        <v>1116</v>
      </c>
      <c r="R82" t="s">
        <v>1171</v>
      </c>
      <c r="S82" t="b">
        <v>0</v>
      </c>
      <c r="T82" t="b">
        <v>0</v>
      </c>
      <c r="U82" t="b">
        <v>0</v>
      </c>
      <c r="V82" t="b">
        <v>0</v>
      </c>
      <c r="W82" s="2" t="s">
        <v>1257</v>
      </c>
      <c r="X82" s="2"/>
      <c r="Y82" s="24">
        <v>74</v>
      </c>
      <c r="Z82">
        <f t="shared" si="20"/>
        <v>74</v>
      </c>
      <c r="AA82">
        <f t="shared" si="21"/>
        <v>74</v>
      </c>
      <c r="AB82">
        <f t="shared" si="22"/>
        <v>74</v>
      </c>
      <c r="AC82">
        <f t="shared" si="23"/>
        <v>0</v>
      </c>
      <c r="AD82">
        <f t="shared" si="24"/>
        <v>74</v>
      </c>
      <c r="AE82">
        <f t="shared" si="25"/>
        <v>74</v>
      </c>
      <c r="AF82">
        <f t="shared" si="26"/>
        <v>74</v>
      </c>
      <c r="AG82">
        <f t="shared" si="27"/>
        <v>74</v>
      </c>
      <c r="AH82">
        <f t="shared" si="28"/>
        <v>74</v>
      </c>
      <c r="AI82">
        <f t="shared" si="29"/>
        <v>74</v>
      </c>
      <c r="AJ82">
        <f t="shared" si="30"/>
        <v>0</v>
      </c>
      <c r="AK82">
        <f t="shared" si="31"/>
        <v>0</v>
      </c>
      <c r="AL82">
        <f t="shared" si="32"/>
        <v>0</v>
      </c>
      <c r="AM82">
        <f t="shared" si="33"/>
        <v>0</v>
      </c>
      <c r="AN82">
        <f t="shared" si="34"/>
        <v>74</v>
      </c>
      <c r="AO82">
        <f t="shared" si="35"/>
        <v>74</v>
      </c>
      <c r="AP82">
        <f t="shared" si="36"/>
        <v>74</v>
      </c>
      <c r="AQ82">
        <f t="shared" si="37"/>
        <v>74</v>
      </c>
      <c r="AR82" s="6">
        <f t="shared" si="38"/>
        <v>74</v>
      </c>
      <c r="AS82">
        <f t="shared" si="39"/>
        <v>74</v>
      </c>
      <c r="AV82" s="1" t="str">
        <f>IF(IFERROR(INDEX($A$9:$W$304,$AS82,COLUMNS($AV$9:AV81)),"")=0,"",IFERROR(INDEX($A$9:$W$304,$AS82,COLUMNS($AV$9:AV81)),""))</f>
        <v>Faithful Pegasus</v>
      </c>
      <c r="AW82" s="1">
        <f>IFERROR(INDEX($A$9:$W$304,$AS82,COLUMNS($AV$9:AW81)),"")</f>
        <v>0</v>
      </c>
      <c r="AX82" s="1" t="str">
        <f>IF(IFERROR(INDEX($A$9:$X$304,$AS82,COLUMNS($AV$9:AX81)),"")=0,"",IFERROR(INDEX($A$9:$X$304,$AS82,COLUMNS($AV$9:AX81)),""))</f>
        <v>GOOD</v>
      </c>
      <c r="AY82" s="1" t="str">
        <f>IF(IFERROR(INDEX($A$9:$X$304,$AS82,COLUMNS($AV$9:AY81)),"")=0,"",IFERROR(INDEX($A$9:$X$304,$AS82,COLUMNS($AV$9:AY81)),""))</f>
        <v/>
      </c>
      <c r="AZ82" s="1" t="str">
        <f>IF(IFERROR(INDEX($A$9:$X$304,$AS82,COLUMNS($AV$9:AZ81)),"")=0,"",IFERROR(INDEX($A$9:$X$304,$AS82,COLUMNS($AV$9:AZ81)),""))</f>
        <v>CHAMPION</v>
      </c>
      <c r="BA82" s="1">
        <f>IF(IFERROR(INDEX($A$9:$X$304,$AS82,COLUMNS($AV$9:BA81)),"")=0,"",IFERROR(INDEX($A$9:$X$304,$AS82,COLUMNS($AV$9:BA81)),""))</f>
        <v>2</v>
      </c>
      <c r="BB82" s="1">
        <f>IF(IFERROR(INDEX($A$9:$X$304,$AS82,COLUMNS($AV$9:BB81)),"")=0,"",IFERROR(INDEX($A$9:$X$304,$AS82,COLUMNS($AV$9:BB81)),""))</f>
        <v>2</v>
      </c>
      <c r="BC82" s="1" t="str">
        <f>IF(IFERROR(INDEX($A$9:$X$304,$AS82,COLUMNS($AV$9:BC81)),"")=0,"",IFERROR(INDEX($A$9:$X$304,$AS82,COLUMNS($AV$9:BC81)),""))</f>
        <v>Airborne ◆ Blitz</v>
      </c>
      <c r="BD82" s="1" t="str">
        <f>IF(IFERROR(INDEX($A$9:$X$304,$AS82,COLUMNS($AV$9:BD81)),"")=0,"",IFERROR(INDEX($A$9:$X$304,$AS82,COLUMNS($AV$9:BD81)),""))</f>
        <v>Tribute → Recycle</v>
      </c>
      <c r="BE82" s="1" t="str">
        <f>IF(IFERROR(INDEX($A$9:$X$304,$AS82,COLUMNS($AV$9:BE81)),"")=0,"",IFERROR(INDEX($A$9:$X$304,$AS82,COLUMNS($AV$9:BE81)),""))</f>
        <v>When this champion attacks or blocks → One of your human champions may gain airborne this turn and attack or block with this card.</v>
      </c>
      <c r="BF82" s="1" t="str">
        <f>IF(IFERROR(INDEX($A$9:$X$304,$AS82,COLUMNS($AV$9:BF81)),"")=0,"",IFERROR(INDEX($A$9:$X$304,$AS82,COLUMNS($AV$9:BF81)),""))</f>
        <v/>
      </c>
      <c r="BG82" s="1" t="str">
        <f>IF(IFERROR(INDEX($A$9:$X$304,$AS82,COLUMNS($AV$9:BG81)),"")=0,"",IFERROR(INDEX($A$9:$X$304,$AS82,COLUMNS($AV$9:BG81)),""))</f>
        <v/>
      </c>
      <c r="BH82" s="1" t="str">
        <f>IF(IFERROR(INDEX($A$9:$X$304,$AS82,COLUMNS($AV$9:BH81)),"")=0,"",IFERROR(INDEX($A$9:$X$304,$AS82,COLUMNS($AV$9:BH81)),""))</f>
        <v/>
      </c>
      <c r="BI82" s="1" t="str">
        <f>IF(IFERROR(INDEX($A$9:$X$304,$AS82,COLUMNS($AV$9:BI81)),"")=0,"",IFERROR(INDEX($A$9:$X$304,$AS82,COLUMNS($AV$9:BI81)),""))</f>
        <v/>
      </c>
      <c r="BJ82" s="1" t="str">
        <f>IF(IFERROR(INDEX($A$9:$X$304,$AS82,COLUMNS($AV$9:BJ81)),"")=0,"",IFERROR(INDEX($A$9:$X$304,$AS82,COLUMNS($AV$9:BJ81)),""))</f>
        <v>PEGASUS</v>
      </c>
      <c r="BK82" s="1" t="str">
        <f>IF(IFERROR(INDEX($A$9:$X$304,$AS82,COLUMNS($AV$9:BK81)),"")=0,"",IFERROR(INDEX($A$9:$X$304,$AS82,COLUMNS($AV$9:BK81)),""))</f>
        <v>Common</v>
      </c>
      <c r="BL82" s="1" t="str">
        <f>IF(IFERROR(INDEX($A$9:$X$304,$AS82,COLUMNS($AV$9:BL81)),"")=0,"",IFERROR(INDEX($A$9:$X$304,$AS82,COLUMNS($AV$9:BL81)),""))</f>
        <v>Apsara</v>
      </c>
      <c r="BM82" s="1" t="str">
        <f>IF(IFERROR(INDEX($A$9:$X$304,$AS82,COLUMNS($AV$9:BM81)),"")=0,"",IFERROR(INDEX($A$9:$X$304,$AS82,COLUMNS($AV$9:BM81)),""))</f>
        <v>Base Set</v>
      </c>
      <c r="BN82" s="3" t="b">
        <f>IF(IFERROR(INDEX($A$9:$X$304,$AS82,COLUMNS($AV$9:BN81)),"")=0,"",IFERROR(INDEX($A$9:$X$304,$AS82,COLUMNS($AV$9:BN81)),""))</f>
        <v>0</v>
      </c>
      <c r="BO82" s="3" t="b">
        <f>IF(IFERROR(INDEX($A$9:$X$304,$AS82,COLUMNS($AV$9:BO81)),"")=0,"",IFERROR(INDEX($A$9:$X$304,$AS82,COLUMNS($AV$9:BO81)),""))</f>
        <v>0</v>
      </c>
      <c r="BP82" s="3" t="b">
        <f>IF(IFERROR(INDEX($A$9:$X$304,$AS82,COLUMNS($AV$9:BP81)),"")=0,"",IFERROR(INDEX($A$9:$X$304,$AS82,COLUMNS($AV$9:BP81)),""))</f>
        <v>0</v>
      </c>
      <c r="BQ82" s="3" t="b">
        <f>IF(IFERROR(INDEX($A$9:$X$304,$AS82,COLUMNS($AV$9:BQ81)),"")=0,"",IFERROR(INDEX($A$9:$X$304,$AS82,COLUMNS($AV$9:BQ81)),""))</f>
        <v>0</v>
      </c>
      <c r="BR82" s="3" t="str">
        <f>IF(IFERROR(INDEX($A$9:$X$304,$AS82,COLUMNS($AV$9:BR81)),"")=0,"",IFERROR(INDEX($A$9:$X$304,$AS82,COLUMNS($AV$9:BR81)),""))</f>
        <v>http://www.epiccardgame.com/wp-content/uploads/2015/09/faithful_pegasus-215x300.jpg</v>
      </c>
      <c r="BS82" s="3" t="str">
        <f>IF(IFERROR(INDEX($A$9:$X$304,$AS82,COLUMNS($AV$9:BS81)),"")=0,"",IFERROR(INDEX($A$9:$X$304,$AS82,COLUMNS($AV$9:BS81)),""))</f>
        <v/>
      </c>
      <c r="BT82" s="3"/>
      <c r="BU82" s="15"/>
      <c r="BV82" t="s">
        <v>103</v>
      </c>
    </row>
    <row r="83" spans="1:74" ht="225" customHeight="1" x14ac:dyDescent="0.25">
      <c r="A83" t="s">
        <v>400</v>
      </c>
      <c r="B83">
        <v>0</v>
      </c>
      <c r="C83" t="s">
        <v>615</v>
      </c>
      <c r="E83" t="s">
        <v>619</v>
      </c>
      <c r="H83" t="s">
        <v>660</v>
      </c>
      <c r="I83" t="s">
        <v>769</v>
      </c>
      <c r="O83" t="s">
        <v>1062</v>
      </c>
      <c r="P83" t="s">
        <v>1113</v>
      </c>
      <c r="Q83" t="s">
        <v>1118</v>
      </c>
      <c r="R83" t="s">
        <v>1183</v>
      </c>
      <c r="S83" t="b">
        <v>1</v>
      </c>
      <c r="T83" t="b">
        <v>1</v>
      </c>
      <c r="U83" t="b">
        <v>0</v>
      </c>
      <c r="V83" t="b">
        <v>0</v>
      </c>
      <c r="W83" s="2" t="s">
        <v>1258</v>
      </c>
      <c r="X83" s="2"/>
      <c r="Y83" s="24">
        <v>75</v>
      </c>
      <c r="Z83">
        <f t="shared" si="20"/>
        <v>75</v>
      </c>
      <c r="AA83">
        <f t="shared" si="21"/>
        <v>75</v>
      </c>
      <c r="AB83">
        <f t="shared" si="22"/>
        <v>75</v>
      </c>
      <c r="AC83">
        <f t="shared" si="23"/>
        <v>0</v>
      </c>
      <c r="AD83">
        <f t="shared" si="24"/>
        <v>75</v>
      </c>
      <c r="AE83">
        <f t="shared" si="25"/>
        <v>0</v>
      </c>
      <c r="AF83">
        <f t="shared" si="26"/>
        <v>0</v>
      </c>
      <c r="AG83">
        <f t="shared" si="27"/>
        <v>75</v>
      </c>
      <c r="AH83">
        <f t="shared" si="28"/>
        <v>75</v>
      </c>
      <c r="AI83">
        <f t="shared" si="29"/>
        <v>0</v>
      </c>
      <c r="AJ83">
        <f t="shared" si="30"/>
        <v>0</v>
      </c>
      <c r="AK83">
        <f t="shared" si="31"/>
        <v>0</v>
      </c>
      <c r="AL83">
        <f t="shared" si="32"/>
        <v>0</v>
      </c>
      <c r="AM83">
        <f t="shared" si="33"/>
        <v>0</v>
      </c>
      <c r="AN83">
        <f t="shared" si="34"/>
        <v>75</v>
      </c>
      <c r="AO83">
        <f t="shared" si="35"/>
        <v>75</v>
      </c>
      <c r="AP83">
        <f t="shared" si="36"/>
        <v>75</v>
      </c>
      <c r="AQ83">
        <f t="shared" si="37"/>
        <v>75</v>
      </c>
      <c r="AR83" s="6">
        <f t="shared" si="38"/>
        <v>75</v>
      </c>
      <c r="AS83">
        <f t="shared" si="39"/>
        <v>75</v>
      </c>
      <c r="AV83" s="1" t="str">
        <f>IF(IFERROR(INDEX($A$9:$W$304,$AS83,COLUMNS($AV$9:AV82)),"")=0,"",IFERROR(INDEX($A$9:$W$304,$AS83,COLUMNS($AV$9:AV82)),""))</f>
        <v>Feeding Frenzy</v>
      </c>
      <c r="AW83" s="1">
        <f>IFERROR(INDEX($A$9:$W$304,$AS83,COLUMNS($AV$9:AW82)),"")</f>
        <v>0</v>
      </c>
      <c r="AX83" s="1" t="str">
        <f>IF(IFERROR(INDEX($A$9:$X$304,$AS83,COLUMNS($AV$9:AX82)),"")=0,"",IFERROR(INDEX($A$9:$X$304,$AS83,COLUMNS($AV$9:AX82)),""))</f>
        <v>WILD</v>
      </c>
      <c r="AY83" s="1" t="str">
        <f>IF(IFERROR(INDEX($A$9:$X$304,$AS83,COLUMNS($AV$9:AY82)),"")=0,"",IFERROR(INDEX($A$9:$X$304,$AS83,COLUMNS($AV$9:AY82)),""))</f>
        <v/>
      </c>
      <c r="AZ83" s="1" t="str">
        <f>IF(IFERROR(INDEX($A$9:$X$304,$AS83,COLUMNS($AV$9:AZ82)),"")=0,"",IFERROR(INDEX($A$9:$X$304,$AS83,COLUMNS($AV$9:AZ82)),""))</f>
        <v>EVENT</v>
      </c>
      <c r="BA83" s="1" t="str">
        <f>IF(IFERROR(INDEX($A$9:$X$304,$AS83,COLUMNS($AV$9:BA82)),"")=0,"",IFERROR(INDEX($A$9:$X$304,$AS83,COLUMNS($AV$9:BA82)),""))</f>
        <v/>
      </c>
      <c r="BB83" s="1" t="str">
        <f>IF(IFERROR(INDEX($A$9:$X$304,$AS83,COLUMNS($AV$9:BB82)),"")=0,"",IFERROR(INDEX($A$9:$X$304,$AS83,COLUMNS($AV$9:BB82)),""))</f>
        <v/>
      </c>
      <c r="BC83" s="1" t="str">
        <f>IF(IFERROR(INDEX($A$9:$X$304,$AS83,COLUMNS($AV$9:BC82)),"")=0,"",IFERROR(INDEX($A$9:$X$304,$AS83,COLUMNS($AV$9:BC82)),""))</f>
        <v>If it is your turn, break target damaged champion.</v>
      </c>
      <c r="BD83" s="1" t="str">
        <f>IF(IFERROR(INDEX($A$9:$X$304,$AS83,COLUMNS($AV$9:BD82)),"")=0,"",IFERROR(INDEX($A$9:$X$304,$AS83,COLUMNS($AV$9:BD82)),""))</f>
        <v>{1}: Draw two cards.</v>
      </c>
      <c r="BE83" s="1" t="str">
        <f>IF(IFERROR(INDEX($A$9:$X$304,$AS83,COLUMNS($AV$9:BE82)),"")=0,"",IFERROR(INDEX($A$9:$X$304,$AS83,COLUMNS($AV$9:BE82)),""))</f>
        <v/>
      </c>
      <c r="BF83" s="1" t="str">
        <f>IF(IFERROR(INDEX($A$9:$X$304,$AS83,COLUMNS($AV$9:BF82)),"")=0,"",IFERROR(INDEX($A$9:$X$304,$AS83,COLUMNS($AV$9:BF82)),""))</f>
        <v/>
      </c>
      <c r="BG83" s="1" t="str">
        <f>IF(IFERROR(INDEX($A$9:$X$304,$AS83,COLUMNS($AV$9:BG82)),"")=0,"",IFERROR(INDEX($A$9:$X$304,$AS83,COLUMNS($AV$9:BG82)),""))</f>
        <v/>
      </c>
      <c r="BH83" s="1" t="str">
        <f>IF(IFERROR(INDEX($A$9:$X$304,$AS83,COLUMNS($AV$9:BH82)),"")=0,"",IFERROR(INDEX($A$9:$X$304,$AS83,COLUMNS($AV$9:BH82)),""))</f>
        <v/>
      </c>
      <c r="BI83" s="1" t="str">
        <f>IF(IFERROR(INDEX($A$9:$X$304,$AS83,COLUMNS($AV$9:BI82)),"")=0,"",IFERROR(INDEX($A$9:$X$304,$AS83,COLUMNS($AV$9:BI82)),""))</f>
        <v/>
      </c>
      <c r="BJ83" s="1" t="str">
        <f>IF(IFERROR(INDEX($A$9:$X$304,$AS83,COLUMNS($AV$9:BJ82)),"")=0,"",IFERROR(INDEX($A$9:$X$304,$AS83,COLUMNS($AV$9:BJ82)),""))</f>
        <v>None</v>
      </c>
      <c r="BK83" s="1" t="str">
        <f>IF(IFERROR(INDEX($A$9:$X$304,$AS83,COLUMNS($AV$9:BK82)),"")=0,"",IFERROR(INDEX($A$9:$X$304,$AS83,COLUMNS($AV$9:BK82)),""))</f>
        <v>Rare</v>
      </c>
      <c r="BL83" s="1" t="str">
        <f>IF(IFERROR(INDEX($A$9:$X$304,$AS83,COLUMNS($AV$9:BL82)),"")=0,"",IFERROR(INDEX($A$9:$X$304,$AS83,COLUMNS($AV$9:BL82)),""))</f>
        <v>L.Sean</v>
      </c>
      <c r="BM83" s="1" t="str">
        <f>IF(IFERROR(INDEX($A$9:$X$304,$AS83,COLUMNS($AV$9:BM82)),"")=0,"",IFERROR(INDEX($A$9:$X$304,$AS83,COLUMNS($AV$9:BM82)),""))</f>
        <v>Tyrants: Raxxa's Revenge</v>
      </c>
      <c r="BN83" s="3" t="b">
        <f>IF(IFERROR(INDEX($A$9:$X$304,$AS83,COLUMNS($AV$9:BN82)),"")=0,"",IFERROR(INDEX($A$9:$X$304,$AS83,COLUMNS($AV$9:BN82)),""))</f>
        <v>1</v>
      </c>
      <c r="BO83" s="3" t="b">
        <f>IF(IFERROR(INDEX($A$9:$X$304,$AS83,COLUMNS($AV$9:BO82)),"")=0,"",IFERROR(INDEX($A$9:$X$304,$AS83,COLUMNS($AV$9:BO82)),""))</f>
        <v>1</v>
      </c>
      <c r="BP83" s="3" t="b">
        <f>IF(IFERROR(INDEX($A$9:$X$304,$AS83,COLUMNS($AV$9:BP82)),"")=0,"",IFERROR(INDEX($A$9:$X$304,$AS83,COLUMNS($AV$9:BP82)),""))</f>
        <v>0</v>
      </c>
      <c r="BQ83" s="3" t="b">
        <f>IF(IFERROR(INDEX($A$9:$X$304,$AS83,COLUMNS($AV$9:BQ82)),"")=0,"",IFERROR(INDEX($A$9:$X$304,$AS83,COLUMNS($AV$9:BQ82)),""))</f>
        <v>0</v>
      </c>
      <c r="BR83" s="3" t="str">
        <f>IF(IFERROR(INDEX($A$9:$X$304,$AS83,COLUMNS($AV$9:BR82)),"")=0,"",IFERROR(INDEX($A$9:$X$304,$AS83,COLUMNS($AV$9:BR82)),""))</f>
        <v>http://www.epiccardgame.com/wp-content/uploads/2016/03/feeding_frenzy-214x300.jpg</v>
      </c>
      <c r="BS83" s="3" t="str">
        <f>IF(IFERROR(INDEX($A$9:$X$304,$AS83,COLUMNS($AV$9:BS82)),"")=0,"",IFERROR(INDEX($A$9:$X$304,$AS83,COLUMNS($AV$9:BS82)),""))</f>
        <v/>
      </c>
      <c r="BT83" s="3"/>
      <c r="BU83" s="15"/>
      <c r="BV83" t="s">
        <v>104</v>
      </c>
    </row>
    <row r="84" spans="1:74" ht="225.2" customHeight="1" x14ac:dyDescent="0.25">
      <c r="A84" t="s">
        <v>401</v>
      </c>
      <c r="B84">
        <v>1</v>
      </c>
      <c r="C84" t="s">
        <v>617</v>
      </c>
      <c r="E84" t="s">
        <v>619</v>
      </c>
      <c r="H84" t="s">
        <v>627</v>
      </c>
      <c r="I84" t="s">
        <v>821</v>
      </c>
      <c r="O84" t="s">
        <v>1062</v>
      </c>
      <c r="P84" t="s">
        <v>1112</v>
      </c>
      <c r="Q84" t="s">
        <v>1117</v>
      </c>
      <c r="R84" t="s">
        <v>1171</v>
      </c>
      <c r="S84" t="b">
        <v>1</v>
      </c>
      <c r="T84" t="b">
        <v>0</v>
      </c>
      <c r="U84" t="b">
        <v>0</v>
      </c>
      <c r="V84" t="b">
        <v>0</v>
      </c>
      <c r="W84" s="2" t="s">
        <v>1259</v>
      </c>
      <c r="X84" s="2"/>
      <c r="Y84" s="24">
        <v>76</v>
      </c>
      <c r="Z84">
        <f t="shared" si="20"/>
        <v>76</v>
      </c>
      <c r="AA84">
        <f t="shared" si="21"/>
        <v>76</v>
      </c>
      <c r="AB84">
        <f t="shared" si="22"/>
        <v>76</v>
      </c>
      <c r="AC84">
        <f t="shared" si="23"/>
        <v>0</v>
      </c>
      <c r="AD84">
        <f t="shared" si="24"/>
        <v>76</v>
      </c>
      <c r="AE84">
        <f t="shared" si="25"/>
        <v>0</v>
      </c>
      <c r="AF84">
        <f t="shared" si="26"/>
        <v>0</v>
      </c>
      <c r="AG84">
        <f t="shared" si="27"/>
        <v>76</v>
      </c>
      <c r="AH84">
        <f t="shared" si="28"/>
        <v>76</v>
      </c>
      <c r="AI84">
        <f t="shared" si="29"/>
        <v>0</v>
      </c>
      <c r="AJ84">
        <f t="shared" si="30"/>
        <v>0</v>
      </c>
      <c r="AK84">
        <f t="shared" si="31"/>
        <v>0</v>
      </c>
      <c r="AL84">
        <f t="shared" si="32"/>
        <v>0</v>
      </c>
      <c r="AM84">
        <f t="shared" si="33"/>
        <v>0</v>
      </c>
      <c r="AN84">
        <f t="shared" si="34"/>
        <v>76</v>
      </c>
      <c r="AO84">
        <f t="shared" si="35"/>
        <v>76</v>
      </c>
      <c r="AP84">
        <f t="shared" si="36"/>
        <v>76</v>
      </c>
      <c r="AQ84">
        <f t="shared" si="37"/>
        <v>76</v>
      </c>
      <c r="AR84" s="6">
        <f t="shared" si="38"/>
        <v>76</v>
      </c>
      <c r="AS84">
        <f t="shared" si="39"/>
        <v>76</v>
      </c>
      <c r="AV84" s="1" t="str">
        <f>IF(IFERROR(INDEX($A$9:$W$304,$AS84,COLUMNS($AV$9:AV83)),"")=0,"",IFERROR(INDEX($A$9:$W$304,$AS84,COLUMNS($AV$9:AV83)),""))</f>
        <v>Feint</v>
      </c>
      <c r="AW84" s="1">
        <f>IFERROR(INDEX($A$9:$W$304,$AS84,COLUMNS($AV$9:AW83)),"")</f>
        <v>1</v>
      </c>
      <c r="AX84" s="1" t="str">
        <f>IF(IFERROR(INDEX($A$9:$X$304,$AS84,COLUMNS($AV$9:AX83)),"")=0,"",IFERROR(INDEX($A$9:$X$304,$AS84,COLUMNS($AV$9:AX83)),""))</f>
        <v>GOOD</v>
      </c>
      <c r="AY84" s="1" t="str">
        <f>IF(IFERROR(INDEX($A$9:$X$304,$AS84,COLUMNS($AV$9:AY83)),"")=0,"",IFERROR(INDEX($A$9:$X$304,$AS84,COLUMNS($AV$9:AY83)),""))</f>
        <v/>
      </c>
      <c r="AZ84" s="1" t="str">
        <f>IF(IFERROR(INDEX($A$9:$X$304,$AS84,COLUMNS($AV$9:AZ83)),"")=0,"",IFERROR(INDEX($A$9:$X$304,$AS84,COLUMNS($AV$9:AZ83)),""))</f>
        <v>EVENT</v>
      </c>
      <c r="BA84" s="1" t="str">
        <f>IF(IFERROR(INDEX($A$9:$X$304,$AS84,COLUMNS($AV$9:BA83)),"")=0,"",IFERROR(INDEX($A$9:$X$304,$AS84,COLUMNS($AV$9:BA83)),""))</f>
        <v/>
      </c>
      <c r="BB84" s="1" t="str">
        <f>IF(IFERROR(INDEX($A$9:$X$304,$AS84,COLUMNS($AV$9:BB83)),"")=0,"",IFERROR(INDEX($A$9:$X$304,$AS84,COLUMNS($AV$9:BB83)),""))</f>
        <v/>
      </c>
      <c r="BC84" s="1" t="str">
        <f>IF(IFERROR(INDEX($A$9:$X$304,$AS84,COLUMNS($AV$9:BC83)),"")=0,"",IFERROR(INDEX($A$9:$X$304,$AS84,COLUMNS($AV$9:BC83)),""))</f>
        <v>Draw two cards.</v>
      </c>
      <c r="BD84" s="1" t="str">
        <f>IF(IFERROR(INDEX($A$9:$X$304,$AS84,COLUMNS($AV$9:BD83)),"")=0,"",IFERROR(INDEX($A$9:$X$304,$AS84,COLUMNS($AV$9:BD83)),""))</f>
        <v>Remove all of your attacking or blocking champions from battle and prepare them.</v>
      </c>
      <c r="BE84" s="1" t="str">
        <f>IF(IFERROR(INDEX($A$9:$X$304,$AS84,COLUMNS($AV$9:BE83)),"")=0,"",IFERROR(INDEX($A$9:$X$304,$AS84,COLUMNS($AV$9:BE83)),""))</f>
        <v/>
      </c>
      <c r="BF84" s="1" t="str">
        <f>IF(IFERROR(INDEX($A$9:$X$304,$AS84,COLUMNS($AV$9:BF83)),"")=0,"",IFERROR(INDEX($A$9:$X$304,$AS84,COLUMNS($AV$9:BF83)),""))</f>
        <v/>
      </c>
      <c r="BG84" s="1" t="str">
        <f>IF(IFERROR(INDEX($A$9:$X$304,$AS84,COLUMNS($AV$9:BG83)),"")=0,"",IFERROR(INDEX($A$9:$X$304,$AS84,COLUMNS($AV$9:BG83)),""))</f>
        <v/>
      </c>
      <c r="BH84" s="1" t="str">
        <f>IF(IFERROR(INDEX($A$9:$X$304,$AS84,COLUMNS($AV$9:BH83)),"")=0,"",IFERROR(INDEX($A$9:$X$304,$AS84,COLUMNS($AV$9:BH83)),""))</f>
        <v/>
      </c>
      <c r="BI84" s="1" t="str">
        <f>IF(IFERROR(INDEX($A$9:$X$304,$AS84,COLUMNS($AV$9:BI83)),"")=0,"",IFERROR(INDEX($A$9:$X$304,$AS84,COLUMNS($AV$9:BI83)),""))</f>
        <v/>
      </c>
      <c r="BJ84" s="1" t="str">
        <f>IF(IFERROR(INDEX($A$9:$X$304,$AS84,COLUMNS($AV$9:BJ83)),"")=0,"",IFERROR(INDEX($A$9:$X$304,$AS84,COLUMNS($AV$9:BJ83)),""))</f>
        <v>None</v>
      </c>
      <c r="BK84" s="1" t="str">
        <f>IF(IFERROR(INDEX($A$9:$X$304,$AS84,COLUMNS($AV$9:BK83)),"")=0,"",IFERROR(INDEX($A$9:$X$304,$AS84,COLUMNS($AV$9:BK83)),""))</f>
        <v>Common</v>
      </c>
      <c r="BL84" s="1" t="str">
        <f>IF(IFERROR(INDEX($A$9:$X$304,$AS84,COLUMNS($AV$9:BL83)),"")=0,"",IFERROR(INDEX($A$9:$X$304,$AS84,COLUMNS($AV$9:BL83)),""))</f>
        <v>Antonis Papantoniou</v>
      </c>
      <c r="BM84" s="1" t="str">
        <f>IF(IFERROR(INDEX($A$9:$X$304,$AS84,COLUMNS($AV$9:BM83)),"")=0,"",IFERROR(INDEX($A$9:$X$304,$AS84,COLUMNS($AV$9:BM83)),""))</f>
        <v>Base Set</v>
      </c>
      <c r="BN84" s="3" t="b">
        <f>IF(IFERROR(INDEX($A$9:$X$304,$AS84,COLUMNS($AV$9:BN83)),"")=0,"",IFERROR(INDEX($A$9:$X$304,$AS84,COLUMNS($AV$9:BN83)),""))</f>
        <v>1</v>
      </c>
      <c r="BO84" s="3" t="b">
        <f>IF(IFERROR(INDEX($A$9:$X$304,$AS84,COLUMNS($AV$9:BO83)),"")=0,"",IFERROR(INDEX($A$9:$X$304,$AS84,COLUMNS($AV$9:BO83)),""))</f>
        <v>0</v>
      </c>
      <c r="BP84" s="3" t="b">
        <f>IF(IFERROR(INDEX($A$9:$X$304,$AS84,COLUMNS($AV$9:BP83)),"")=0,"",IFERROR(INDEX($A$9:$X$304,$AS84,COLUMNS($AV$9:BP83)),""))</f>
        <v>0</v>
      </c>
      <c r="BQ84" s="3" t="b">
        <f>IF(IFERROR(INDEX($A$9:$X$304,$AS84,COLUMNS($AV$9:BQ83)),"")=0,"",IFERROR(INDEX($A$9:$X$304,$AS84,COLUMNS($AV$9:BQ83)),""))</f>
        <v>0</v>
      </c>
      <c r="BR84" s="3" t="str">
        <f>IF(IFERROR(INDEX($A$9:$X$304,$AS84,COLUMNS($AV$9:BR83)),"")=0,"",IFERROR(INDEX($A$9:$X$304,$AS84,COLUMNS($AV$9:BR83)),""))</f>
        <v>http://www.epiccardgame.com/wp-content/uploads/2015/09/feint-215x300.jpg</v>
      </c>
      <c r="BS84" s="3" t="str">
        <f>IF(IFERROR(INDEX($A$9:$X$304,$AS84,COLUMNS($AV$9:BS83)),"")=0,"",IFERROR(INDEX($A$9:$X$304,$AS84,COLUMNS($AV$9:BS83)),""))</f>
        <v/>
      </c>
      <c r="BT84" s="3"/>
      <c r="BU84" s="15"/>
      <c r="BV84" t="s">
        <v>105</v>
      </c>
    </row>
    <row r="85" spans="1:74" ht="225.2" customHeight="1" x14ac:dyDescent="0.25">
      <c r="A85" t="s">
        <v>402</v>
      </c>
      <c r="B85">
        <v>1</v>
      </c>
      <c r="C85" t="s">
        <v>615</v>
      </c>
      <c r="E85" t="s">
        <v>619</v>
      </c>
      <c r="H85" t="s">
        <v>661</v>
      </c>
      <c r="I85" t="s">
        <v>627</v>
      </c>
      <c r="O85" t="s">
        <v>1062</v>
      </c>
      <c r="P85" t="s">
        <v>1112</v>
      </c>
      <c r="Q85" t="s">
        <v>1134</v>
      </c>
      <c r="R85" t="s">
        <v>1174</v>
      </c>
      <c r="S85" t="b">
        <v>1</v>
      </c>
      <c r="T85" t="b">
        <v>0</v>
      </c>
      <c r="U85" t="b">
        <v>0</v>
      </c>
      <c r="V85" t="b">
        <v>0</v>
      </c>
      <c r="W85" s="2" t="s">
        <v>1260</v>
      </c>
      <c r="X85" s="2"/>
      <c r="Y85" s="24">
        <v>77</v>
      </c>
      <c r="Z85">
        <f t="shared" si="20"/>
        <v>77</v>
      </c>
      <c r="AA85">
        <f t="shared" si="21"/>
        <v>77</v>
      </c>
      <c r="AB85">
        <f t="shared" si="22"/>
        <v>77</v>
      </c>
      <c r="AC85">
        <f t="shared" si="23"/>
        <v>0</v>
      </c>
      <c r="AD85">
        <f t="shared" si="24"/>
        <v>77</v>
      </c>
      <c r="AE85">
        <f t="shared" si="25"/>
        <v>0</v>
      </c>
      <c r="AF85">
        <f t="shared" si="26"/>
        <v>0</v>
      </c>
      <c r="AG85">
        <f t="shared" si="27"/>
        <v>77</v>
      </c>
      <c r="AH85">
        <f t="shared" si="28"/>
        <v>77</v>
      </c>
      <c r="AI85">
        <f t="shared" si="29"/>
        <v>0</v>
      </c>
      <c r="AJ85">
        <f t="shared" si="30"/>
        <v>0</v>
      </c>
      <c r="AK85">
        <f t="shared" si="31"/>
        <v>0</v>
      </c>
      <c r="AL85">
        <f t="shared" si="32"/>
        <v>0</v>
      </c>
      <c r="AM85">
        <f t="shared" si="33"/>
        <v>0</v>
      </c>
      <c r="AN85">
        <f t="shared" si="34"/>
        <v>77</v>
      </c>
      <c r="AO85">
        <f t="shared" si="35"/>
        <v>77</v>
      </c>
      <c r="AP85">
        <f t="shared" si="36"/>
        <v>77</v>
      </c>
      <c r="AQ85">
        <f t="shared" si="37"/>
        <v>77</v>
      </c>
      <c r="AR85" s="6">
        <f t="shared" si="38"/>
        <v>77</v>
      </c>
      <c r="AS85">
        <f t="shared" si="39"/>
        <v>77</v>
      </c>
      <c r="AV85" s="1" t="str">
        <f>IF(IFERROR(INDEX($A$9:$W$304,$AS85,COLUMNS($AV$9:AV84)),"")=0,"",IFERROR(INDEX($A$9:$W$304,$AS85,COLUMNS($AV$9:AV84)),""))</f>
        <v>Fiery Demise</v>
      </c>
      <c r="AW85" s="1">
        <f>IFERROR(INDEX($A$9:$W$304,$AS85,COLUMNS($AV$9:AW84)),"")</f>
        <v>1</v>
      </c>
      <c r="AX85" s="1" t="str">
        <f>IF(IFERROR(INDEX($A$9:$X$304,$AS85,COLUMNS($AV$9:AX84)),"")=0,"",IFERROR(INDEX($A$9:$X$304,$AS85,COLUMNS($AV$9:AX84)),""))</f>
        <v>WILD</v>
      </c>
      <c r="AY85" s="1" t="str">
        <f>IF(IFERROR(INDEX($A$9:$X$304,$AS85,COLUMNS($AV$9:AY84)),"")=0,"",IFERROR(INDEX($A$9:$X$304,$AS85,COLUMNS($AV$9:AY84)),""))</f>
        <v/>
      </c>
      <c r="AZ85" s="1" t="str">
        <f>IF(IFERROR(INDEX($A$9:$X$304,$AS85,COLUMNS($AV$9:AZ84)),"")=0,"",IFERROR(INDEX($A$9:$X$304,$AS85,COLUMNS($AV$9:AZ84)),""))</f>
        <v>EVENT</v>
      </c>
      <c r="BA85" s="1" t="str">
        <f>IF(IFERROR(INDEX($A$9:$X$304,$AS85,COLUMNS($AV$9:BA84)),"")=0,"",IFERROR(INDEX($A$9:$X$304,$AS85,COLUMNS($AV$9:BA84)),""))</f>
        <v/>
      </c>
      <c r="BB85" s="1" t="str">
        <f>IF(IFERROR(INDEX($A$9:$X$304,$AS85,COLUMNS($AV$9:BB84)),"")=0,"",IFERROR(INDEX($A$9:$X$304,$AS85,COLUMNS($AV$9:BB84)),""))</f>
        <v/>
      </c>
      <c r="BC85" s="1" t="str">
        <f>IF(IFERROR(INDEX($A$9:$X$304,$AS85,COLUMNS($AV$9:BC84)),"")=0,"",IFERROR(INDEX($A$9:$X$304,$AS85,COLUMNS($AV$9:BC84)),""))</f>
        <v>Deal 3 damage to a target.</v>
      </c>
      <c r="BD85" s="1" t="str">
        <f>IF(IFERROR(INDEX($A$9:$X$304,$AS85,COLUMNS($AV$9:BD84)),"")=0,"",IFERROR(INDEX($A$9:$X$304,$AS85,COLUMNS($AV$9:BD84)),""))</f>
        <v>Draw two cards.</v>
      </c>
      <c r="BE85" s="1" t="str">
        <f>IF(IFERROR(INDEX($A$9:$X$304,$AS85,COLUMNS($AV$9:BE84)),"")=0,"",IFERROR(INDEX($A$9:$X$304,$AS85,COLUMNS($AV$9:BE84)),""))</f>
        <v/>
      </c>
      <c r="BF85" s="1" t="str">
        <f>IF(IFERROR(INDEX($A$9:$X$304,$AS85,COLUMNS($AV$9:BF84)),"")=0,"",IFERROR(INDEX($A$9:$X$304,$AS85,COLUMNS($AV$9:BF84)),""))</f>
        <v/>
      </c>
      <c r="BG85" s="1" t="str">
        <f>IF(IFERROR(INDEX($A$9:$X$304,$AS85,COLUMNS($AV$9:BG84)),"")=0,"",IFERROR(INDEX($A$9:$X$304,$AS85,COLUMNS($AV$9:BG84)),""))</f>
        <v/>
      </c>
      <c r="BH85" s="1" t="str">
        <f>IF(IFERROR(INDEX($A$9:$X$304,$AS85,COLUMNS($AV$9:BH84)),"")=0,"",IFERROR(INDEX($A$9:$X$304,$AS85,COLUMNS($AV$9:BH84)),""))</f>
        <v/>
      </c>
      <c r="BI85" s="1" t="str">
        <f>IF(IFERROR(INDEX($A$9:$X$304,$AS85,COLUMNS($AV$9:BI84)),"")=0,"",IFERROR(INDEX($A$9:$X$304,$AS85,COLUMNS($AV$9:BI84)),""))</f>
        <v/>
      </c>
      <c r="BJ85" s="1" t="str">
        <f>IF(IFERROR(INDEX($A$9:$X$304,$AS85,COLUMNS($AV$9:BJ84)),"")=0,"",IFERROR(INDEX($A$9:$X$304,$AS85,COLUMNS($AV$9:BJ84)),""))</f>
        <v>None</v>
      </c>
      <c r="BK85" s="1" t="str">
        <f>IF(IFERROR(INDEX($A$9:$X$304,$AS85,COLUMNS($AV$9:BK84)),"")=0,"",IFERROR(INDEX($A$9:$X$304,$AS85,COLUMNS($AV$9:BK84)),""))</f>
        <v>Common</v>
      </c>
      <c r="BL85" s="1" t="str">
        <f>IF(IFERROR(INDEX($A$9:$X$304,$AS85,COLUMNS($AV$9:BL84)),"")=0,"",IFERROR(INDEX($A$9:$X$304,$AS85,COLUMNS($AV$9:BL84)),""))</f>
        <v>Shen Fei</v>
      </c>
      <c r="BM85" s="1" t="str">
        <f>IF(IFERROR(INDEX($A$9:$X$304,$AS85,COLUMNS($AV$9:BM84)),"")=0,"",IFERROR(INDEX($A$9:$X$304,$AS85,COLUMNS($AV$9:BM84)),""))</f>
        <v>Pantheon: Furios vs Maligus</v>
      </c>
      <c r="BN85" s="3" t="b">
        <f>IF(IFERROR(INDEX($A$9:$X$304,$AS85,COLUMNS($AV$9:BN84)),"")=0,"",IFERROR(INDEX($A$9:$X$304,$AS85,COLUMNS($AV$9:BN84)),""))</f>
        <v>1</v>
      </c>
      <c r="BO85" s="3" t="b">
        <f>IF(IFERROR(INDEX($A$9:$X$304,$AS85,COLUMNS($AV$9:BO84)),"")=0,"",IFERROR(INDEX($A$9:$X$304,$AS85,COLUMNS($AV$9:BO84)),""))</f>
        <v>0</v>
      </c>
      <c r="BP85" s="3" t="b">
        <f>IF(IFERROR(INDEX($A$9:$X$304,$AS85,COLUMNS($AV$9:BP84)),"")=0,"",IFERROR(INDEX($A$9:$X$304,$AS85,COLUMNS($AV$9:BP84)),""))</f>
        <v>0</v>
      </c>
      <c r="BQ85" s="3" t="b">
        <f>IF(IFERROR(INDEX($A$9:$X$304,$AS85,COLUMNS($AV$9:BQ84)),"")=0,"",IFERROR(INDEX($A$9:$X$304,$AS85,COLUMNS($AV$9:BQ84)),""))</f>
        <v>0</v>
      </c>
      <c r="BR85" s="3" t="str">
        <f>IF(IFERROR(INDEX($A$9:$X$304,$AS85,COLUMNS($AV$9:BR84)),"")=0,"",IFERROR(INDEX($A$9:$X$304,$AS85,COLUMNS($AV$9:BR84)),""))</f>
        <v>https://www.epiccardgame.com/wp-content/uploads/2017/11/PNF-EN-03-fiery-demise.jpg</v>
      </c>
      <c r="BS85" s="3" t="str">
        <f>IF(IFERROR(INDEX($A$9:$X$304,$AS85,COLUMNS($AV$9:BS84)),"")=0,"",IFERROR(INDEX($A$9:$X$304,$AS85,COLUMNS($AV$9:BS84)),""))</f>
        <v/>
      </c>
      <c r="BT85" s="3"/>
      <c r="BU85" s="15"/>
      <c r="BV85" t="s">
        <v>106</v>
      </c>
    </row>
    <row r="86" spans="1:74" ht="225.2" customHeight="1" x14ac:dyDescent="0.25">
      <c r="A86" t="s">
        <v>403</v>
      </c>
      <c r="B86">
        <v>1</v>
      </c>
      <c r="C86" t="s">
        <v>618</v>
      </c>
      <c r="E86" t="s">
        <v>619</v>
      </c>
      <c r="H86" t="s">
        <v>627</v>
      </c>
      <c r="I86" t="s">
        <v>822</v>
      </c>
      <c r="O86" t="s">
        <v>1062</v>
      </c>
      <c r="P86" t="s">
        <v>1112</v>
      </c>
      <c r="Q86" t="s">
        <v>1124</v>
      </c>
      <c r="R86" t="s">
        <v>1171</v>
      </c>
      <c r="S86" t="b">
        <v>1</v>
      </c>
      <c r="T86" t="b">
        <v>1</v>
      </c>
      <c r="U86" t="b">
        <v>0</v>
      </c>
      <c r="V86" t="b">
        <v>0</v>
      </c>
      <c r="W86" s="2" t="s">
        <v>1261</v>
      </c>
      <c r="X86" s="2"/>
      <c r="Y86" s="24">
        <v>78</v>
      </c>
      <c r="Z86">
        <f t="shared" si="20"/>
        <v>78</v>
      </c>
      <c r="AA86">
        <f t="shared" si="21"/>
        <v>78</v>
      </c>
      <c r="AB86">
        <f t="shared" si="22"/>
        <v>78</v>
      </c>
      <c r="AC86">
        <f t="shared" si="23"/>
        <v>0</v>
      </c>
      <c r="AD86">
        <f t="shared" si="24"/>
        <v>78</v>
      </c>
      <c r="AE86">
        <f t="shared" si="25"/>
        <v>0</v>
      </c>
      <c r="AF86">
        <f t="shared" si="26"/>
        <v>0</v>
      </c>
      <c r="AG86">
        <f t="shared" si="27"/>
        <v>78</v>
      </c>
      <c r="AH86">
        <f t="shared" si="28"/>
        <v>78</v>
      </c>
      <c r="AI86">
        <f t="shared" si="29"/>
        <v>0</v>
      </c>
      <c r="AJ86">
        <f t="shared" si="30"/>
        <v>0</v>
      </c>
      <c r="AK86">
        <f t="shared" si="31"/>
        <v>0</v>
      </c>
      <c r="AL86">
        <f t="shared" si="32"/>
        <v>0</v>
      </c>
      <c r="AM86">
        <f t="shared" si="33"/>
        <v>0</v>
      </c>
      <c r="AN86">
        <f t="shared" si="34"/>
        <v>78</v>
      </c>
      <c r="AO86">
        <f t="shared" si="35"/>
        <v>78</v>
      </c>
      <c r="AP86">
        <f t="shared" si="36"/>
        <v>78</v>
      </c>
      <c r="AQ86">
        <f t="shared" si="37"/>
        <v>78</v>
      </c>
      <c r="AR86" s="6">
        <f t="shared" si="38"/>
        <v>78</v>
      </c>
      <c r="AS86">
        <f t="shared" si="39"/>
        <v>78</v>
      </c>
      <c r="AV86" s="1" t="str">
        <f>IF(IFERROR(INDEX($A$9:$W$304,$AS86,COLUMNS($AV$9:AV85)),"")=0,"",IFERROR(INDEX($A$9:$W$304,$AS86,COLUMNS($AV$9:AV85)),""))</f>
        <v>Final Task</v>
      </c>
      <c r="AW86" s="1">
        <f>IFERROR(INDEX($A$9:$W$304,$AS86,COLUMNS($AV$9:AW85)),"")</f>
        <v>1</v>
      </c>
      <c r="AX86" s="1" t="str">
        <f>IF(IFERROR(INDEX($A$9:$X$304,$AS86,COLUMNS($AV$9:AX85)),"")=0,"",IFERROR(INDEX($A$9:$X$304,$AS86,COLUMNS($AV$9:AX85)),""))</f>
        <v>EVIL</v>
      </c>
      <c r="AY86" s="1" t="str">
        <f>IF(IFERROR(INDEX($A$9:$X$304,$AS86,COLUMNS($AV$9:AY85)),"")=0,"",IFERROR(INDEX($A$9:$X$304,$AS86,COLUMNS($AV$9:AY85)),""))</f>
        <v/>
      </c>
      <c r="AZ86" s="1" t="str">
        <f>IF(IFERROR(INDEX($A$9:$X$304,$AS86,COLUMNS($AV$9:AZ85)),"")=0,"",IFERROR(INDEX($A$9:$X$304,$AS86,COLUMNS($AV$9:AZ85)),""))</f>
        <v>EVENT</v>
      </c>
      <c r="BA86" s="1" t="str">
        <f>IF(IFERROR(INDEX($A$9:$X$304,$AS86,COLUMNS($AV$9:BA85)),"")=0,"",IFERROR(INDEX($A$9:$X$304,$AS86,COLUMNS($AV$9:BA85)),""))</f>
        <v/>
      </c>
      <c r="BB86" s="1" t="str">
        <f>IF(IFERROR(INDEX($A$9:$X$304,$AS86,COLUMNS($AV$9:BB85)),"")=0,"",IFERROR(INDEX($A$9:$X$304,$AS86,COLUMNS($AV$9:BB85)),""))</f>
        <v/>
      </c>
      <c r="BC86" s="1" t="str">
        <f>IF(IFERROR(INDEX($A$9:$X$304,$AS86,COLUMNS($AV$9:BC85)),"")=0,"",IFERROR(INDEX($A$9:$X$304,$AS86,COLUMNS($AV$9:BC85)),""))</f>
        <v>Draw two cards.</v>
      </c>
      <c r="BD86" s="1" t="str">
        <f>IF(IFERROR(INDEX($A$9:$X$304,$AS86,COLUMNS($AV$9:BD85)),"")=0,"",IFERROR(INDEX($A$9:$X$304,$AS86,COLUMNS($AV$9:BD85)),""))</f>
        <v>Put a champion from any discard pile into play under your control. It gains blitz this turn. Break it at the end of the turn.</v>
      </c>
      <c r="BE86" s="1" t="str">
        <f>IF(IFERROR(INDEX($A$9:$X$304,$AS86,COLUMNS($AV$9:BE85)),"")=0,"",IFERROR(INDEX($A$9:$X$304,$AS86,COLUMNS($AV$9:BE85)),""))</f>
        <v/>
      </c>
      <c r="BF86" s="1" t="str">
        <f>IF(IFERROR(INDEX($A$9:$X$304,$AS86,COLUMNS($AV$9:BF85)),"")=0,"",IFERROR(INDEX($A$9:$X$304,$AS86,COLUMNS($AV$9:BF85)),""))</f>
        <v/>
      </c>
      <c r="BG86" s="1" t="str">
        <f>IF(IFERROR(INDEX($A$9:$X$304,$AS86,COLUMNS($AV$9:BG85)),"")=0,"",IFERROR(INDEX($A$9:$X$304,$AS86,COLUMNS($AV$9:BG85)),""))</f>
        <v/>
      </c>
      <c r="BH86" s="1" t="str">
        <f>IF(IFERROR(INDEX($A$9:$X$304,$AS86,COLUMNS($AV$9:BH85)),"")=0,"",IFERROR(INDEX($A$9:$X$304,$AS86,COLUMNS($AV$9:BH85)),""))</f>
        <v/>
      </c>
      <c r="BI86" s="1" t="str">
        <f>IF(IFERROR(INDEX($A$9:$X$304,$AS86,COLUMNS($AV$9:BI85)),"")=0,"",IFERROR(INDEX($A$9:$X$304,$AS86,COLUMNS($AV$9:BI85)),""))</f>
        <v/>
      </c>
      <c r="BJ86" s="1" t="str">
        <f>IF(IFERROR(INDEX($A$9:$X$304,$AS86,COLUMNS($AV$9:BJ85)),"")=0,"",IFERROR(INDEX($A$9:$X$304,$AS86,COLUMNS($AV$9:BJ85)),""))</f>
        <v>None</v>
      </c>
      <c r="BK86" s="1" t="str">
        <f>IF(IFERROR(INDEX($A$9:$X$304,$AS86,COLUMNS($AV$9:BK85)),"")=0,"",IFERROR(INDEX($A$9:$X$304,$AS86,COLUMNS($AV$9:BK85)),""))</f>
        <v>Common</v>
      </c>
      <c r="BL86" s="1" t="str">
        <f>IF(IFERROR(INDEX($A$9:$X$304,$AS86,COLUMNS($AV$9:BL85)),"")=0,"",IFERROR(INDEX($A$9:$X$304,$AS86,COLUMNS($AV$9:BL85)),""))</f>
        <v>Souveraine</v>
      </c>
      <c r="BM86" s="1" t="str">
        <f>IF(IFERROR(INDEX($A$9:$X$304,$AS86,COLUMNS($AV$9:BM85)),"")=0,"",IFERROR(INDEX($A$9:$X$304,$AS86,COLUMNS($AV$9:BM85)),""))</f>
        <v>Base Set</v>
      </c>
      <c r="BN86" s="3" t="b">
        <f>IF(IFERROR(INDEX($A$9:$X$304,$AS86,COLUMNS($AV$9:BN85)),"")=0,"",IFERROR(INDEX($A$9:$X$304,$AS86,COLUMNS($AV$9:BN85)),""))</f>
        <v>1</v>
      </c>
      <c r="BO86" s="3" t="b">
        <f>IF(IFERROR(INDEX($A$9:$X$304,$AS86,COLUMNS($AV$9:BO85)),"")=0,"",IFERROR(INDEX($A$9:$X$304,$AS86,COLUMNS($AV$9:BO85)),""))</f>
        <v>1</v>
      </c>
      <c r="BP86" s="3" t="b">
        <f>IF(IFERROR(INDEX($A$9:$X$304,$AS86,COLUMNS($AV$9:BP85)),"")=0,"",IFERROR(INDEX($A$9:$X$304,$AS86,COLUMNS($AV$9:BP85)),""))</f>
        <v>0</v>
      </c>
      <c r="BQ86" s="3" t="b">
        <f>IF(IFERROR(INDEX($A$9:$X$304,$AS86,COLUMNS($AV$9:BQ85)),"")=0,"",IFERROR(INDEX($A$9:$X$304,$AS86,COLUMNS($AV$9:BQ85)),""))</f>
        <v>0</v>
      </c>
      <c r="BR86" s="3" t="str">
        <f>IF(IFERROR(INDEX($A$9:$X$304,$AS86,COLUMNS($AV$9:BR85)),"")=0,"",IFERROR(INDEX($A$9:$X$304,$AS86,COLUMNS($AV$9:BR85)),""))</f>
        <v>http://www.epiccardgame.com/wp-content/uploads/2015/09/final_task-215x300.jpg</v>
      </c>
      <c r="BS86" s="3" t="str">
        <f>IF(IFERROR(INDEX($A$9:$X$304,$AS86,COLUMNS($AV$9:BS85)),"")=0,"",IFERROR(INDEX($A$9:$X$304,$AS86,COLUMNS($AV$9:BS85)),""))</f>
        <v/>
      </c>
      <c r="BT86" s="3"/>
      <c r="BU86" s="15"/>
      <c r="BV86" t="s">
        <v>107</v>
      </c>
    </row>
    <row r="87" spans="1:74" ht="225.2" customHeight="1" x14ac:dyDescent="0.25">
      <c r="A87" t="s">
        <v>404</v>
      </c>
      <c r="B87">
        <v>0</v>
      </c>
      <c r="C87" t="s">
        <v>615</v>
      </c>
      <c r="E87" t="s">
        <v>620</v>
      </c>
      <c r="F87">
        <v>3</v>
      </c>
      <c r="G87">
        <v>2</v>
      </c>
      <c r="H87" t="s">
        <v>662</v>
      </c>
      <c r="I87" t="s">
        <v>823</v>
      </c>
      <c r="O87" t="s">
        <v>1063</v>
      </c>
      <c r="P87" t="s">
        <v>1112</v>
      </c>
      <c r="Q87" t="s">
        <v>1117</v>
      </c>
      <c r="R87" t="s">
        <v>1171</v>
      </c>
      <c r="S87" t="b">
        <v>0</v>
      </c>
      <c r="T87" t="b">
        <v>0</v>
      </c>
      <c r="U87" t="b">
        <v>0</v>
      </c>
      <c r="V87" t="b">
        <v>0</v>
      </c>
      <c r="W87" s="2" t="s">
        <v>1262</v>
      </c>
      <c r="X87" s="2"/>
      <c r="Y87" s="24">
        <v>79</v>
      </c>
      <c r="Z87">
        <f t="shared" si="20"/>
        <v>79</v>
      </c>
      <c r="AA87">
        <f t="shared" si="21"/>
        <v>79</v>
      </c>
      <c r="AB87">
        <f t="shared" si="22"/>
        <v>79</v>
      </c>
      <c r="AC87">
        <f t="shared" si="23"/>
        <v>0</v>
      </c>
      <c r="AD87">
        <f t="shared" si="24"/>
        <v>79</v>
      </c>
      <c r="AE87">
        <f t="shared" si="25"/>
        <v>79</v>
      </c>
      <c r="AF87">
        <f t="shared" si="26"/>
        <v>79</v>
      </c>
      <c r="AG87">
        <f t="shared" si="27"/>
        <v>79</v>
      </c>
      <c r="AH87">
        <f t="shared" si="28"/>
        <v>79</v>
      </c>
      <c r="AI87">
        <f t="shared" si="29"/>
        <v>0</v>
      </c>
      <c r="AJ87">
        <f t="shared" si="30"/>
        <v>0</v>
      </c>
      <c r="AK87">
        <f t="shared" si="31"/>
        <v>0</v>
      </c>
      <c r="AL87">
        <f t="shared" si="32"/>
        <v>0</v>
      </c>
      <c r="AM87">
        <f t="shared" si="33"/>
        <v>0</v>
      </c>
      <c r="AN87">
        <f t="shared" si="34"/>
        <v>79</v>
      </c>
      <c r="AO87">
        <f t="shared" si="35"/>
        <v>79</v>
      </c>
      <c r="AP87">
        <f t="shared" si="36"/>
        <v>79</v>
      </c>
      <c r="AQ87">
        <f t="shared" si="37"/>
        <v>79</v>
      </c>
      <c r="AR87" s="6">
        <f t="shared" si="38"/>
        <v>79</v>
      </c>
      <c r="AS87">
        <f t="shared" si="39"/>
        <v>79</v>
      </c>
      <c r="AV87" s="1" t="str">
        <f>IF(IFERROR(INDEX($A$9:$W$304,$AS87,COLUMNS($AV$9:AV86)),"")=0,"",IFERROR(INDEX($A$9:$W$304,$AS87,COLUMNS($AV$9:AV86)),""))</f>
        <v>Fire Shaman</v>
      </c>
      <c r="AW87" s="1">
        <f>IFERROR(INDEX($A$9:$W$304,$AS87,COLUMNS($AV$9:AW86)),"")</f>
        <v>0</v>
      </c>
      <c r="AX87" s="1" t="str">
        <f>IF(IFERROR(INDEX($A$9:$X$304,$AS87,COLUMNS($AV$9:AX86)),"")=0,"",IFERROR(INDEX($A$9:$X$304,$AS87,COLUMNS($AV$9:AX86)),""))</f>
        <v>WILD</v>
      </c>
      <c r="AY87" s="1" t="str">
        <f>IF(IFERROR(INDEX($A$9:$X$304,$AS87,COLUMNS($AV$9:AY86)),"")=0,"",IFERROR(INDEX($A$9:$X$304,$AS87,COLUMNS($AV$9:AY86)),""))</f>
        <v/>
      </c>
      <c r="AZ87" s="1" t="str">
        <f>IF(IFERROR(INDEX($A$9:$X$304,$AS87,COLUMNS($AV$9:AZ86)),"")=0,"",IFERROR(INDEX($A$9:$X$304,$AS87,COLUMNS($AV$9:AZ86)),""))</f>
        <v>CHAMPION</v>
      </c>
      <c r="BA87" s="1">
        <f>IF(IFERROR(INDEX($A$9:$X$304,$AS87,COLUMNS($AV$9:BA86)),"")=0,"",IFERROR(INDEX($A$9:$X$304,$AS87,COLUMNS($AV$9:BA86)),""))</f>
        <v>3</v>
      </c>
      <c r="BB87" s="1">
        <f>IF(IFERROR(INDEX($A$9:$X$304,$AS87,COLUMNS($AV$9:BB86)),"")=0,"",IFERROR(INDEX($A$9:$X$304,$AS87,COLUMNS($AV$9:BB86)),""))</f>
        <v>2</v>
      </c>
      <c r="BC87" s="1" t="str">
        <f>IF(IFERROR(INDEX($A$9:$X$304,$AS87,COLUMNS($AV$9:BC86)),"")=0,"",IFERROR(INDEX($A$9:$X$304,$AS87,COLUMNS($AV$9:BC86)),""))</f>
        <v>{wild} → Deal 3 damage to a target.</v>
      </c>
      <c r="BD87" s="1" t="str">
        <f>IF(IFERROR(INDEX($A$9:$X$304,$AS87,COLUMNS($AV$9:BD86)),"")=0,"",IFERROR(INDEX($A$9:$X$304,$AS87,COLUMNS($AV$9:BD86)),""))</f>
        <v>She controls fire better than her temper.</v>
      </c>
      <c r="BE87" s="1" t="str">
        <f>IF(IFERROR(INDEX($A$9:$X$304,$AS87,COLUMNS($AV$9:BE86)),"")=0,"",IFERROR(INDEX($A$9:$X$304,$AS87,COLUMNS($AV$9:BE86)),""))</f>
        <v/>
      </c>
      <c r="BF87" s="1" t="str">
        <f>IF(IFERROR(INDEX($A$9:$X$304,$AS87,COLUMNS($AV$9:BF86)),"")=0,"",IFERROR(INDEX($A$9:$X$304,$AS87,COLUMNS($AV$9:BF86)),""))</f>
        <v/>
      </c>
      <c r="BG87" s="1" t="str">
        <f>IF(IFERROR(INDEX($A$9:$X$304,$AS87,COLUMNS($AV$9:BG86)),"")=0,"",IFERROR(INDEX($A$9:$X$304,$AS87,COLUMNS($AV$9:BG86)),""))</f>
        <v/>
      </c>
      <c r="BH87" s="1" t="str">
        <f>IF(IFERROR(INDEX($A$9:$X$304,$AS87,COLUMNS($AV$9:BH86)),"")=0,"",IFERROR(INDEX($A$9:$X$304,$AS87,COLUMNS($AV$9:BH86)),""))</f>
        <v/>
      </c>
      <c r="BI87" s="1" t="str">
        <f>IF(IFERROR(INDEX($A$9:$X$304,$AS87,COLUMNS($AV$9:BI86)),"")=0,"",IFERROR(INDEX($A$9:$X$304,$AS87,COLUMNS($AV$9:BI86)),""))</f>
        <v/>
      </c>
      <c r="BJ87" s="1" t="str">
        <f>IF(IFERROR(INDEX($A$9:$X$304,$AS87,COLUMNS($AV$9:BJ86)),"")=0,"",IFERROR(INDEX($A$9:$X$304,$AS87,COLUMNS($AV$9:BJ86)),""))</f>
        <v>HUMAN</v>
      </c>
      <c r="BK87" s="1" t="str">
        <f>IF(IFERROR(INDEX($A$9:$X$304,$AS87,COLUMNS($AV$9:BK86)),"")=0,"",IFERROR(INDEX($A$9:$X$304,$AS87,COLUMNS($AV$9:BK86)),""))</f>
        <v>Common</v>
      </c>
      <c r="BL87" s="1" t="str">
        <f>IF(IFERROR(INDEX($A$9:$X$304,$AS87,COLUMNS($AV$9:BL86)),"")=0,"",IFERROR(INDEX($A$9:$X$304,$AS87,COLUMNS($AV$9:BL86)),""))</f>
        <v>Antonis Papantoniou</v>
      </c>
      <c r="BM87" s="1" t="str">
        <f>IF(IFERROR(INDEX($A$9:$X$304,$AS87,COLUMNS($AV$9:BM86)),"")=0,"",IFERROR(INDEX($A$9:$X$304,$AS87,COLUMNS($AV$9:BM86)),""))</f>
        <v>Base Set</v>
      </c>
      <c r="BN87" s="3" t="b">
        <f>IF(IFERROR(INDEX($A$9:$X$304,$AS87,COLUMNS($AV$9:BN86)),"")=0,"",IFERROR(INDEX($A$9:$X$304,$AS87,COLUMNS($AV$9:BN86)),""))</f>
        <v>0</v>
      </c>
      <c r="BO87" s="3" t="b">
        <f>IF(IFERROR(INDEX($A$9:$X$304,$AS87,COLUMNS($AV$9:BO86)),"")=0,"",IFERROR(INDEX($A$9:$X$304,$AS87,COLUMNS($AV$9:BO86)),""))</f>
        <v>0</v>
      </c>
      <c r="BP87" s="3" t="b">
        <f>IF(IFERROR(INDEX($A$9:$X$304,$AS87,COLUMNS($AV$9:BP86)),"")=0,"",IFERROR(INDEX($A$9:$X$304,$AS87,COLUMNS($AV$9:BP86)),""))</f>
        <v>0</v>
      </c>
      <c r="BQ87" s="3" t="b">
        <f>IF(IFERROR(INDEX($A$9:$X$304,$AS87,COLUMNS($AV$9:BQ86)),"")=0,"",IFERROR(INDEX($A$9:$X$304,$AS87,COLUMNS($AV$9:BQ86)),""))</f>
        <v>0</v>
      </c>
      <c r="BR87" s="3" t="str">
        <f>IF(IFERROR(INDEX($A$9:$X$304,$AS87,COLUMNS($AV$9:BR86)),"")=0,"",IFERROR(INDEX($A$9:$X$304,$AS87,COLUMNS($AV$9:BR86)),""))</f>
        <v>http://www.epiccardgame.com/wp-content/uploads/2015/09/fire_shaman-215x300.jpg</v>
      </c>
      <c r="BS87" s="3" t="str">
        <f>IF(IFERROR(INDEX($A$9:$X$304,$AS87,COLUMNS($AV$9:BS86)),"")=0,"",IFERROR(INDEX($A$9:$X$304,$AS87,COLUMNS($AV$9:BS86)),""))</f>
        <v/>
      </c>
      <c r="BT87" s="3"/>
      <c r="BU87" s="15"/>
      <c r="BV87" t="s">
        <v>108</v>
      </c>
    </row>
    <row r="88" spans="1:74" ht="225.2" customHeight="1" x14ac:dyDescent="0.25">
      <c r="A88" t="s">
        <v>405</v>
      </c>
      <c r="B88">
        <v>1</v>
      </c>
      <c r="C88" t="s">
        <v>615</v>
      </c>
      <c r="E88" t="s">
        <v>620</v>
      </c>
      <c r="F88">
        <v>11</v>
      </c>
      <c r="G88">
        <v>9</v>
      </c>
      <c r="H88" t="s">
        <v>663</v>
      </c>
      <c r="I88" t="s">
        <v>824</v>
      </c>
      <c r="J88" t="s">
        <v>981</v>
      </c>
      <c r="O88" t="s">
        <v>1088</v>
      </c>
      <c r="P88" t="s">
        <v>1112</v>
      </c>
      <c r="Q88" t="s">
        <v>1143</v>
      </c>
      <c r="R88" t="s">
        <v>1183</v>
      </c>
      <c r="S88" t="b">
        <v>1</v>
      </c>
      <c r="T88" t="b">
        <v>0</v>
      </c>
      <c r="U88" t="b">
        <v>0</v>
      </c>
      <c r="V88" t="b">
        <v>0</v>
      </c>
      <c r="W88" s="2" t="s">
        <v>1263</v>
      </c>
      <c r="X88" s="2"/>
      <c r="Y88" s="24">
        <v>80</v>
      </c>
      <c r="Z88">
        <f t="shared" si="20"/>
        <v>80</v>
      </c>
      <c r="AA88">
        <f t="shared" si="21"/>
        <v>80</v>
      </c>
      <c r="AB88">
        <f t="shared" si="22"/>
        <v>80</v>
      </c>
      <c r="AC88">
        <f t="shared" si="23"/>
        <v>0</v>
      </c>
      <c r="AD88">
        <f t="shared" si="24"/>
        <v>80</v>
      </c>
      <c r="AE88">
        <f t="shared" si="25"/>
        <v>80</v>
      </c>
      <c r="AF88">
        <f t="shared" si="26"/>
        <v>80</v>
      </c>
      <c r="AG88">
        <f t="shared" si="27"/>
        <v>80</v>
      </c>
      <c r="AH88">
        <f t="shared" si="28"/>
        <v>80</v>
      </c>
      <c r="AI88">
        <f t="shared" si="29"/>
        <v>80</v>
      </c>
      <c r="AJ88">
        <f t="shared" si="30"/>
        <v>0</v>
      </c>
      <c r="AK88">
        <f t="shared" si="31"/>
        <v>0</v>
      </c>
      <c r="AL88">
        <f t="shared" si="32"/>
        <v>0</v>
      </c>
      <c r="AM88">
        <f t="shared" si="33"/>
        <v>0</v>
      </c>
      <c r="AN88">
        <f t="shared" si="34"/>
        <v>80</v>
      </c>
      <c r="AO88">
        <f t="shared" si="35"/>
        <v>80</v>
      </c>
      <c r="AP88">
        <f t="shared" si="36"/>
        <v>80</v>
      </c>
      <c r="AQ88">
        <f t="shared" si="37"/>
        <v>80</v>
      </c>
      <c r="AR88" s="6">
        <f t="shared" si="38"/>
        <v>80</v>
      </c>
      <c r="AS88">
        <f t="shared" si="39"/>
        <v>80</v>
      </c>
      <c r="AV88" s="1" t="str">
        <f>IF(IFERROR(INDEX($A$9:$W$304,$AS88,COLUMNS($AV$9:AV87)),"")=0,"",IFERROR(INDEX($A$9:$W$304,$AS88,COLUMNS($AV$9:AV87)),""))</f>
        <v>Fire Spirit</v>
      </c>
      <c r="AW88" s="1">
        <f>IFERROR(INDEX($A$9:$W$304,$AS88,COLUMNS($AV$9:AW87)),"")</f>
        <v>1</v>
      </c>
      <c r="AX88" s="1" t="str">
        <f>IF(IFERROR(INDEX($A$9:$X$304,$AS88,COLUMNS($AV$9:AX87)),"")=0,"",IFERROR(INDEX($A$9:$X$304,$AS88,COLUMNS($AV$9:AX87)),""))</f>
        <v>WILD</v>
      </c>
      <c r="AY88" s="1" t="str">
        <f>IF(IFERROR(INDEX($A$9:$X$304,$AS88,COLUMNS($AV$9:AY87)),"")=0,"",IFERROR(INDEX($A$9:$X$304,$AS88,COLUMNS($AV$9:AY87)),""))</f>
        <v/>
      </c>
      <c r="AZ88" s="1" t="str">
        <f>IF(IFERROR(INDEX($A$9:$X$304,$AS88,COLUMNS($AV$9:AZ87)),"")=0,"",IFERROR(INDEX($A$9:$X$304,$AS88,COLUMNS($AV$9:AZ87)),""))</f>
        <v>CHAMPION</v>
      </c>
      <c r="BA88" s="1">
        <f>IF(IFERROR(INDEX($A$9:$X$304,$AS88,COLUMNS($AV$9:BA87)),"")=0,"",IFERROR(INDEX($A$9:$X$304,$AS88,COLUMNS($AV$9:BA87)),""))</f>
        <v>11</v>
      </c>
      <c r="BB88" s="1">
        <f>IF(IFERROR(INDEX($A$9:$X$304,$AS88,COLUMNS($AV$9:BB87)),"")=0,"",IFERROR(INDEX($A$9:$X$304,$AS88,COLUMNS($AV$9:BB87)),""))</f>
        <v>9</v>
      </c>
      <c r="BC88" s="1" t="str">
        <f>IF(IFERROR(INDEX($A$9:$X$304,$AS88,COLUMNS($AV$9:BC87)),"")=0,"",IFERROR(INDEX($A$9:$X$304,$AS88,COLUMNS($AV$9:BC87)),""))</f>
        <v>Tribute → Draw a card.</v>
      </c>
      <c r="BD88" s="1" t="str">
        <f>IF(IFERROR(INDEX($A$9:$X$304,$AS88,COLUMNS($AV$9:BD87)),"")=0,"",IFERROR(INDEX($A$9:$X$304,$AS88,COLUMNS($AV$9:BD87)),""))</f>
        <v>{wild} → Deal 4 damage to target champion.</v>
      </c>
      <c r="BE88" s="1" t="str">
        <f>IF(IFERROR(INDEX($A$9:$X$304,$AS88,COLUMNS($AV$9:BE87)),"")=0,"",IFERROR(INDEX($A$9:$X$304,$AS88,COLUMNS($AV$9:BE87)),""))</f>
        <v>"Well done." - Shahara, fire shaman</v>
      </c>
      <c r="BF88" s="1" t="str">
        <f>IF(IFERROR(INDEX($A$9:$X$304,$AS88,COLUMNS($AV$9:BF87)),"")=0,"",IFERROR(INDEX($A$9:$X$304,$AS88,COLUMNS($AV$9:BF87)),""))</f>
        <v/>
      </c>
      <c r="BG88" s="1" t="str">
        <f>IF(IFERROR(INDEX($A$9:$X$304,$AS88,COLUMNS($AV$9:BG87)),"")=0,"",IFERROR(INDEX($A$9:$X$304,$AS88,COLUMNS($AV$9:BG87)),""))</f>
        <v/>
      </c>
      <c r="BH88" s="1" t="str">
        <f>IF(IFERROR(INDEX($A$9:$X$304,$AS88,COLUMNS($AV$9:BH87)),"")=0,"",IFERROR(INDEX($A$9:$X$304,$AS88,COLUMNS($AV$9:BH87)),""))</f>
        <v/>
      </c>
      <c r="BI88" s="1" t="str">
        <f>IF(IFERROR(INDEX($A$9:$X$304,$AS88,COLUMNS($AV$9:BI87)),"")=0,"",IFERROR(INDEX($A$9:$X$304,$AS88,COLUMNS($AV$9:BI87)),""))</f>
        <v/>
      </c>
      <c r="BJ88" s="1" t="str">
        <f>IF(IFERROR(INDEX($A$9:$X$304,$AS88,COLUMNS($AV$9:BJ87)),"")=0,"",IFERROR(INDEX($A$9:$X$304,$AS88,COLUMNS($AV$9:BJ87)),""))</f>
        <v>SPIRIT</v>
      </c>
      <c r="BK88" s="1" t="str">
        <f>IF(IFERROR(INDEX($A$9:$X$304,$AS88,COLUMNS($AV$9:BK87)),"")=0,"",IFERROR(INDEX($A$9:$X$304,$AS88,COLUMNS($AV$9:BK87)),""))</f>
        <v>Common</v>
      </c>
      <c r="BL88" s="1" t="str">
        <f>IF(IFERROR(INDEX($A$9:$X$304,$AS88,COLUMNS($AV$9:BL87)),"")=0,"",IFERROR(INDEX($A$9:$X$304,$AS88,COLUMNS($AV$9:BL87)),""))</f>
        <v>Ina Wong</v>
      </c>
      <c r="BM88" s="1" t="str">
        <f>IF(IFERROR(INDEX($A$9:$X$304,$AS88,COLUMNS($AV$9:BM87)),"")=0,"",IFERROR(INDEX($A$9:$X$304,$AS88,COLUMNS($AV$9:BM87)),""))</f>
        <v>Tyrants: Raxxa's Revenge</v>
      </c>
      <c r="BN88" s="3" t="b">
        <f>IF(IFERROR(INDEX($A$9:$X$304,$AS88,COLUMNS($AV$9:BN87)),"")=0,"",IFERROR(INDEX($A$9:$X$304,$AS88,COLUMNS($AV$9:BN87)),""))</f>
        <v>1</v>
      </c>
      <c r="BO88" s="3" t="b">
        <f>IF(IFERROR(INDEX($A$9:$X$304,$AS88,COLUMNS($AV$9:BO87)),"")=0,"",IFERROR(INDEX($A$9:$X$304,$AS88,COLUMNS($AV$9:BO87)),""))</f>
        <v>0</v>
      </c>
      <c r="BP88" s="3" t="b">
        <f>IF(IFERROR(INDEX($A$9:$X$304,$AS88,COLUMNS($AV$9:BP87)),"")=0,"",IFERROR(INDEX($A$9:$X$304,$AS88,COLUMNS($AV$9:BP87)),""))</f>
        <v>0</v>
      </c>
      <c r="BQ88" s="3" t="b">
        <f>IF(IFERROR(INDEX($A$9:$X$304,$AS88,COLUMNS($AV$9:BQ87)),"")=0,"",IFERROR(INDEX($A$9:$X$304,$AS88,COLUMNS($AV$9:BQ87)),""))</f>
        <v>0</v>
      </c>
      <c r="BR88" s="3" t="str">
        <f>IF(IFERROR(INDEX($A$9:$X$304,$AS88,COLUMNS($AV$9:BR87)),"")=0,"",IFERROR(INDEX($A$9:$X$304,$AS88,COLUMNS($AV$9:BR87)),""))</f>
        <v>http://www.epiccardgame.com/wp-content/uploads/2016/03/fire_spirit-214x300.jpg</v>
      </c>
      <c r="BS88" s="3" t="str">
        <f>IF(IFERROR(INDEX($A$9:$X$304,$AS88,COLUMNS($AV$9:BS87)),"")=0,"",IFERROR(INDEX($A$9:$X$304,$AS88,COLUMNS($AV$9:BS87)),""))</f>
        <v/>
      </c>
      <c r="BT88" s="3"/>
      <c r="BU88" s="15"/>
      <c r="BV88" t="s">
        <v>109</v>
      </c>
    </row>
    <row r="89" spans="1:74" ht="225.2" customHeight="1" x14ac:dyDescent="0.25">
      <c r="A89" t="s">
        <v>406</v>
      </c>
      <c r="B89">
        <v>0</v>
      </c>
      <c r="C89" t="s">
        <v>615</v>
      </c>
      <c r="E89" t="s">
        <v>619</v>
      </c>
      <c r="H89" t="s">
        <v>661</v>
      </c>
      <c r="I89" t="s">
        <v>825</v>
      </c>
      <c r="O89" t="s">
        <v>1062</v>
      </c>
      <c r="P89" t="s">
        <v>1113</v>
      </c>
      <c r="Q89" t="s">
        <v>1114</v>
      </c>
      <c r="R89" t="s">
        <v>1171</v>
      </c>
      <c r="S89" t="b">
        <v>1</v>
      </c>
      <c r="T89" t="b">
        <v>1</v>
      </c>
      <c r="U89" t="b">
        <v>0</v>
      </c>
      <c r="V89" t="b">
        <v>0</v>
      </c>
      <c r="W89" s="2" t="s">
        <v>1264</v>
      </c>
      <c r="X89" s="2"/>
      <c r="Y89" s="24">
        <v>81</v>
      </c>
      <c r="Z89">
        <f t="shared" si="20"/>
        <v>81</v>
      </c>
      <c r="AA89">
        <f t="shared" si="21"/>
        <v>81</v>
      </c>
      <c r="AB89">
        <f t="shared" si="22"/>
        <v>81</v>
      </c>
      <c r="AC89">
        <f t="shared" si="23"/>
        <v>0</v>
      </c>
      <c r="AD89">
        <f t="shared" si="24"/>
        <v>81</v>
      </c>
      <c r="AE89">
        <f t="shared" si="25"/>
        <v>0</v>
      </c>
      <c r="AF89">
        <f t="shared" si="26"/>
        <v>0</v>
      </c>
      <c r="AG89">
        <f t="shared" si="27"/>
        <v>81</v>
      </c>
      <c r="AH89">
        <f t="shared" si="28"/>
        <v>81</v>
      </c>
      <c r="AI89">
        <f t="shared" si="29"/>
        <v>0</v>
      </c>
      <c r="AJ89">
        <f t="shared" si="30"/>
        <v>0</v>
      </c>
      <c r="AK89">
        <f t="shared" si="31"/>
        <v>0</v>
      </c>
      <c r="AL89">
        <f t="shared" si="32"/>
        <v>0</v>
      </c>
      <c r="AM89">
        <f t="shared" si="33"/>
        <v>0</v>
      </c>
      <c r="AN89">
        <f t="shared" si="34"/>
        <v>81</v>
      </c>
      <c r="AO89">
        <f t="shared" si="35"/>
        <v>81</v>
      </c>
      <c r="AP89">
        <f t="shared" si="36"/>
        <v>81</v>
      </c>
      <c r="AQ89">
        <f t="shared" si="37"/>
        <v>81</v>
      </c>
      <c r="AR89" s="6">
        <f t="shared" si="38"/>
        <v>81</v>
      </c>
      <c r="AS89">
        <f t="shared" si="39"/>
        <v>81</v>
      </c>
      <c r="AV89" s="1" t="str">
        <f>IF(IFERROR(INDEX($A$9:$W$304,$AS89,COLUMNS($AV$9:AV88)),"")=0,"",IFERROR(INDEX($A$9:$W$304,$AS89,COLUMNS($AV$9:AV88)),""))</f>
        <v>Fireball</v>
      </c>
      <c r="AW89" s="1">
        <f>IFERROR(INDEX($A$9:$W$304,$AS89,COLUMNS($AV$9:AW88)),"")</f>
        <v>0</v>
      </c>
      <c r="AX89" s="1" t="str">
        <f>IF(IFERROR(INDEX($A$9:$X$304,$AS89,COLUMNS($AV$9:AX88)),"")=0,"",IFERROR(INDEX($A$9:$X$304,$AS89,COLUMNS($AV$9:AX88)),""))</f>
        <v>WILD</v>
      </c>
      <c r="AY89" s="1" t="str">
        <f>IF(IFERROR(INDEX($A$9:$X$304,$AS89,COLUMNS($AV$9:AY88)),"")=0,"",IFERROR(INDEX($A$9:$X$304,$AS89,COLUMNS($AV$9:AY88)),""))</f>
        <v/>
      </c>
      <c r="AZ89" s="1" t="str">
        <f>IF(IFERROR(INDEX($A$9:$X$304,$AS89,COLUMNS($AV$9:AZ88)),"")=0,"",IFERROR(INDEX($A$9:$X$304,$AS89,COLUMNS($AV$9:AZ88)),""))</f>
        <v>EVENT</v>
      </c>
      <c r="BA89" s="1" t="str">
        <f>IF(IFERROR(INDEX($A$9:$X$304,$AS89,COLUMNS($AV$9:BA88)),"")=0,"",IFERROR(INDEX($A$9:$X$304,$AS89,COLUMNS($AV$9:BA88)),""))</f>
        <v/>
      </c>
      <c r="BB89" s="1" t="str">
        <f>IF(IFERROR(INDEX($A$9:$X$304,$AS89,COLUMNS($AV$9:BB88)),"")=0,"",IFERROR(INDEX($A$9:$X$304,$AS89,COLUMNS($AV$9:BB88)),""))</f>
        <v/>
      </c>
      <c r="BC89" s="1" t="str">
        <f>IF(IFERROR(INDEX($A$9:$X$304,$AS89,COLUMNS($AV$9:BC88)),"")=0,"",IFERROR(INDEX($A$9:$X$304,$AS89,COLUMNS($AV$9:BC88)),""))</f>
        <v>Deal 3 damage to a target.</v>
      </c>
      <c r="BD89" s="1" t="str">
        <f>IF(IFERROR(INDEX($A$9:$X$304,$AS89,COLUMNS($AV$9:BD88)),"")=0,"",IFERROR(INDEX($A$9:$X$304,$AS89,COLUMNS($AV$9:BD88)),""))</f>
        <v>{1}: Deal 3 damage to target player and each champion they control.</v>
      </c>
      <c r="BE89" s="1" t="str">
        <f>IF(IFERROR(INDEX($A$9:$X$304,$AS89,COLUMNS($AV$9:BE88)),"")=0,"",IFERROR(INDEX($A$9:$X$304,$AS89,COLUMNS($AV$9:BE88)),""))</f>
        <v/>
      </c>
      <c r="BF89" s="1" t="str">
        <f>IF(IFERROR(INDEX($A$9:$X$304,$AS89,COLUMNS($AV$9:BF88)),"")=0,"",IFERROR(INDEX($A$9:$X$304,$AS89,COLUMNS($AV$9:BF88)),""))</f>
        <v/>
      </c>
      <c r="BG89" s="1" t="str">
        <f>IF(IFERROR(INDEX($A$9:$X$304,$AS89,COLUMNS($AV$9:BG88)),"")=0,"",IFERROR(INDEX($A$9:$X$304,$AS89,COLUMNS($AV$9:BG88)),""))</f>
        <v/>
      </c>
      <c r="BH89" s="1" t="str">
        <f>IF(IFERROR(INDEX($A$9:$X$304,$AS89,COLUMNS($AV$9:BH88)),"")=0,"",IFERROR(INDEX($A$9:$X$304,$AS89,COLUMNS($AV$9:BH88)),""))</f>
        <v/>
      </c>
      <c r="BI89" s="1" t="str">
        <f>IF(IFERROR(INDEX($A$9:$X$304,$AS89,COLUMNS($AV$9:BI88)),"")=0,"",IFERROR(INDEX($A$9:$X$304,$AS89,COLUMNS($AV$9:BI88)),""))</f>
        <v/>
      </c>
      <c r="BJ89" s="1" t="str">
        <f>IF(IFERROR(INDEX($A$9:$X$304,$AS89,COLUMNS($AV$9:BJ88)),"")=0,"",IFERROR(INDEX($A$9:$X$304,$AS89,COLUMNS($AV$9:BJ88)),""))</f>
        <v>None</v>
      </c>
      <c r="BK89" s="1" t="str">
        <f>IF(IFERROR(INDEX($A$9:$X$304,$AS89,COLUMNS($AV$9:BK88)),"")=0,"",IFERROR(INDEX($A$9:$X$304,$AS89,COLUMNS($AV$9:BK88)),""))</f>
        <v>Rare</v>
      </c>
      <c r="BL89" s="1" t="str">
        <f>IF(IFERROR(INDEX($A$9:$X$304,$AS89,COLUMNS($AV$9:BL88)),"")=0,"",IFERROR(INDEX($A$9:$X$304,$AS89,COLUMNS($AV$9:BL88)),""))</f>
        <v>Jaan-Paul van Eeden</v>
      </c>
      <c r="BM89" s="1" t="str">
        <f>IF(IFERROR(INDEX($A$9:$X$304,$AS89,COLUMNS($AV$9:BM88)),"")=0,"",IFERROR(INDEX($A$9:$X$304,$AS89,COLUMNS($AV$9:BM88)),""))</f>
        <v>Base Set</v>
      </c>
      <c r="BN89" s="3" t="b">
        <f>IF(IFERROR(INDEX($A$9:$X$304,$AS89,COLUMNS($AV$9:BN88)),"")=0,"",IFERROR(INDEX($A$9:$X$304,$AS89,COLUMNS($AV$9:BN88)),""))</f>
        <v>1</v>
      </c>
      <c r="BO89" s="3" t="b">
        <f>IF(IFERROR(INDEX($A$9:$X$304,$AS89,COLUMNS($AV$9:BO88)),"")=0,"",IFERROR(INDEX($A$9:$X$304,$AS89,COLUMNS($AV$9:BO88)),""))</f>
        <v>1</v>
      </c>
      <c r="BP89" s="3" t="b">
        <f>IF(IFERROR(INDEX($A$9:$X$304,$AS89,COLUMNS($AV$9:BP88)),"")=0,"",IFERROR(INDEX($A$9:$X$304,$AS89,COLUMNS($AV$9:BP88)),""))</f>
        <v>0</v>
      </c>
      <c r="BQ89" s="3" t="b">
        <f>IF(IFERROR(INDEX($A$9:$X$304,$AS89,COLUMNS($AV$9:BQ88)),"")=0,"",IFERROR(INDEX($A$9:$X$304,$AS89,COLUMNS($AV$9:BQ88)),""))</f>
        <v>0</v>
      </c>
      <c r="BR89" s="3" t="str">
        <f>IF(IFERROR(INDEX($A$9:$X$304,$AS89,COLUMNS($AV$9:BR88)),"")=0,"",IFERROR(INDEX($A$9:$X$304,$AS89,COLUMNS($AV$9:BR88)),""))</f>
        <v>http://www.epiccardgame.com/wp-content/uploads/2015/09/fireball-215x300.jpg</v>
      </c>
      <c r="BS89" s="3" t="str">
        <f>IF(IFERROR(INDEX($A$9:$X$304,$AS89,COLUMNS($AV$9:BS88)),"")=0,"",IFERROR(INDEX($A$9:$X$304,$AS89,COLUMNS($AV$9:BS88)),""))</f>
        <v/>
      </c>
      <c r="BT89" s="3"/>
      <c r="BU89" s="15"/>
      <c r="BV89" t="s">
        <v>110</v>
      </c>
    </row>
    <row r="90" spans="1:74" ht="225.2" customHeight="1" x14ac:dyDescent="0.25">
      <c r="A90" t="s">
        <v>407</v>
      </c>
      <c r="B90">
        <v>1</v>
      </c>
      <c r="C90" t="s">
        <v>615</v>
      </c>
      <c r="E90" t="s">
        <v>619</v>
      </c>
      <c r="H90" t="s">
        <v>664</v>
      </c>
      <c r="I90" t="s">
        <v>741</v>
      </c>
      <c r="J90" t="s">
        <v>982</v>
      </c>
      <c r="O90" t="s">
        <v>1062</v>
      </c>
      <c r="P90" t="s">
        <v>1112</v>
      </c>
      <c r="Q90" t="s">
        <v>1127</v>
      </c>
      <c r="R90" t="s">
        <v>1181</v>
      </c>
      <c r="S90" t="b">
        <v>1</v>
      </c>
      <c r="T90" t="b">
        <v>1</v>
      </c>
      <c r="U90" t="b">
        <v>0</v>
      </c>
      <c r="V90" t="b">
        <v>0</v>
      </c>
      <c r="W90" s="2" t="s">
        <v>1265</v>
      </c>
      <c r="X90" s="2"/>
      <c r="Y90" s="24">
        <v>82</v>
      </c>
      <c r="Z90">
        <f t="shared" si="20"/>
        <v>82</v>
      </c>
      <c r="AA90">
        <f t="shared" si="21"/>
        <v>82</v>
      </c>
      <c r="AB90">
        <f t="shared" si="22"/>
        <v>82</v>
      </c>
      <c r="AC90">
        <f t="shared" si="23"/>
        <v>0</v>
      </c>
      <c r="AD90">
        <f t="shared" si="24"/>
        <v>82</v>
      </c>
      <c r="AE90">
        <f t="shared" si="25"/>
        <v>0</v>
      </c>
      <c r="AF90">
        <f t="shared" si="26"/>
        <v>0</v>
      </c>
      <c r="AG90">
        <f t="shared" si="27"/>
        <v>82</v>
      </c>
      <c r="AH90">
        <f t="shared" si="28"/>
        <v>82</v>
      </c>
      <c r="AI90">
        <f t="shared" si="29"/>
        <v>82</v>
      </c>
      <c r="AJ90">
        <f t="shared" si="30"/>
        <v>0</v>
      </c>
      <c r="AK90">
        <f t="shared" si="31"/>
        <v>0</v>
      </c>
      <c r="AL90">
        <f t="shared" si="32"/>
        <v>0</v>
      </c>
      <c r="AM90">
        <f t="shared" si="33"/>
        <v>0</v>
      </c>
      <c r="AN90">
        <f t="shared" si="34"/>
        <v>82</v>
      </c>
      <c r="AO90">
        <f t="shared" si="35"/>
        <v>82</v>
      </c>
      <c r="AP90">
        <f t="shared" si="36"/>
        <v>82</v>
      </c>
      <c r="AQ90">
        <f t="shared" si="37"/>
        <v>82</v>
      </c>
      <c r="AR90" s="6">
        <f t="shared" si="38"/>
        <v>82</v>
      </c>
      <c r="AS90">
        <f t="shared" si="39"/>
        <v>82</v>
      </c>
      <c r="AV90" s="1" t="str">
        <f>IF(IFERROR(INDEX($A$9:$W$304,$AS90,COLUMNS($AV$9:AV89)),"")=0,"",IFERROR(INDEX($A$9:$W$304,$AS90,COLUMNS($AV$9:AV89)),""))</f>
        <v>Fires of Rebellion</v>
      </c>
      <c r="AW90" s="1">
        <f>IFERROR(INDEX($A$9:$W$304,$AS90,COLUMNS($AV$9:AW89)),"")</f>
        <v>1</v>
      </c>
      <c r="AX90" s="1" t="str">
        <f>IF(IFERROR(INDEX($A$9:$X$304,$AS90,COLUMNS($AV$9:AX89)),"")=0,"",IFERROR(INDEX($A$9:$X$304,$AS90,COLUMNS($AV$9:AX89)),""))</f>
        <v>WILD</v>
      </c>
      <c r="AY90" s="1" t="str">
        <f>IF(IFERROR(INDEX($A$9:$X$304,$AS90,COLUMNS($AV$9:AY89)),"")=0,"",IFERROR(INDEX($A$9:$X$304,$AS90,COLUMNS($AV$9:AY89)),""))</f>
        <v/>
      </c>
      <c r="AZ90" s="1" t="str">
        <f>IF(IFERROR(INDEX($A$9:$X$304,$AS90,COLUMNS($AV$9:AZ89)),"")=0,"",IFERROR(INDEX($A$9:$X$304,$AS90,COLUMNS($AV$9:AZ89)),""))</f>
        <v>EVENT</v>
      </c>
      <c r="BA90" s="1" t="str">
        <f>IF(IFERROR(INDEX($A$9:$X$304,$AS90,COLUMNS($AV$9:BA89)),"")=0,"",IFERROR(INDEX($A$9:$X$304,$AS90,COLUMNS($AV$9:BA89)),""))</f>
        <v/>
      </c>
      <c r="BB90" s="1" t="str">
        <f>IF(IFERROR(INDEX($A$9:$X$304,$AS90,COLUMNS($AV$9:BB89)),"")=0,"",IFERROR(INDEX($A$9:$X$304,$AS90,COLUMNS($AV$9:BB89)),""))</f>
        <v/>
      </c>
      <c r="BC90" s="1" t="str">
        <f>IF(IFERROR(INDEX($A$9:$X$304,$AS90,COLUMNS($AV$9:BC89)),"")=0,"",IFERROR(INDEX($A$9:$X$304,$AS90,COLUMNS($AV$9:BC89)),""))</f>
        <v>Deal 7 damage to each opposing player.</v>
      </c>
      <c r="BD90" s="1" t="str">
        <f>IF(IFERROR(INDEX($A$9:$X$304,$AS90,COLUMNS($AV$9:BD89)),"")=0,"",IFERROR(INDEX($A$9:$X$304,$AS90,COLUMNS($AV$9:BD89)),""))</f>
        <v>Draw a card.</v>
      </c>
      <c r="BE90" s="1" t="str">
        <f>IF(IFERROR(INDEX($A$9:$X$304,$AS90,COLUMNS($AV$9:BE89)),"")=0,"",IFERROR(INDEX($A$9:$X$304,$AS90,COLUMNS($AV$9:BE89)),""))</f>
        <v>Deal 7 damage to target champion.</v>
      </c>
      <c r="BF90" s="1" t="str">
        <f>IF(IFERROR(INDEX($A$9:$X$304,$AS90,COLUMNS($AV$9:BF89)),"")=0,"",IFERROR(INDEX($A$9:$X$304,$AS90,COLUMNS($AV$9:BF89)),""))</f>
        <v/>
      </c>
      <c r="BG90" s="1" t="str">
        <f>IF(IFERROR(INDEX($A$9:$X$304,$AS90,COLUMNS($AV$9:BG89)),"")=0,"",IFERROR(INDEX($A$9:$X$304,$AS90,COLUMNS($AV$9:BG89)),""))</f>
        <v/>
      </c>
      <c r="BH90" s="1" t="str">
        <f>IF(IFERROR(INDEX($A$9:$X$304,$AS90,COLUMNS($AV$9:BH89)),"")=0,"",IFERROR(INDEX($A$9:$X$304,$AS90,COLUMNS($AV$9:BH89)),""))</f>
        <v/>
      </c>
      <c r="BI90" s="1" t="str">
        <f>IF(IFERROR(INDEX($A$9:$X$304,$AS90,COLUMNS($AV$9:BI89)),"")=0,"",IFERROR(INDEX($A$9:$X$304,$AS90,COLUMNS($AV$9:BI89)),""))</f>
        <v/>
      </c>
      <c r="BJ90" s="1" t="str">
        <f>IF(IFERROR(INDEX($A$9:$X$304,$AS90,COLUMNS($AV$9:BJ89)),"")=0,"",IFERROR(INDEX($A$9:$X$304,$AS90,COLUMNS($AV$9:BJ89)),""))</f>
        <v>None</v>
      </c>
      <c r="BK90" s="1" t="str">
        <f>IF(IFERROR(INDEX($A$9:$X$304,$AS90,COLUMNS($AV$9:BK89)),"")=0,"",IFERROR(INDEX($A$9:$X$304,$AS90,COLUMNS($AV$9:BK89)),""))</f>
        <v>Common</v>
      </c>
      <c r="BL90" s="1" t="str">
        <f>IF(IFERROR(INDEX($A$9:$X$304,$AS90,COLUMNS($AV$9:BL89)),"")=0,"",IFERROR(INDEX($A$9:$X$304,$AS90,COLUMNS($AV$9:BL89)),""))</f>
        <v>Johnny Morrow</v>
      </c>
      <c r="BM90" s="1" t="str">
        <f>IF(IFERROR(INDEX($A$9:$X$304,$AS90,COLUMNS($AV$9:BM89)),"")=0,"",IFERROR(INDEX($A$9:$X$304,$AS90,COLUMNS($AV$9:BM89)),""))</f>
        <v>Uprising: Kark's Edict</v>
      </c>
      <c r="BN90" s="3" t="b">
        <f>IF(IFERROR(INDEX($A$9:$X$304,$AS90,COLUMNS($AV$9:BN89)),"")=0,"",IFERROR(INDEX($A$9:$X$304,$AS90,COLUMNS($AV$9:BN89)),""))</f>
        <v>1</v>
      </c>
      <c r="BO90" s="3" t="b">
        <f>IF(IFERROR(INDEX($A$9:$X$304,$AS90,COLUMNS($AV$9:BO89)),"")=0,"",IFERROR(INDEX($A$9:$X$304,$AS90,COLUMNS($AV$9:BO89)),""))</f>
        <v>1</v>
      </c>
      <c r="BP90" s="3" t="b">
        <f>IF(IFERROR(INDEX($A$9:$X$304,$AS90,COLUMNS($AV$9:BP89)),"")=0,"",IFERROR(INDEX($A$9:$X$304,$AS90,COLUMNS($AV$9:BP89)),""))</f>
        <v>0</v>
      </c>
      <c r="BQ90" s="3" t="b">
        <f>IF(IFERROR(INDEX($A$9:$X$304,$AS90,COLUMNS($AV$9:BQ89)),"")=0,"",IFERROR(INDEX($A$9:$X$304,$AS90,COLUMNS($AV$9:BQ89)),""))</f>
        <v>0</v>
      </c>
      <c r="BR90" s="3" t="str">
        <f>IF(IFERROR(INDEX($A$9:$X$304,$AS90,COLUMNS($AV$9:BR89)),"")=0,"",IFERROR(INDEX($A$9:$X$304,$AS90,COLUMNS($AV$9:BR89)),""))</f>
        <v>https://www.epiccardgame.com/wp-content/uploads/2017/11/UPK-EN-fires-of-rebellion.jpg</v>
      </c>
      <c r="BS90" s="3" t="str">
        <f>IF(IFERROR(INDEX($A$9:$X$304,$AS90,COLUMNS($AV$9:BS89)),"")=0,"",IFERROR(INDEX($A$9:$X$304,$AS90,COLUMNS($AV$9:BS89)),""))</f>
        <v/>
      </c>
      <c r="BT90" s="3"/>
      <c r="BU90" s="15"/>
      <c r="BV90" t="s">
        <v>111</v>
      </c>
    </row>
    <row r="91" spans="1:74" ht="225.2" customHeight="1" x14ac:dyDescent="0.25">
      <c r="A91" t="s">
        <v>408</v>
      </c>
      <c r="B91">
        <v>0</v>
      </c>
      <c r="C91" t="s">
        <v>615</v>
      </c>
      <c r="E91" t="s">
        <v>619</v>
      </c>
      <c r="H91" t="s">
        <v>665</v>
      </c>
      <c r="I91" t="s">
        <v>23</v>
      </c>
      <c r="O91" t="s">
        <v>1062</v>
      </c>
      <c r="P91" t="s">
        <v>1112</v>
      </c>
      <c r="Q91" t="s">
        <v>1117</v>
      </c>
      <c r="R91" t="s">
        <v>1172</v>
      </c>
      <c r="S91" t="b">
        <v>0</v>
      </c>
      <c r="T91" t="b">
        <v>0</v>
      </c>
      <c r="U91" t="b">
        <v>0</v>
      </c>
      <c r="V91" t="b">
        <v>0</v>
      </c>
      <c r="W91" s="2" t="s">
        <v>1266</v>
      </c>
      <c r="X91" s="2"/>
      <c r="Y91" s="24">
        <v>83</v>
      </c>
      <c r="Z91">
        <f t="shared" si="20"/>
        <v>83</v>
      </c>
      <c r="AA91">
        <f t="shared" si="21"/>
        <v>83</v>
      </c>
      <c r="AB91">
        <f t="shared" si="22"/>
        <v>83</v>
      </c>
      <c r="AC91">
        <f t="shared" si="23"/>
        <v>0</v>
      </c>
      <c r="AD91">
        <f t="shared" si="24"/>
        <v>83</v>
      </c>
      <c r="AE91">
        <f t="shared" si="25"/>
        <v>0</v>
      </c>
      <c r="AF91">
        <f t="shared" si="26"/>
        <v>0</v>
      </c>
      <c r="AG91">
        <f t="shared" si="27"/>
        <v>83</v>
      </c>
      <c r="AH91">
        <f t="shared" si="28"/>
        <v>83</v>
      </c>
      <c r="AI91">
        <f t="shared" si="29"/>
        <v>0</v>
      </c>
      <c r="AJ91">
        <f t="shared" si="30"/>
        <v>0</v>
      </c>
      <c r="AK91">
        <f t="shared" si="31"/>
        <v>0</v>
      </c>
      <c r="AL91">
        <f t="shared" si="32"/>
        <v>0</v>
      </c>
      <c r="AM91">
        <f t="shared" si="33"/>
        <v>0</v>
      </c>
      <c r="AN91">
        <f t="shared" si="34"/>
        <v>83</v>
      </c>
      <c r="AO91">
        <f t="shared" si="35"/>
        <v>83</v>
      </c>
      <c r="AP91">
        <f t="shared" si="36"/>
        <v>83</v>
      </c>
      <c r="AQ91">
        <f t="shared" si="37"/>
        <v>83</v>
      </c>
      <c r="AR91" s="6">
        <f t="shared" si="38"/>
        <v>83</v>
      </c>
      <c r="AS91">
        <f t="shared" si="39"/>
        <v>83</v>
      </c>
      <c r="AV91" s="1" t="str">
        <f>IF(IFERROR(INDEX($A$9:$W$304,$AS91,COLUMNS($AV$9:AV90)),"")=0,"",IFERROR(INDEX($A$9:$W$304,$AS91,COLUMNS($AV$9:AV90)),""))</f>
        <v>Flame Spike</v>
      </c>
      <c r="AW91" s="1">
        <f>IFERROR(INDEX($A$9:$W$304,$AS91,COLUMNS($AV$9:AW90)),"")</f>
        <v>0</v>
      </c>
      <c r="AX91" s="1" t="str">
        <f>IF(IFERROR(INDEX($A$9:$X$304,$AS91,COLUMNS($AV$9:AX90)),"")=0,"",IFERROR(INDEX($A$9:$X$304,$AS91,COLUMNS($AV$9:AX90)),""))</f>
        <v>WILD</v>
      </c>
      <c r="AY91" s="1" t="str">
        <f>IF(IFERROR(INDEX($A$9:$X$304,$AS91,COLUMNS($AV$9:AY90)),"")=0,"",IFERROR(INDEX($A$9:$X$304,$AS91,COLUMNS($AV$9:AY90)),""))</f>
        <v/>
      </c>
      <c r="AZ91" s="1" t="str">
        <f>IF(IFERROR(INDEX($A$9:$X$304,$AS91,COLUMNS($AV$9:AZ90)),"")=0,"",IFERROR(INDEX($A$9:$X$304,$AS91,COLUMNS($AV$9:AZ90)),""))</f>
        <v>EVENT</v>
      </c>
      <c r="BA91" s="1" t="str">
        <f>IF(IFERROR(INDEX($A$9:$X$304,$AS91,COLUMNS($AV$9:BA90)),"")=0,"",IFERROR(INDEX($A$9:$X$304,$AS91,COLUMNS($AV$9:BA90)),""))</f>
        <v/>
      </c>
      <c r="BB91" s="1" t="str">
        <f>IF(IFERROR(INDEX($A$9:$X$304,$AS91,COLUMNS($AV$9:BB90)),"")=0,"",IFERROR(INDEX($A$9:$X$304,$AS91,COLUMNS($AV$9:BB90)),""))</f>
        <v/>
      </c>
      <c r="BC91" s="1" t="str">
        <f>IF(IFERROR(INDEX($A$9:$X$304,$AS91,COLUMNS($AV$9:BC90)),"")=0,"",IFERROR(INDEX($A$9:$X$304,$AS91,COLUMNS($AV$9:BC90)),""))</f>
        <v>Deal 2 damage to a target.</v>
      </c>
      <c r="BD91" s="1" t="str">
        <f>IF(IFERROR(INDEX($A$9:$X$304,$AS91,COLUMNS($AV$9:BD90)),"")=0,"",IFERROR(INDEX($A$9:$X$304,$AS91,COLUMNS($AV$9:BD90)),""))</f>
        <v>Recycle</v>
      </c>
      <c r="BE91" s="1" t="str">
        <f>IF(IFERROR(INDEX($A$9:$X$304,$AS91,COLUMNS($AV$9:BE90)),"")=0,"",IFERROR(INDEX($A$9:$X$304,$AS91,COLUMNS($AV$9:BE90)),""))</f>
        <v/>
      </c>
      <c r="BF91" s="1" t="str">
        <f>IF(IFERROR(INDEX($A$9:$X$304,$AS91,COLUMNS($AV$9:BF90)),"")=0,"",IFERROR(INDEX($A$9:$X$304,$AS91,COLUMNS($AV$9:BF90)),""))</f>
        <v/>
      </c>
      <c r="BG91" s="1" t="str">
        <f>IF(IFERROR(INDEX($A$9:$X$304,$AS91,COLUMNS($AV$9:BG90)),"")=0,"",IFERROR(INDEX($A$9:$X$304,$AS91,COLUMNS($AV$9:BG90)),""))</f>
        <v/>
      </c>
      <c r="BH91" s="1" t="str">
        <f>IF(IFERROR(INDEX($A$9:$X$304,$AS91,COLUMNS($AV$9:BH90)),"")=0,"",IFERROR(INDEX($A$9:$X$304,$AS91,COLUMNS($AV$9:BH90)),""))</f>
        <v/>
      </c>
      <c r="BI91" s="1" t="str">
        <f>IF(IFERROR(INDEX($A$9:$X$304,$AS91,COLUMNS($AV$9:BI90)),"")=0,"",IFERROR(INDEX($A$9:$X$304,$AS91,COLUMNS($AV$9:BI90)),""))</f>
        <v/>
      </c>
      <c r="BJ91" s="1" t="str">
        <f>IF(IFERROR(INDEX($A$9:$X$304,$AS91,COLUMNS($AV$9:BJ90)),"")=0,"",IFERROR(INDEX($A$9:$X$304,$AS91,COLUMNS($AV$9:BJ90)),""))</f>
        <v>None</v>
      </c>
      <c r="BK91" s="1" t="str">
        <f>IF(IFERROR(INDEX($A$9:$X$304,$AS91,COLUMNS($AV$9:BK90)),"")=0,"",IFERROR(INDEX($A$9:$X$304,$AS91,COLUMNS($AV$9:BK90)),""))</f>
        <v>Common</v>
      </c>
      <c r="BL91" s="1" t="str">
        <f>IF(IFERROR(INDEX($A$9:$X$304,$AS91,COLUMNS($AV$9:BL90)),"")=0,"",IFERROR(INDEX($A$9:$X$304,$AS91,COLUMNS($AV$9:BL90)),""))</f>
        <v>Antonis Papantoniou</v>
      </c>
      <c r="BM91" s="1" t="str">
        <f>IF(IFERROR(INDEX($A$9:$X$304,$AS91,COLUMNS($AV$9:BM90)),"")=0,"",IFERROR(INDEX($A$9:$X$304,$AS91,COLUMNS($AV$9:BM90)),""))</f>
        <v>Uprising: Velden's Wrath</v>
      </c>
      <c r="BN91" s="3" t="b">
        <f>IF(IFERROR(INDEX($A$9:$X$304,$AS91,COLUMNS($AV$9:BN90)),"")=0,"",IFERROR(INDEX($A$9:$X$304,$AS91,COLUMNS($AV$9:BN90)),""))</f>
        <v>0</v>
      </c>
      <c r="BO91" s="3" t="b">
        <f>IF(IFERROR(INDEX($A$9:$X$304,$AS91,COLUMNS($AV$9:BO90)),"")=0,"",IFERROR(INDEX($A$9:$X$304,$AS91,COLUMNS($AV$9:BO90)),""))</f>
        <v>0</v>
      </c>
      <c r="BP91" s="3" t="b">
        <f>IF(IFERROR(INDEX($A$9:$X$304,$AS91,COLUMNS($AV$9:BP90)),"")=0,"",IFERROR(INDEX($A$9:$X$304,$AS91,COLUMNS($AV$9:BP90)),""))</f>
        <v>0</v>
      </c>
      <c r="BQ91" s="3" t="b">
        <f>IF(IFERROR(INDEX($A$9:$X$304,$AS91,COLUMNS($AV$9:BQ90)),"")=0,"",IFERROR(INDEX($A$9:$X$304,$AS91,COLUMNS($AV$9:BQ90)),""))</f>
        <v>0</v>
      </c>
      <c r="BR91" s="3" t="str">
        <f>IF(IFERROR(INDEX($A$9:$X$304,$AS91,COLUMNS($AV$9:BR90)),"")=0,"",IFERROR(INDEX($A$9:$X$304,$AS91,COLUMNS($AV$9:BR90)),""))</f>
        <v>https://www.epiccardgame.com/wp-content/uploads/2017/11/UPV-EN-flame-spike.jpg</v>
      </c>
      <c r="BS91" s="3" t="str">
        <f>IF(IFERROR(INDEX($A$9:$X$304,$AS91,COLUMNS($AV$9:BS90)),"")=0,"",IFERROR(INDEX($A$9:$X$304,$AS91,COLUMNS($AV$9:BS90)),""))</f>
        <v/>
      </c>
      <c r="BT91" s="3"/>
      <c r="BU91" s="15"/>
      <c r="BV91" t="s">
        <v>112</v>
      </c>
    </row>
    <row r="92" spans="1:74" ht="225.2" customHeight="1" x14ac:dyDescent="0.25">
      <c r="A92" t="s">
        <v>409</v>
      </c>
      <c r="B92">
        <v>1</v>
      </c>
      <c r="C92" t="s">
        <v>615</v>
      </c>
      <c r="E92" t="s">
        <v>619</v>
      </c>
      <c r="H92" t="s">
        <v>666</v>
      </c>
      <c r="O92" t="s">
        <v>1062</v>
      </c>
      <c r="P92" t="s">
        <v>1112</v>
      </c>
      <c r="Q92" t="s">
        <v>1118</v>
      </c>
      <c r="R92" t="s">
        <v>1171</v>
      </c>
      <c r="S92" t="b">
        <v>1</v>
      </c>
      <c r="T92" t="b">
        <v>0</v>
      </c>
      <c r="U92" t="b">
        <v>0</v>
      </c>
      <c r="V92" t="b">
        <v>0</v>
      </c>
      <c r="W92" s="2" t="s">
        <v>1267</v>
      </c>
      <c r="X92" s="2"/>
      <c r="Y92" s="24">
        <v>84</v>
      </c>
      <c r="Z92">
        <f t="shared" si="20"/>
        <v>84</v>
      </c>
      <c r="AA92">
        <f t="shared" si="21"/>
        <v>84</v>
      </c>
      <c r="AB92">
        <f t="shared" si="22"/>
        <v>84</v>
      </c>
      <c r="AC92">
        <f t="shared" si="23"/>
        <v>0</v>
      </c>
      <c r="AD92">
        <f t="shared" si="24"/>
        <v>84</v>
      </c>
      <c r="AE92">
        <f t="shared" si="25"/>
        <v>0</v>
      </c>
      <c r="AF92">
        <f t="shared" si="26"/>
        <v>0</v>
      </c>
      <c r="AG92">
        <f t="shared" si="27"/>
        <v>84</v>
      </c>
      <c r="AH92">
        <f t="shared" si="28"/>
        <v>0</v>
      </c>
      <c r="AI92">
        <f t="shared" si="29"/>
        <v>0</v>
      </c>
      <c r="AJ92">
        <f t="shared" si="30"/>
        <v>0</v>
      </c>
      <c r="AK92">
        <f t="shared" si="31"/>
        <v>0</v>
      </c>
      <c r="AL92">
        <f t="shared" si="32"/>
        <v>0</v>
      </c>
      <c r="AM92">
        <f t="shared" si="33"/>
        <v>0</v>
      </c>
      <c r="AN92">
        <f t="shared" si="34"/>
        <v>84</v>
      </c>
      <c r="AO92">
        <f t="shared" si="35"/>
        <v>84</v>
      </c>
      <c r="AP92">
        <f t="shared" si="36"/>
        <v>84</v>
      </c>
      <c r="AQ92">
        <f t="shared" si="37"/>
        <v>84</v>
      </c>
      <c r="AR92" s="6">
        <f t="shared" si="38"/>
        <v>84</v>
      </c>
      <c r="AS92">
        <f t="shared" si="39"/>
        <v>84</v>
      </c>
      <c r="AV92" s="1" t="str">
        <f>IF(IFERROR(INDEX($A$9:$W$304,$AS92,COLUMNS($AV$9:AV91)),"")=0,"",IFERROR(INDEX($A$9:$W$304,$AS92,COLUMNS($AV$9:AV91)),""))</f>
        <v>Flame Strike</v>
      </c>
      <c r="AW92" s="1">
        <f>IFERROR(INDEX($A$9:$W$304,$AS92,COLUMNS($AV$9:AW91)),"")</f>
        <v>1</v>
      </c>
      <c r="AX92" s="1" t="str">
        <f>IF(IFERROR(INDEX($A$9:$X$304,$AS92,COLUMNS($AV$9:AX91)),"")=0,"",IFERROR(INDEX($A$9:$X$304,$AS92,COLUMNS($AV$9:AX91)),""))</f>
        <v>WILD</v>
      </c>
      <c r="AY92" s="1" t="str">
        <f>IF(IFERROR(INDEX($A$9:$X$304,$AS92,COLUMNS($AV$9:AY91)),"")=0,"",IFERROR(INDEX($A$9:$X$304,$AS92,COLUMNS($AV$9:AY91)),""))</f>
        <v/>
      </c>
      <c r="AZ92" s="1" t="str">
        <f>IF(IFERROR(INDEX($A$9:$X$304,$AS92,COLUMNS($AV$9:AZ91)),"")=0,"",IFERROR(INDEX($A$9:$X$304,$AS92,COLUMNS($AV$9:AZ91)),""))</f>
        <v>EVENT</v>
      </c>
      <c r="BA92" s="1" t="str">
        <f>IF(IFERROR(INDEX($A$9:$X$304,$AS92,COLUMNS($AV$9:BA91)),"")=0,"",IFERROR(INDEX($A$9:$X$304,$AS92,COLUMNS($AV$9:BA91)),""))</f>
        <v/>
      </c>
      <c r="BB92" s="1" t="str">
        <f>IF(IFERROR(INDEX($A$9:$X$304,$AS92,COLUMNS($AV$9:BB91)),"")=0,"",IFERROR(INDEX($A$9:$X$304,$AS92,COLUMNS($AV$9:BB91)),""))</f>
        <v/>
      </c>
      <c r="BC92" s="1" t="str">
        <f>IF(IFERROR(INDEX($A$9:$X$304,$AS92,COLUMNS($AV$9:BC91)),"")=0,"",IFERROR(INDEX($A$9:$X$304,$AS92,COLUMNS($AV$9:BC91)),""))</f>
        <v>Deal 8 damage to a target.</v>
      </c>
      <c r="BD92" s="1" t="str">
        <f>IF(IFERROR(INDEX($A$9:$X$304,$AS92,COLUMNS($AV$9:BD91)),"")=0,"",IFERROR(INDEX($A$9:$X$304,$AS92,COLUMNS($AV$9:BD91)),""))</f>
        <v/>
      </c>
      <c r="BE92" s="1" t="str">
        <f>IF(IFERROR(INDEX($A$9:$X$304,$AS92,COLUMNS($AV$9:BE91)),"")=0,"",IFERROR(INDEX($A$9:$X$304,$AS92,COLUMNS($AV$9:BE91)),""))</f>
        <v/>
      </c>
      <c r="BF92" s="1" t="str">
        <f>IF(IFERROR(INDEX($A$9:$X$304,$AS92,COLUMNS($AV$9:BF91)),"")=0,"",IFERROR(INDEX($A$9:$X$304,$AS92,COLUMNS($AV$9:BF91)),""))</f>
        <v/>
      </c>
      <c r="BG92" s="1" t="str">
        <f>IF(IFERROR(INDEX($A$9:$X$304,$AS92,COLUMNS($AV$9:BG91)),"")=0,"",IFERROR(INDEX($A$9:$X$304,$AS92,COLUMNS($AV$9:BG91)),""))</f>
        <v/>
      </c>
      <c r="BH92" s="1" t="str">
        <f>IF(IFERROR(INDEX($A$9:$X$304,$AS92,COLUMNS($AV$9:BH91)),"")=0,"",IFERROR(INDEX($A$9:$X$304,$AS92,COLUMNS($AV$9:BH91)),""))</f>
        <v/>
      </c>
      <c r="BI92" s="1" t="str">
        <f>IF(IFERROR(INDEX($A$9:$X$304,$AS92,COLUMNS($AV$9:BI91)),"")=0,"",IFERROR(INDEX($A$9:$X$304,$AS92,COLUMNS($AV$9:BI91)),""))</f>
        <v/>
      </c>
      <c r="BJ92" s="1" t="str">
        <f>IF(IFERROR(INDEX($A$9:$X$304,$AS92,COLUMNS($AV$9:BJ91)),"")=0,"",IFERROR(INDEX($A$9:$X$304,$AS92,COLUMNS($AV$9:BJ91)),""))</f>
        <v>None</v>
      </c>
      <c r="BK92" s="1" t="str">
        <f>IF(IFERROR(INDEX($A$9:$X$304,$AS92,COLUMNS($AV$9:BK91)),"")=0,"",IFERROR(INDEX($A$9:$X$304,$AS92,COLUMNS($AV$9:BK91)),""))</f>
        <v>Common</v>
      </c>
      <c r="BL92" s="1" t="str">
        <f>IF(IFERROR(INDEX($A$9:$X$304,$AS92,COLUMNS($AV$9:BL91)),"")=0,"",IFERROR(INDEX($A$9:$X$304,$AS92,COLUMNS($AV$9:BL91)),""))</f>
        <v>L.Sean</v>
      </c>
      <c r="BM92" s="1" t="str">
        <f>IF(IFERROR(INDEX($A$9:$X$304,$AS92,COLUMNS($AV$9:BM91)),"")=0,"",IFERROR(INDEX($A$9:$X$304,$AS92,COLUMNS($AV$9:BM91)),""))</f>
        <v>Base Set</v>
      </c>
      <c r="BN92" s="3" t="b">
        <f>IF(IFERROR(INDEX($A$9:$X$304,$AS92,COLUMNS($AV$9:BN91)),"")=0,"",IFERROR(INDEX($A$9:$X$304,$AS92,COLUMNS($AV$9:BN91)),""))</f>
        <v>1</v>
      </c>
      <c r="BO92" s="3" t="b">
        <f>IF(IFERROR(INDEX($A$9:$X$304,$AS92,COLUMNS($AV$9:BO91)),"")=0,"",IFERROR(INDEX($A$9:$X$304,$AS92,COLUMNS($AV$9:BO91)),""))</f>
        <v>0</v>
      </c>
      <c r="BP92" s="3" t="b">
        <f>IF(IFERROR(INDEX($A$9:$X$304,$AS92,COLUMNS($AV$9:BP91)),"")=0,"",IFERROR(INDEX($A$9:$X$304,$AS92,COLUMNS($AV$9:BP91)),""))</f>
        <v>0</v>
      </c>
      <c r="BQ92" s="3" t="b">
        <f>IF(IFERROR(INDEX($A$9:$X$304,$AS92,COLUMNS($AV$9:BQ91)),"")=0,"",IFERROR(INDEX($A$9:$X$304,$AS92,COLUMNS($AV$9:BQ91)),""))</f>
        <v>0</v>
      </c>
      <c r="BR92" s="3" t="str">
        <f>IF(IFERROR(INDEX($A$9:$X$304,$AS92,COLUMNS($AV$9:BR91)),"")=0,"",IFERROR(INDEX($A$9:$X$304,$AS92,COLUMNS($AV$9:BR91)),""))</f>
        <v>http://www.epiccardgame.com/wp-content/uploads/2015/09/flame_strike-215x300.jpg</v>
      </c>
      <c r="BS92" s="3" t="str">
        <f>IF(IFERROR(INDEX($A$9:$X$304,$AS92,COLUMNS($AV$9:BS91)),"")=0,"",IFERROR(INDEX($A$9:$X$304,$AS92,COLUMNS($AV$9:BS91)),""))</f>
        <v/>
      </c>
      <c r="BT92" s="3"/>
      <c r="BU92" s="15"/>
      <c r="BV92" t="s">
        <v>113</v>
      </c>
    </row>
    <row r="93" spans="1:74" ht="225.2" customHeight="1" x14ac:dyDescent="0.25">
      <c r="A93" t="s">
        <v>410</v>
      </c>
      <c r="B93">
        <v>1</v>
      </c>
      <c r="C93" t="s">
        <v>615</v>
      </c>
      <c r="E93" t="s">
        <v>619</v>
      </c>
      <c r="H93" t="s">
        <v>627</v>
      </c>
      <c r="I93" t="s">
        <v>826</v>
      </c>
      <c r="O93" t="s">
        <v>1062</v>
      </c>
      <c r="P93" t="s">
        <v>1113</v>
      </c>
      <c r="Q93" t="s">
        <v>1140</v>
      </c>
      <c r="R93" t="s">
        <v>1173</v>
      </c>
      <c r="S93" t="b">
        <v>1</v>
      </c>
      <c r="T93" t="b">
        <v>1</v>
      </c>
      <c r="U93" t="b">
        <v>0</v>
      </c>
      <c r="V93" t="b">
        <v>0</v>
      </c>
      <c r="W93" s="2" t="s">
        <v>1268</v>
      </c>
      <c r="X93" s="2"/>
      <c r="Y93" s="24">
        <v>85</v>
      </c>
      <c r="Z93">
        <f t="shared" si="20"/>
        <v>85</v>
      </c>
      <c r="AA93">
        <f t="shared" si="21"/>
        <v>85</v>
      </c>
      <c r="AB93">
        <f t="shared" si="22"/>
        <v>85</v>
      </c>
      <c r="AC93">
        <f t="shared" si="23"/>
        <v>0</v>
      </c>
      <c r="AD93">
        <f t="shared" si="24"/>
        <v>85</v>
      </c>
      <c r="AE93">
        <f t="shared" si="25"/>
        <v>0</v>
      </c>
      <c r="AF93">
        <f t="shared" si="26"/>
        <v>0</v>
      </c>
      <c r="AG93">
        <f t="shared" si="27"/>
        <v>85</v>
      </c>
      <c r="AH93">
        <f t="shared" si="28"/>
        <v>85</v>
      </c>
      <c r="AI93">
        <f t="shared" si="29"/>
        <v>0</v>
      </c>
      <c r="AJ93">
        <f t="shared" si="30"/>
        <v>0</v>
      </c>
      <c r="AK93">
        <f t="shared" si="31"/>
        <v>0</v>
      </c>
      <c r="AL93">
        <f t="shared" si="32"/>
        <v>0</v>
      </c>
      <c r="AM93">
        <f t="shared" si="33"/>
        <v>0</v>
      </c>
      <c r="AN93">
        <f t="shared" si="34"/>
        <v>85</v>
      </c>
      <c r="AO93">
        <f t="shared" si="35"/>
        <v>85</v>
      </c>
      <c r="AP93">
        <f t="shared" si="36"/>
        <v>85</v>
      </c>
      <c r="AQ93">
        <f t="shared" si="37"/>
        <v>85</v>
      </c>
      <c r="AR93" s="6">
        <f t="shared" si="38"/>
        <v>85</v>
      </c>
      <c r="AS93">
        <f t="shared" si="39"/>
        <v>85</v>
      </c>
      <c r="AV93" s="1" t="str">
        <f>IF(IFERROR(INDEX($A$9:$W$304,$AS93,COLUMNS($AV$9:AV92)),"")=0,"",IFERROR(INDEX($A$9:$W$304,$AS93,COLUMNS($AV$9:AV92)),""))</f>
        <v>Flames of Furios</v>
      </c>
      <c r="AW93" s="1">
        <f>IFERROR(INDEX($A$9:$W$304,$AS93,COLUMNS($AV$9:AW92)),"")</f>
        <v>1</v>
      </c>
      <c r="AX93" s="1" t="str">
        <f>IF(IFERROR(INDEX($A$9:$X$304,$AS93,COLUMNS($AV$9:AX92)),"")=0,"",IFERROR(INDEX($A$9:$X$304,$AS93,COLUMNS($AV$9:AX92)),""))</f>
        <v>WILD</v>
      </c>
      <c r="AY93" s="1" t="str">
        <f>IF(IFERROR(INDEX($A$9:$X$304,$AS93,COLUMNS($AV$9:AY92)),"")=0,"",IFERROR(INDEX($A$9:$X$304,$AS93,COLUMNS($AV$9:AY92)),""))</f>
        <v/>
      </c>
      <c r="AZ93" s="1" t="str">
        <f>IF(IFERROR(INDEX($A$9:$X$304,$AS93,COLUMNS($AV$9:AZ92)),"")=0,"",IFERROR(INDEX($A$9:$X$304,$AS93,COLUMNS($AV$9:AZ92)),""))</f>
        <v>EVENT</v>
      </c>
      <c r="BA93" s="1" t="str">
        <f>IF(IFERROR(INDEX($A$9:$X$304,$AS93,COLUMNS($AV$9:BA92)),"")=0,"",IFERROR(INDEX($A$9:$X$304,$AS93,COLUMNS($AV$9:BA92)),""))</f>
        <v/>
      </c>
      <c r="BB93" s="1" t="str">
        <f>IF(IFERROR(INDEX($A$9:$X$304,$AS93,COLUMNS($AV$9:BB92)),"")=0,"",IFERROR(INDEX($A$9:$X$304,$AS93,COLUMNS($AV$9:BB92)),""))</f>
        <v/>
      </c>
      <c r="BC93" s="1" t="str">
        <f>IF(IFERROR(INDEX($A$9:$X$304,$AS93,COLUMNS($AV$9:BC92)),"")=0,"",IFERROR(INDEX($A$9:$X$304,$AS93,COLUMNS($AV$9:BC92)),""))</f>
        <v>Draw two cards.</v>
      </c>
      <c r="BD93" s="1" t="str">
        <f>IF(IFERROR(INDEX($A$9:$X$304,$AS93,COLUMNS($AV$9:BD92)),"")=0,"",IFERROR(INDEX($A$9:$X$304,$AS93,COLUMNS($AV$9:BD92)),""))</f>
        <v>Deal 7 damage to each champion. Deal damage to each player equal to the number of their champions broken in this way.</v>
      </c>
      <c r="BE93" s="1" t="str">
        <f>IF(IFERROR(INDEX($A$9:$X$304,$AS93,COLUMNS($AV$9:BE92)),"")=0,"",IFERROR(INDEX($A$9:$X$304,$AS93,COLUMNS($AV$9:BE92)),""))</f>
        <v/>
      </c>
      <c r="BF93" s="1" t="str">
        <f>IF(IFERROR(INDEX($A$9:$X$304,$AS93,COLUMNS($AV$9:BF92)),"")=0,"",IFERROR(INDEX($A$9:$X$304,$AS93,COLUMNS($AV$9:BF92)),""))</f>
        <v/>
      </c>
      <c r="BG93" s="1" t="str">
        <f>IF(IFERROR(INDEX($A$9:$X$304,$AS93,COLUMNS($AV$9:BG92)),"")=0,"",IFERROR(INDEX($A$9:$X$304,$AS93,COLUMNS($AV$9:BG92)),""))</f>
        <v/>
      </c>
      <c r="BH93" s="1" t="str">
        <f>IF(IFERROR(INDEX($A$9:$X$304,$AS93,COLUMNS($AV$9:BH92)),"")=0,"",IFERROR(INDEX($A$9:$X$304,$AS93,COLUMNS($AV$9:BH92)),""))</f>
        <v/>
      </c>
      <c r="BI93" s="1" t="str">
        <f>IF(IFERROR(INDEX($A$9:$X$304,$AS93,COLUMNS($AV$9:BI92)),"")=0,"",IFERROR(INDEX($A$9:$X$304,$AS93,COLUMNS($AV$9:BI92)),""))</f>
        <v/>
      </c>
      <c r="BJ93" s="1" t="str">
        <f>IF(IFERROR(INDEX($A$9:$X$304,$AS93,COLUMNS($AV$9:BJ92)),"")=0,"",IFERROR(INDEX($A$9:$X$304,$AS93,COLUMNS($AV$9:BJ92)),""))</f>
        <v>None</v>
      </c>
      <c r="BK93" s="1" t="str">
        <f>IF(IFERROR(INDEX($A$9:$X$304,$AS93,COLUMNS($AV$9:BK92)),"")=0,"",IFERROR(INDEX($A$9:$X$304,$AS93,COLUMNS($AV$9:BK92)),""))</f>
        <v>Rare</v>
      </c>
      <c r="BL93" s="1" t="str">
        <f>IF(IFERROR(INDEX($A$9:$X$304,$AS93,COLUMNS($AV$9:BL92)),"")=0,"",IFERROR(INDEX($A$9:$X$304,$AS93,COLUMNS($AV$9:BL92)),""))</f>
        <v>Ksenia Kozhevnikova</v>
      </c>
      <c r="BM93" s="1" t="str">
        <f>IF(IFERROR(INDEX($A$9:$X$304,$AS93,COLUMNS($AV$9:BM92)),"")=0,"",IFERROR(INDEX($A$9:$X$304,$AS93,COLUMNS($AV$9:BM92)),""))</f>
        <v>Pantheon: Angeline vs Scara</v>
      </c>
      <c r="BN93" s="3" t="b">
        <f>IF(IFERROR(INDEX($A$9:$X$304,$AS93,COLUMNS($AV$9:BN92)),"")=0,"",IFERROR(INDEX($A$9:$X$304,$AS93,COLUMNS($AV$9:BN92)),""))</f>
        <v>1</v>
      </c>
      <c r="BO93" s="3" t="b">
        <f>IF(IFERROR(INDEX($A$9:$X$304,$AS93,COLUMNS($AV$9:BO92)),"")=0,"",IFERROR(INDEX($A$9:$X$304,$AS93,COLUMNS($AV$9:BO92)),""))</f>
        <v>1</v>
      </c>
      <c r="BP93" s="3" t="b">
        <f>IF(IFERROR(INDEX($A$9:$X$304,$AS93,COLUMNS($AV$9:BP92)),"")=0,"",IFERROR(INDEX($A$9:$X$304,$AS93,COLUMNS($AV$9:BP92)),""))</f>
        <v>0</v>
      </c>
      <c r="BQ93" s="3" t="b">
        <f>IF(IFERROR(INDEX($A$9:$X$304,$AS93,COLUMNS($AV$9:BQ92)),"")=0,"",IFERROR(INDEX($A$9:$X$304,$AS93,COLUMNS($AV$9:BQ92)),""))</f>
        <v>0</v>
      </c>
      <c r="BR93" s="3" t="str">
        <f>IF(IFERROR(INDEX($A$9:$X$304,$AS93,COLUMNS($AV$9:BR92)),"")=0,"",IFERROR(INDEX($A$9:$X$304,$AS93,COLUMNS($AV$9:BR92)),""))</f>
        <v>https://www.epiccardgame.com/wp-content/uploads/2017/11/PNA-EN-14-flames-of-furios.jpg</v>
      </c>
      <c r="BS93" s="3" t="str">
        <f>IF(IFERROR(INDEX($A$9:$X$304,$AS93,COLUMNS($AV$9:BS92)),"")=0,"",IFERROR(INDEX($A$9:$X$304,$AS93,COLUMNS($AV$9:BS92)),""))</f>
        <v/>
      </c>
      <c r="BT93" s="3"/>
      <c r="BU93" s="15"/>
      <c r="BV93" t="s">
        <v>114</v>
      </c>
    </row>
    <row r="94" spans="1:74" ht="225.2" customHeight="1" x14ac:dyDescent="0.25">
      <c r="A94" t="s">
        <v>411</v>
      </c>
      <c r="B94">
        <v>0</v>
      </c>
      <c r="C94" t="s">
        <v>615</v>
      </c>
      <c r="E94" t="s">
        <v>619</v>
      </c>
      <c r="H94" t="s">
        <v>667</v>
      </c>
      <c r="I94" t="s">
        <v>769</v>
      </c>
      <c r="O94" t="s">
        <v>1062</v>
      </c>
      <c r="P94" t="s">
        <v>1112</v>
      </c>
      <c r="Q94" t="s">
        <v>1124</v>
      </c>
      <c r="R94" t="s">
        <v>1171</v>
      </c>
      <c r="S94" t="b">
        <v>1</v>
      </c>
      <c r="T94" t="b">
        <v>1</v>
      </c>
      <c r="U94" t="b">
        <v>0</v>
      </c>
      <c r="V94" t="b">
        <v>0</v>
      </c>
      <c r="W94" s="2" t="s">
        <v>1269</v>
      </c>
      <c r="X94" s="2"/>
      <c r="Y94" s="24">
        <v>86</v>
      </c>
      <c r="Z94">
        <f t="shared" si="20"/>
        <v>86</v>
      </c>
      <c r="AA94">
        <f t="shared" si="21"/>
        <v>86</v>
      </c>
      <c r="AB94">
        <f t="shared" si="22"/>
        <v>86</v>
      </c>
      <c r="AC94">
        <f t="shared" si="23"/>
        <v>0</v>
      </c>
      <c r="AD94">
        <f t="shared" si="24"/>
        <v>86</v>
      </c>
      <c r="AE94">
        <f t="shared" si="25"/>
        <v>0</v>
      </c>
      <c r="AF94">
        <f t="shared" si="26"/>
        <v>0</v>
      </c>
      <c r="AG94">
        <f t="shared" si="27"/>
        <v>86</v>
      </c>
      <c r="AH94">
        <f t="shared" si="28"/>
        <v>86</v>
      </c>
      <c r="AI94">
        <f t="shared" si="29"/>
        <v>0</v>
      </c>
      <c r="AJ94">
        <f t="shared" si="30"/>
        <v>0</v>
      </c>
      <c r="AK94">
        <f t="shared" si="31"/>
        <v>0</v>
      </c>
      <c r="AL94">
        <f t="shared" si="32"/>
        <v>0</v>
      </c>
      <c r="AM94">
        <f t="shared" si="33"/>
        <v>0</v>
      </c>
      <c r="AN94">
        <f t="shared" si="34"/>
        <v>86</v>
      </c>
      <c r="AO94">
        <f t="shared" si="35"/>
        <v>86</v>
      </c>
      <c r="AP94">
        <f t="shared" si="36"/>
        <v>86</v>
      </c>
      <c r="AQ94">
        <f t="shared" si="37"/>
        <v>86</v>
      </c>
      <c r="AR94" s="6">
        <f t="shared" si="38"/>
        <v>86</v>
      </c>
      <c r="AS94">
        <f t="shared" si="39"/>
        <v>86</v>
      </c>
      <c r="AV94" s="1" t="str">
        <f>IF(IFERROR(INDEX($A$9:$W$304,$AS94,COLUMNS($AV$9:AV93)),"")=0,"",IFERROR(INDEX($A$9:$W$304,$AS94,COLUMNS($AV$9:AV93)),""))</f>
        <v>Flash Fire</v>
      </c>
      <c r="AW94" s="1">
        <f>IFERROR(INDEX($A$9:$W$304,$AS94,COLUMNS($AV$9:AW93)),"")</f>
        <v>0</v>
      </c>
      <c r="AX94" s="1" t="str">
        <f>IF(IFERROR(INDEX($A$9:$X$304,$AS94,COLUMNS($AV$9:AX93)),"")=0,"",IFERROR(INDEX($A$9:$X$304,$AS94,COLUMNS($AV$9:AX93)),""))</f>
        <v>WILD</v>
      </c>
      <c r="AY94" s="1" t="str">
        <f>IF(IFERROR(INDEX($A$9:$X$304,$AS94,COLUMNS($AV$9:AY93)),"")=0,"",IFERROR(INDEX($A$9:$X$304,$AS94,COLUMNS($AV$9:AY93)),""))</f>
        <v/>
      </c>
      <c r="AZ94" s="1" t="str">
        <f>IF(IFERROR(INDEX($A$9:$X$304,$AS94,COLUMNS($AV$9:AZ93)),"")=0,"",IFERROR(INDEX($A$9:$X$304,$AS94,COLUMNS($AV$9:AZ93)),""))</f>
        <v>EVENT</v>
      </c>
      <c r="BA94" s="1" t="str">
        <f>IF(IFERROR(INDEX($A$9:$X$304,$AS94,COLUMNS($AV$9:BA93)),"")=0,"",IFERROR(INDEX($A$9:$X$304,$AS94,COLUMNS($AV$9:BA93)),""))</f>
        <v/>
      </c>
      <c r="BB94" s="1" t="str">
        <f>IF(IFERROR(INDEX($A$9:$X$304,$AS94,COLUMNS($AV$9:BB93)),"")=0,"",IFERROR(INDEX($A$9:$X$304,$AS94,COLUMNS($AV$9:BB93)),""))</f>
        <v/>
      </c>
      <c r="BC94" s="1" t="str">
        <f>IF(IFERROR(INDEX($A$9:$X$304,$AS94,COLUMNS($AV$9:BC93)),"")=0,"",IFERROR(INDEX($A$9:$X$304,$AS94,COLUMNS($AV$9:BC93)),""))</f>
        <v>Deal 2 damage to each champion and player.</v>
      </c>
      <c r="BD94" s="1" t="str">
        <f>IF(IFERROR(INDEX($A$9:$X$304,$AS94,COLUMNS($AV$9:BD93)),"")=0,"",IFERROR(INDEX($A$9:$X$304,$AS94,COLUMNS($AV$9:BD93)),""))</f>
        <v>{1}: Draw two cards.</v>
      </c>
      <c r="BE94" s="1" t="str">
        <f>IF(IFERROR(INDEX($A$9:$X$304,$AS94,COLUMNS($AV$9:BE93)),"")=0,"",IFERROR(INDEX($A$9:$X$304,$AS94,COLUMNS($AV$9:BE93)),""))</f>
        <v/>
      </c>
      <c r="BF94" s="1" t="str">
        <f>IF(IFERROR(INDEX($A$9:$X$304,$AS94,COLUMNS($AV$9:BF93)),"")=0,"",IFERROR(INDEX($A$9:$X$304,$AS94,COLUMNS($AV$9:BF93)),""))</f>
        <v/>
      </c>
      <c r="BG94" s="1" t="str">
        <f>IF(IFERROR(INDEX($A$9:$X$304,$AS94,COLUMNS($AV$9:BG93)),"")=0,"",IFERROR(INDEX($A$9:$X$304,$AS94,COLUMNS($AV$9:BG93)),""))</f>
        <v/>
      </c>
      <c r="BH94" s="1" t="str">
        <f>IF(IFERROR(INDEX($A$9:$X$304,$AS94,COLUMNS($AV$9:BH93)),"")=0,"",IFERROR(INDEX($A$9:$X$304,$AS94,COLUMNS($AV$9:BH93)),""))</f>
        <v/>
      </c>
      <c r="BI94" s="1" t="str">
        <f>IF(IFERROR(INDEX($A$9:$X$304,$AS94,COLUMNS($AV$9:BI93)),"")=0,"",IFERROR(INDEX($A$9:$X$304,$AS94,COLUMNS($AV$9:BI93)),""))</f>
        <v/>
      </c>
      <c r="BJ94" s="1" t="str">
        <f>IF(IFERROR(INDEX($A$9:$X$304,$AS94,COLUMNS($AV$9:BJ93)),"")=0,"",IFERROR(INDEX($A$9:$X$304,$AS94,COLUMNS($AV$9:BJ93)),""))</f>
        <v>None</v>
      </c>
      <c r="BK94" s="1" t="str">
        <f>IF(IFERROR(INDEX($A$9:$X$304,$AS94,COLUMNS($AV$9:BK93)),"")=0,"",IFERROR(INDEX($A$9:$X$304,$AS94,COLUMNS($AV$9:BK93)),""))</f>
        <v>Common</v>
      </c>
      <c r="BL94" s="1" t="str">
        <f>IF(IFERROR(INDEX($A$9:$X$304,$AS94,COLUMNS($AV$9:BL93)),"")=0,"",IFERROR(INDEX($A$9:$X$304,$AS94,COLUMNS($AV$9:BL93)),""))</f>
        <v>Souveraine</v>
      </c>
      <c r="BM94" s="1" t="str">
        <f>IF(IFERROR(INDEX($A$9:$X$304,$AS94,COLUMNS($AV$9:BM93)),"")=0,"",IFERROR(INDEX($A$9:$X$304,$AS94,COLUMNS($AV$9:BM93)),""))</f>
        <v>Base Set</v>
      </c>
      <c r="BN94" s="3" t="b">
        <f>IF(IFERROR(INDEX($A$9:$X$304,$AS94,COLUMNS($AV$9:BN93)),"")=0,"",IFERROR(INDEX($A$9:$X$304,$AS94,COLUMNS($AV$9:BN93)),""))</f>
        <v>1</v>
      </c>
      <c r="BO94" s="3" t="b">
        <f>IF(IFERROR(INDEX($A$9:$X$304,$AS94,COLUMNS($AV$9:BO93)),"")=0,"",IFERROR(INDEX($A$9:$X$304,$AS94,COLUMNS($AV$9:BO93)),""))</f>
        <v>1</v>
      </c>
      <c r="BP94" s="3" t="b">
        <f>IF(IFERROR(INDEX($A$9:$X$304,$AS94,COLUMNS($AV$9:BP93)),"")=0,"",IFERROR(INDEX($A$9:$X$304,$AS94,COLUMNS($AV$9:BP93)),""))</f>
        <v>0</v>
      </c>
      <c r="BQ94" s="3" t="b">
        <f>IF(IFERROR(INDEX($A$9:$X$304,$AS94,COLUMNS($AV$9:BQ93)),"")=0,"",IFERROR(INDEX($A$9:$X$304,$AS94,COLUMNS($AV$9:BQ93)),""))</f>
        <v>0</v>
      </c>
      <c r="BR94" s="3" t="str">
        <f>IF(IFERROR(INDEX($A$9:$X$304,$AS94,COLUMNS($AV$9:BR93)),"")=0,"",IFERROR(INDEX($A$9:$X$304,$AS94,COLUMNS($AV$9:BR93)),""))</f>
        <v>http://www.epiccardgame.com/wp-content/uploads/2015/09/flash_fire-215x300.jpg</v>
      </c>
      <c r="BS94" s="3" t="str">
        <f>IF(IFERROR(INDEX($A$9:$X$304,$AS94,COLUMNS($AV$9:BS93)),"")=0,"",IFERROR(INDEX($A$9:$X$304,$AS94,COLUMNS($AV$9:BS93)),""))</f>
        <v/>
      </c>
      <c r="BT94" s="3"/>
      <c r="BU94" s="15"/>
      <c r="BV94" t="s">
        <v>115</v>
      </c>
    </row>
    <row r="95" spans="1:74" ht="225" customHeight="1" x14ac:dyDescent="0.25">
      <c r="A95" t="s">
        <v>412</v>
      </c>
      <c r="B95">
        <v>1</v>
      </c>
      <c r="C95" t="s">
        <v>618</v>
      </c>
      <c r="E95" t="s">
        <v>619</v>
      </c>
      <c r="H95" t="s">
        <v>627</v>
      </c>
      <c r="L95" t="s">
        <v>1046</v>
      </c>
      <c r="O95" t="s">
        <v>1062</v>
      </c>
      <c r="P95" t="s">
        <v>1113</v>
      </c>
      <c r="Q95" t="s">
        <v>1114</v>
      </c>
      <c r="R95" t="s">
        <v>1169</v>
      </c>
      <c r="S95" t="b">
        <v>1</v>
      </c>
      <c r="T95" t="b">
        <v>0</v>
      </c>
      <c r="U95" t="b">
        <v>0</v>
      </c>
      <c r="V95" t="b">
        <v>0</v>
      </c>
      <c r="W95" s="2" t="s">
        <v>1270</v>
      </c>
      <c r="X95" s="2"/>
      <c r="Y95" s="24">
        <v>87</v>
      </c>
      <c r="Z95">
        <f t="shared" si="20"/>
        <v>87</v>
      </c>
      <c r="AA95">
        <f t="shared" si="21"/>
        <v>87</v>
      </c>
      <c r="AB95">
        <f t="shared" si="22"/>
        <v>87</v>
      </c>
      <c r="AC95">
        <f t="shared" si="23"/>
        <v>0</v>
      </c>
      <c r="AD95">
        <f t="shared" si="24"/>
        <v>87</v>
      </c>
      <c r="AE95">
        <f t="shared" si="25"/>
        <v>0</v>
      </c>
      <c r="AF95">
        <f t="shared" si="26"/>
        <v>0</v>
      </c>
      <c r="AG95">
        <f t="shared" si="27"/>
        <v>87</v>
      </c>
      <c r="AH95">
        <f t="shared" si="28"/>
        <v>0</v>
      </c>
      <c r="AI95">
        <f t="shared" si="29"/>
        <v>0</v>
      </c>
      <c r="AJ95">
        <f t="shared" si="30"/>
        <v>0</v>
      </c>
      <c r="AK95">
        <f t="shared" si="31"/>
        <v>87</v>
      </c>
      <c r="AL95">
        <f t="shared" si="32"/>
        <v>0</v>
      </c>
      <c r="AM95">
        <f t="shared" si="33"/>
        <v>0</v>
      </c>
      <c r="AN95">
        <f t="shared" si="34"/>
        <v>87</v>
      </c>
      <c r="AO95">
        <f t="shared" si="35"/>
        <v>87</v>
      </c>
      <c r="AP95">
        <f t="shared" si="36"/>
        <v>87</v>
      </c>
      <c r="AQ95">
        <f t="shared" si="37"/>
        <v>87</v>
      </c>
      <c r="AR95" s="6">
        <f t="shared" si="38"/>
        <v>87</v>
      </c>
      <c r="AS95">
        <f t="shared" si="39"/>
        <v>87</v>
      </c>
      <c r="AV95" s="1" t="str">
        <f>IF(IFERROR(INDEX($A$9:$W$304,$AS95,COLUMNS($AV$9:AV94)),"")=0,"",IFERROR(INDEX($A$9:$W$304,$AS95,COLUMNS($AV$9:AV94)),""))</f>
        <v>Forbidden Research</v>
      </c>
      <c r="AW95" s="1">
        <f>IFERROR(INDEX($A$9:$W$304,$AS95,COLUMNS($AV$9:AW94)),"")</f>
        <v>1</v>
      </c>
      <c r="AX95" s="1" t="str">
        <f>IF(IFERROR(INDEX($A$9:$X$304,$AS95,COLUMNS($AV$9:AX94)),"")=0,"",IFERROR(INDEX($A$9:$X$304,$AS95,COLUMNS($AV$9:AX94)),""))</f>
        <v>EVIL</v>
      </c>
      <c r="AY95" s="1" t="str">
        <f>IF(IFERROR(INDEX($A$9:$X$304,$AS95,COLUMNS($AV$9:AY94)),"")=0,"",IFERROR(INDEX($A$9:$X$304,$AS95,COLUMNS($AV$9:AY94)),""))</f>
        <v/>
      </c>
      <c r="AZ95" s="1" t="str">
        <f>IF(IFERROR(INDEX($A$9:$X$304,$AS95,COLUMNS($AV$9:AZ94)),"")=0,"",IFERROR(INDEX($A$9:$X$304,$AS95,COLUMNS($AV$9:AZ94)),""))</f>
        <v>EVENT</v>
      </c>
      <c r="BA95" s="1" t="str">
        <f>IF(IFERROR(INDEX($A$9:$X$304,$AS95,COLUMNS($AV$9:BA94)),"")=0,"",IFERROR(INDEX($A$9:$X$304,$AS95,COLUMNS($AV$9:BA94)),""))</f>
        <v/>
      </c>
      <c r="BB95" s="1" t="str">
        <f>IF(IFERROR(INDEX($A$9:$X$304,$AS95,COLUMNS($AV$9:BB94)),"")=0,"",IFERROR(INDEX($A$9:$X$304,$AS95,COLUMNS($AV$9:BB94)),""))</f>
        <v/>
      </c>
      <c r="BC95" s="1" t="str">
        <f>IF(IFERROR(INDEX($A$9:$X$304,$AS95,COLUMNS($AV$9:BC94)),"")=0,"",IFERROR(INDEX($A$9:$X$304,$AS95,COLUMNS($AV$9:BC94)),""))</f>
        <v>Draw two cards.</v>
      </c>
      <c r="BD95" s="1" t="str">
        <f>IF(IFERROR(INDEX($A$9:$X$304,$AS95,COLUMNS($AV$9:BD94)),"")=0,"",IFERROR(INDEX($A$9:$X$304,$AS95,COLUMNS($AV$9:BD94)),""))</f>
        <v/>
      </c>
      <c r="BE95" s="1" t="str">
        <f>IF(IFERROR(INDEX($A$9:$X$304,$AS95,COLUMNS($AV$9:BE94)),"")=0,"",IFERROR(INDEX($A$9:$X$304,$AS95,COLUMNS($AV$9:BE94)),""))</f>
        <v/>
      </c>
      <c r="BF95" s="1" t="str">
        <f>IF(IFERROR(INDEX($A$9:$X$304,$AS95,COLUMNS($AV$9:BF94)),"")=0,"",IFERROR(INDEX($A$9:$X$304,$AS95,COLUMNS($AV$9:BF94)),""))</f>
        <v/>
      </c>
      <c r="BG95" s="1" t="str">
        <f>IF(IFERROR(INDEX($A$9:$X$304,$AS95,COLUMNS($AV$9:BG94)),"")=0,"",IFERROR(INDEX($A$9:$X$304,$AS95,COLUMNS($AV$9:BG94)),""))</f>
        <v>Break a champion you control: Recall</v>
      </c>
      <c r="BH95" s="1" t="str">
        <f>IF(IFERROR(INDEX($A$9:$X$304,$AS95,COLUMNS($AV$9:BH94)),"")=0,"",IFERROR(INDEX($A$9:$X$304,$AS95,COLUMNS($AV$9:BH94)),""))</f>
        <v/>
      </c>
      <c r="BI95" s="1" t="str">
        <f>IF(IFERROR(INDEX($A$9:$X$304,$AS95,COLUMNS($AV$9:BI94)),"")=0,"",IFERROR(INDEX($A$9:$X$304,$AS95,COLUMNS($AV$9:BI94)),""))</f>
        <v/>
      </c>
      <c r="BJ95" s="1" t="str">
        <f>IF(IFERROR(INDEX($A$9:$X$304,$AS95,COLUMNS($AV$9:BJ94)),"")=0,"",IFERROR(INDEX($A$9:$X$304,$AS95,COLUMNS($AV$9:BJ94)),""))</f>
        <v>None</v>
      </c>
      <c r="BK95" s="1" t="str">
        <f>IF(IFERROR(INDEX($A$9:$X$304,$AS95,COLUMNS($AV$9:BK94)),"")=0,"",IFERROR(INDEX($A$9:$X$304,$AS95,COLUMNS($AV$9:BK94)),""))</f>
        <v>Rare</v>
      </c>
      <c r="BL95" s="1" t="str">
        <f>IF(IFERROR(INDEX($A$9:$X$304,$AS95,COLUMNS($AV$9:BL94)),"")=0,"",IFERROR(INDEX($A$9:$X$304,$AS95,COLUMNS($AV$9:BL94)),""))</f>
        <v>Jaan-Paul van Eeden</v>
      </c>
      <c r="BM95" s="1" t="str">
        <f>IF(IFERROR(INDEX($A$9:$X$304,$AS95,COLUMNS($AV$9:BM94)),"")=0,"",IFERROR(INDEX($A$9:$X$304,$AS95,COLUMNS($AV$9:BM94)),""))</f>
        <v>Kickstarter Promo</v>
      </c>
      <c r="BN95" s="3" t="b">
        <f>IF(IFERROR(INDEX($A$9:$X$304,$AS95,COLUMNS($AV$9:BN94)),"")=0,"",IFERROR(INDEX($A$9:$X$304,$AS95,COLUMNS($AV$9:BN94)),""))</f>
        <v>1</v>
      </c>
      <c r="BO95" s="3" t="b">
        <f>IF(IFERROR(INDEX($A$9:$X$304,$AS95,COLUMNS($AV$9:BO94)),"")=0,"",IFERROR(INDEX($A$9:$X$304,$AS95,COLUMNS($AV$9:BO94)),""))</f>
        <v>0</v>
      </c>
      <c r="BP95" s="3" t="b">
        <f>IF(IFERROR(INDEX($A$9:$X$304,$AS95,COLUMNS($AV$9:BP94)),"")=0,"",IFERROR(INDEX($A$9:$X$304,$AS95,COLUMNS($AV$9:BP94)),""))</f>
        <v>0</v>
      </c>
      <c r="BQ95" s="3" t="b">
        <f>IF(IFERROR(INDEX($A$9:$X$304,$AS95,COLUMNS($AV$9:BQ94)),"")=0,"",IFERROR(INDEX($A$9:$X$304,$AS95,COLUMNS($AV$9:BQ94)),""))</f>
        <v>0</v>
      </c>
      <c r="BR95" s="3" t="str">
        <f>IF(IFERROR(INDEX($A$9:$X$304,$AS95,COLUMNS($AV$9:BR94)),"")=0,"",IFERROR(INDEX($A$9:$X$304,$AS95,COLUMNS($AV$9:BR94)),""))</f>
        <v>http://www.epiccardgame.com/wp-content/uploads/2015/09/forbidden_research-215x300.jpg</v>
      </c>
      <c r="BS95" s="3" t="str">
        <f>IF(IFERROR(INDEX($A$9:$X$304,$AS95,COLUMNS($AV$9:BS94)),"")=0,"",IFERROR(INDEX($A$9:$X$304,$AS95,COLUMNS($AV$9:BS94)),""))</f>
        <v/>
      </c>
      <c r="BT95" s="3"/>
      <c r="BU95" s="15"/>
      <c r="BV95" t="s">
        <v>116</v>
      </c>
    </row>
    <row r="96" spans="1:74" ht="225.2" customHeight="1" x14ac:dyDescent="0.25">
      <c r="A96" t="s">
        <v>412</v>
      </c>
      <c r="B96">
        <v>1</v>
      </c>
      <c r="C96" t="s">
        <v>618</v>
      </c>
      <c r="E96" t="s">
        <v>619</v>
      </c>
      <c r="H96" t="s">
        <v>627</v>
      </c>
      <c r="L96" t="s">
        <v>1047</v>
      </c>
      <c r="O96" t="s">
        <v>1062</v>
      </c>
      <c r="P96" t="s">
        <v>1113</v>
      </c>
      <c r="Q96" t="s">
        <v>1125</v>
      </c>
      <c r="R96" t="s">
        <v>1179</v>
      </c>
      <c r="S96" t="b">
        <v>1</v>
      </c>
      <c r="T96" t="b">
        <v>0</v>
      </c>
      <c r="U96" t="b">
        <v>0</v>
      </c>
      <c r="V96" t="b">
        <v>0</v>
      </c>
      <c r="W96" s="2" t="s">
        <v>1271</v>
      </c>
      <c r="X96" s="2"/>
      <c r="Y96" s="24">
        <v>88</v>
      </c>
      <c r="Z96">
        <f t="shared" si="20"/>
        <v>88</v>
      </c>
      <c r="AA96">
        <f t="shared" si="21"/>
        <v>88</v>
      </c>
      <c r="AB96">
        <f t="shared" si="22"/>
        <v>88</v>
      </c>
      <c r="AC96">
        <f t="shared" si="23"/>
        <v>0</v>
      </c>
      <c r="AD96">
        <f t="shared" si="24"/>
        <v>88</v>
      </c>
      <c r="AE96">
        <f t="shared" si="25"/>
        <v>0</v>
      </c>
      <c r="AF96">
        <f t="shared" si="26"/>
        <v>0</v>
      </c>
      <c r="AG96">
        <f t="shared" si="27"/>
        <v>88</v>
      </c>
      <c r="AH96">
        <f t="shared" si="28"/>
        <v>0</v>
      </c>
      <c r="AI96">
        <f t="shared" si="29"/>
        <v>0</v>
      </c>
      <c r="AJ96">
        <f t="shared" si="30"/>
        <v>0</v>
      </c>
      <c r="AK96">
        <f t="shared" si="31"/>
        <v>88</v>
      </c>
      <c r="AL96">
        <f t="shared" si="32"/>
        <v>0</v>
      </c>
      <c r="AM96">
        <f t="shared" si="33"/>
        <v>0</v>
      </c>
      <c r="AN96">
        <f t="shared" si="34"/>
        <v>88</v>
      </c>
      <c r="AO96">
        <f t="shared" si="35"/>
        <v>88</v>
      </c>
      <c r="AP96">
        <f t="shared" si="36"/>
        <v>88</v>
      </c>
      <c r="AQ96">
        <f t="shared" si="37"/>
        <v>88</v>
      </c>
      <c r="AR96" s="6">
        <f t="shared" si="38"/>
        <v>88</v>
      </c>
      <c r="AS96">
        <f t="shared" si="39"/>
        <v>88</v>
      </c>
      <c r="AV96" s="1" t="str">
        <f>IF(IFERROR(INDEX($A$9:$W$304,$AS96,COLUMNS($AV$9:AV95)),"")=0,"",IFERROR(INDEX($A$9:$W$304,$AS96,COLUMNS($AV$9:AV95)),""))</f>
        <v>Forbidden Research</v>
      </c>
      <c r="AW96" s="1">
        <f>IFERROR(INDEX($A$9:$W$304,$AS96,COLUMNS($AV$9:AW95)),"")</f>
        <v>1</v>
      </c>
      <c r="AX96" s="1" t="str">
        <f>IF(IFERROR(INDEX($A$9:$X$304,$AS96,COLUMNS($AV$9:AX95)),"")=0,"",IFERROR(INDEX($A$9:$X$304,$AS96,COLUMNS($AV$9:AX95)),""))</f>
        <v>EVIL</v>
      </c>
      <c r="AY96" s="1" t="str">
        <f>IF(IFERROR(INDEX($A$9:$X$304,$AS96,COLUMNS($AV$9:AY95)),"")=0,"",IFERROR(INDEX($A$9:$X$304,$AS96,COLUMNS($AV$9:AY95)),""))</f>
        <v/>
      </c>
      <c r="AZ96" s="1" t="str">
        <f>IF(IFERROR(INDEX($A$9:$X$304,$AS96,COLUMNS($AV$9:AZ95)),"")=0,"",IFERROR(INDEX($A$9:$X$304,$AS96,COLUMNS($AV$9:AZ95)),""))</f>
        <v>EVENT</v>
      </c>
      <c r="BA96" s="1" t="str">
        <f>IF(IFERROR(INDEX($A$9:$X$304,$AS96,COLUMNS($AV$9:BA95)),"")=0,"",IFERROR(INDEX($A$9:$X$304,$AS96,COLUMNS($AV$9:BA95)),""))</f>
        <v/>
      </c>
      <c r="BB96" s="1" t="str">
        <f>IF(IFERROR(INDEX($A$9:$X$304,$AS96,COLUMNS($AV$9:BB95)),"")=0,"",IFERROR(INDEX($A$9:$X$304,$AS96,COLUMNS($AV$9:BB95)),""))</f>
        <v/>
      </c>
      <c r="BC96" s="1" t="str">
        <f>IF(IFERROR(INDEX($A$9:$X$304,$AS96,COLUMNS($AV$9:BC95)),"")=0,"",IFERROR(INDEX($A$9:$X$304,$AS96,COLUMNS($AV$9:BC95)),""))</f>
        <v>Draw two cards.</v>
      </c>
      <c r="BD96" s="1" t="str">
        <f>IF(IFERROR(INDEX($A$9:$X$304,$AS96,COLUMNS($AV$9:BD95)),"")=0,"",IFERROR(INDEX($A$9:$X$304,$AS96,COLUMNS($AV$9:BD95)),""))</f>
        <v/>
      </c>
      <c r="BE96" s="1" t="str">
        <f>IF(IFERROR(INDEX($A$9:$X$304,$AS96,COLUMNS($AV$9:BE95)),"")=0,"",IFERROR(INDEX($A$9:$X$304,$AS96,COLUMNS($AV$9:BE95)),""))</f>
        <v/>
      </c>
      <c r="BF96" s="1" t="str">
        <f>IF(IFERROR(INDEX($A$9:$X$304,$AS96,COLUMNS($AV$9:BF95)),"")=0,"",IFERROR(INDEX($A$9:$X$304,$AS96,COLUMNS($AV$9:BF95)),""))</f>
        <v/>
      </c>
      <c r="BG96" s="1" t="str">
        <f>IF(IFERROR(INDEX($A$9:$X$304,$AS96,COLUMNS($AV$9:BG95)),"")=0,"",IFERROR(INDEX($A$9:$X$304,$AS96,COLUMNS($AV$9:BG95)),""))</f>
        <v>{evil} → You may break a champion you control. If you do, Recall.</v>
      </c>
      <c r="BH96" s="1" t="str">
        <f>IF(IFERROR(INDEX($A$9:$X$304,$AS96,COLUMNS($AV$9:BH95)),"")=0,"",IFERROR(INDEX($A$9:$X$304,$AS96,COLUMNS($AV$9:BH95)),""))</f>
        <v/>
      </c>
      <c r="BI96" s="1" t="str">
        <f>IF(IFERROR(INDEX($A$9:$X$304,$AS96,COLUMNS($AV$9:BI95)),"")=0,"",IFERROR(INDEX($A$9:$X$304,$AS96,COLUMNS($AV$9:BI95)),""))</f>
        <v/>
      </c>
      <c r="BJ96" s="1" t="str">
        <f>IF(IFERROR(INDEX($A$9:$X$304,$AS96,COLUMNS($AV$9:BJ95)),"")=0,"",IFERROR(INDEX($A$9:$X$304,$AS96,COLUMNS($AV$9:BJ95)),""))</f>
        <v>None</v>
      </c>
      <c r="BK96" s="1" t="str">
        <f>IF(IFERROR(INDEX($A$9:$X$304,$AS96,COLUMNS($AV$9:BK95)),"")=0,"",IFERROR(INDEX($A$9:$X$304,$AS96,COLUMNS($AV$9:BK95)),""))</f>
        <v>Rare</v>
      </c>
      <c r="BL96" s="1" t="str">
        <f>IF(IFERROR(INDEX($A$9:$X$304,$AS96,COLUMNS($AV$9:BL95)),"")=0,"",IFERROR(INDEX($A$9:$X$304,$AS96,COLUMNS($AV$9:BL95)),""))</f>
        <v>Grant Griffin</v>
      </c>
      <c r="BM96" s="1" t="str">
        <f>IF(IFERROR(INDEX($A$9:$X$304,$AS96,COLUMNS($AV$9:BM95)),"")=0,"",IFERROR(INDEX($A$9:$X$304,$AS96,COLUMNS($AV$9:BM95)),""))</f>
        <v>Pantheon: Gareth vs Lashnok</v>
      </c>
      <c r="BN96" s="3" t="b">
        <f>IF(IFERROR(INDEX($A$9:$X$304,$AS96,COLUMNS($AV$9:BN95)),"")=0,"",IFERROR(INDEX($A$9:$X$304,$AS96,COLUMNS($AV$9:BN95)),""))</f>
        <v>1</v>
      </c>
      <c r="BO96" s="3" t="b">
        <f>IF(IFERROR(INDEX($A$9:$X$304,$AS96,COLUMNS($AV$9:BO95)),"")=0,"",IFERROR(INDEX($A$9:$X$304,$AS96,COLUMNS($AV$9:BO95)),""))</f>
        <v>0</v>
      </c>
      <c r="BP96" s="3" t="b">
        <f>IF(IFERROR(INDEX($A$9:$X$304,$AS96,COLUMNS($AV$9:BP95)),"")=0,"",IFERROR(INDEX($A$9:$X$304,$AS96,COLUMNS($AV$9:BP95)),""))</f>
        <v>0</v>
      </c>
      <c r="BQ96" s="3" t="b">
        <f>IF(IFERROR(INDEX($A$9:$X$304,$AS96,COLUMNS($AV$9:BQ95)),"")=0,"",IFERROR(INDEX($A$9:$X$304,$AS96,COLUMNS($AV$9:BQ95)),""))</f>
        <v>0</v>
      </c>
      <c r="BR96" s="3" t="str">
        <f>IF(IFERROR(INDEX($A$9:$X$304,$AS96,COLUMNS($AV$9:BR95)),"")=0,"",IFERROR(INDEX($A$9:$X$304,$AS96,COLUMNS($AV$9:BR95)),""))</f>
        <v>https://www.epiccardgame.com/wp-content/uploads/2017/11/PNG-EN-06-forbidden-research.jpg</v>
      </c>
      <c r="BS96" s="3" t="str">
        <f>IF(IFERROR(INDEX($A$9:$X$304,$AS96,COLUMNS($AV$9:BS95)),"")=0,"",IFERROR(INDEX($A$9:$X$304,$AS96,COLUMNS($AV$9:BS95)),""))</f>
        <v/>
      </c>
      <c r="BT96" s="3"/>
      <c r="BU96" s="15"/>
      <c r="BV96" t="s">
        <v>117</v>
      </c>
    </row>
    <row r="97" spans="1:74" ht="225" customHeight="1" x14ac:dyDescent="0.25">
      <c r="A97" t="s">
        <v>413</v>
      </c>
      <c r="B97">
        <v>1</v>
      </c>
      <c r="C97" t="s">
        <v>616</v>
      </c>
      <c r="E97" t="s">
        <v>619</v>
      </c>
      <c r="H97" t="s">
        <v>627</v>
      </c>
      <c r="I97" t="s">
        <v>827</v>
      </c>
      <c r="J97" t="s">
        <v>983</v>
      </c>
      <c r="O97" t="s">
        <v>1062</v>
      </c>
      <c r="P97" t="s">
        <v>1112</v>
      </c>
      <c r="Q97" t="s">
        <v>1127</v>
      </c>
      <c r="R97" t="s">
        <v>1180</v>
      </c>
      <c r="S97" t="b">
        <v>1</v>
      </c>
      <c r="T97" t="b">
        <v>1</v>
      </c>
      <c r="U97" t="b">
        <v>0</v>
      </c>
      <c r="V97" t="b">
        <v>0</v>
      </c>
      <c r="W97" s="2" t="s">
        <v>1272</v>
      </c>
      <c r="X97" s="2"/>
      <c r="Y97" s="24">
        <v>89</v>
      </c>
      <c r="Z97">
        <f t="shared" si="20"/>
        <v>89</v>
      </c>
      <c r="AA97">
        <f t="shared" si="21"/>
        <v>89</v>
      </c>
      <c r="AB97">
        <f t="shared" si="22"/>
        <v>89</v>
      </c>
      <c r="AC97">
        <f t="shared" si="23"/>
        <v>0</v>
      </c>
      <c r="AD97">
        <f t="shared" si="24"/>
        <v>89</v>
      </c>
      <c r="AE97">
        <f t="shared" si="25"/>
        <v>0</v>
      </c>
      <c r="AF97">
        <f t="shared" si="26"/>
        <v>0</v>
      </c>
      <c r="AG97">
        <f t="shared" si="27"/>
        <v>89</v>
      </c>
      <c r="AH97">
        <f t="shared" si="28"/>
        <v>89</v>
      </c>
      <c r="AI97">
        <f t="shared" si="29"/>
        <v>89</v>
      </c>
      <c r="AJ97">
        <f t="shared" si="30"/>
        <v>0</v>
      </c>
      <c r="AK97">
        <f t="shared" si="31"/>
        <v>0</v>
      </c>
      <c r="AL97">
        <f t="shared" si="32"/>
        <v>0</v>
      </c>
      <c r="AM97">
        <f t="shared" si="33"/>
        <v>0</v>
      </c>
      <c r="AN97">
        <f t="shared" si="34"/>
        <v>89</v>
      </c>
      <c r="AO97">
        <f t="shared" si="35"/>
        <v>89</v>
      </c>
      <c r="AP97">
        <f t="shared" si="36"/>
        <v>89</v>
      </c>
      <c r="AQ97">
        <f t="shared" si="37"/>
        <v>89</v>
      </c>
      <c r="AR97" s="6">
        <f t="shared" si="38"/>
        <v>89</v>
      </c>
      <c r="AS97">
        <f t="shared" si="39"/>
        <v>89</v>
      </c>
      <c r="AV97" s="1" t="str">
        <f>IF(IFERROR(INDEX($A$9:$W$304,$AS97,COLUMNS($AV$9:AV96)),"")=0,"",IFERROR(INDEX($A$9:$W$304,$AS97,COLUMNS($AV$9:AV96)),""))</f>
        <v>Force Field</v>
      </c>
      <c r="AW97" s="1">
        <f>IFERROR(INDEX($A$9:$W$304,$AS97,COLUMNS($AV$9:AW96)),"")</f>
        <v>1</v>
      </c>
      <c r="AX97" s="1" t="str">
        <f>IF(IFERROR(INDEX($A$9:$X$304,$AS97,COLUMNS($AV$9:AX96)),"")=0,"",IFERROR(INDEX($A$9:$X$304,$AS97,COLUMNS($AV$9:AX96)),""))</f>
        <v>SAGE</v>
      </c>
      <c r="AY97" s="1" t="str">
        <f>IF(IFERROR(INDEX($A$9:$X$304,$AS97,COLUMNS($AV$9:AY96)),"")=0,"",IFERROR(INDEX($A$9:$X$304,$AS97,COLUMNS($AV$9:AY96)),""))</f>
        <v/>
      </c>
      <c r="AZ97" s="1" t="str">
        <f>IF(IFERROR(INDEX($A$9:$X$304,$AS97,COLUMNS($AV$9:AZ96)),"")=0,"",IFERROR(INDEX($A$9:$X$304,$AS97,COLUMNS($AV$9:AZ96)),""))</f>
        <v>EVENT</v>
      </c>
      <c r="BA97" s="1" t="str">
        <f>IF(IFERROR(INDEX($A$9:$X$304,$AS97,COLUMNS($AV$9:BA96)),"")=0,"",IFERROR(INDEX($A$9:$X$304,$AS97,COLUMNS($AV$9:BA96)),""))</f>
        <v/>
      </c>
      <c r="BB97" s="1" t="str">
        <f>IF(IFERROR(INDEX($A$9:$X$304,$AS97,COLUMNS($AV$9:BB96)),"")=0,"",IFERROR(INDEX($A$9:$X$304,$AS97,COLUMNS($AV$9:BB96)),""))</f>
        <v/>
      </c>
      <c r="BC97" s="1" t="str">
        <f>IF(IFERROR(INDEX($A$9:$X$304,$AS97,COLUMNS($AV$9:BC96)),"")=0,"",IFERROR(INDEX($A$9:$X$304,$AS97,COLUMNS($AV$9:BC96)),""))</f>
        <v>Draw two cards.</v>
      </c>
      <c r="BD97" s="1" t="str">
        <f>IF(IFERROR(INDEX($A$9:$X$304,$AS97,COLUMNS($AV$9:BD96)),"")=0,"",IFERROR(INDEX($A$9:$X$304,$AS97,COLUMNS($AV$9:BD96)),""))</f>
        <v>Each opposing champion gets -5 {offense} this turn. Draw a card.</v>
      </c>
      <c r="BE97" s="1" t="str">
        <f>IF(IFERROR(INDEX($A$9:$X$304,$AS97,COLUMNS($AV$9:BE96)),"")=0,"",IFERROR(INDEX($A$9:$X$304,$AS97,COLUMNS($AV$9:BE96)),""))</f>
        <v>Each opposing champion gets -10 {offense} this turn.</v>
      </c>
      <c r="BF97" s="1" t="str">
        <f>IF(IFERROR(INDEX($A$9:$X$304,$AS97,COLUMNS($AV$9:BF96)),"")=0,"",IFERROR(INDEX($A$9:$X$304,$AS97,COLUMNS($AV$9:BF96)),""))</f>
        <v/>
      </c>
      <c r="BG97" s="1" t="str">
        <f>IF(IFERROR(INDEX($A$9:$X$304,$AS97,COLUMNS($AV$9:BG96)),"")=0,"",IFERROR(INDEX($A$9:$X$304,$AS97,COLUMNS($AV$9:BG96)),""))</f>
        <v/>
      </c>
      <c r="BH97" s="1" t="str">
        <f>IF(IFERROR(INDEX($A$9:$X$304,$AS97,COLUMNS($AV$9:BH96)),"")=0,"",IFERROR(INDEX($A$9:$X$304,$AS97,COLUMNS($AV$9:BH96)),""))</f>
        <v/>
      </c>
      <c r="BI97" s="1" t="str">
        <f>IF(IFERROR(INDEX($A$9:$X$304,$AS97,COLUMNS($AV$9:BI96)),"")=0,"",IFERROR(INDEX($A$9:$X$304,$AS97,COLUMNS($AV$9:BI96)),""))</f>
        <v/>
      </c>
      <c r="BJ97" s="1" t="str">
        <f>IF(IFERROR(INDEX($A$9:$X$304,$AS97,COLUMNS($AV$9:BJ96)),"")=0,"",IFERROR(INDEX($A$9:$X$304,$AS97,COLUMNS($AV$9:BJ96)),""))</f>
        <v>None</v>
      </c>
      <c r="BK97" s="1" t="str">
        <f>IF(IFERROR(INDEX($A$9:$X$304,$AS97,COLUMNS($AV$9:BK96)),"")=0,"",IFERROR(INDEX($A$9:$X$304,$AS97,COLUMNS($AV$9:BK96)),""))</f>
        <v>Common</v>
      </c>
      <c r="BL97" s="1" t="str">
        <f>IF(IFERROR(INDEX($A$9:$X$304,$AS97,COLUMNS($AV$9:BL96)),"")=0,"",IFERROR(INDEX($A$9:$X$304,$AS97,COLUMNS($AV$9:BL96)),""))</f>
        <v>Johnny Morrow</v>
      </c>
      <c r="BM97" s="1" t="str">
        <f>IF(IFERROR(INDEX($A$9:$X$304,$AS97,COLUMNS($AV$9:BM96)),"")=0,"",IFERROR(INDEX($A$9:$X$304,$AS97,COLUMNS($AV$9:BM96)),""))</f>
        <v>Uprising: Flames of Scarros</v>
      </c>
      <c r="BN97" s="3" t="b">
        <f>IF(IFERROR(INDEX($A$9:$X$304,$AS97,COLUMNS($AV$9:BN96)),"")=0,"",IFERROR(INDEX($A$9:$X$304,$AS97,COLUMNS($AV$9:BN96)),""))</f>
        <v>1</v>
      </c>
      <c r="BO97" s="3" t="b">
        <f>IF(IFERROR(INDEX($A$9:$X$304,$AS97,COLUMNS($AV$9:BO96)),"")=0,"",IFERROR(INDEX($A$9:$X$304,$AS97,COLUMNS($AV$9:BO96)),""))</f>
        <v>1</v>
      </c>
      <c r="BP97" s="3" t="b">
        <f>IF(IFERROR(INDEX($A$9:$X$304,$AS97,COLUMNS($AV$9:BP96)),"")=0,"",IFERROR(INDEX($A$9:$X$304,$AS97,COLUMNS($AV$9:BP96)),""))</f>
        <v>0</v>
      </c>
      <c r="BQ97" s="3" t="b">
        <f>IF(IFERROR(INDEX($A$9:$X$304,$AS97,COLUMNS($AV$9:BQ96)),"")=0,"",IFERROR(INDEX($A$9:$X$304,$AS97,COLUMNS($AV$9:BQ96)),""))</f>
        <v>0</v>
      </c>
      <c r="BR97" s="3" t="str">
        <f>IF(IFERROR(INDEX($A$9:$X$304,$AS97,COLUMNS($AV$9:BR96)),"")=0,"",IFERROR(INDEX($A$9:$X$304,$AS97,COLUMNS($AV$9:BR96)),""))</f>
        <v>https://www.epiccardgame.com/wp-content/uploads/2017/11/UPS-EN-force-field.jpg</v>
      </c>
      <c r="BS97" s="3" t="str">
        <f>IF(IFERROR(INDEX($A$9:$X$304,$AS97,COLUMNS($AV$9:BS96)),"")=0,"",IFERROR(INDEX($A$9:$X$304,$AS97,COLUMNS($AV$9:BS96)),""))</f>
        <v/>
      </c>
      <c r="BT97" s="3"/>
      <c r="BU97" s="15"/>
      <c r="BV97" t="s">
        <v>118</v>
      </c>
    </row>
    <row r="98" spans="1:74" ht="225" customHeight="1" x14ac:dyDescent="0.25">
      <c r="A98" t="s">
        <v>414</v>
      </c>
      <c r="B98">
        <v>0</v>
      </c>
      <c r="C98" t="s">
        <v>616</v>
      </c>
      <c r="E98" t="s">
        <v>619</v>
      </c>
      <c r="H98" t="s">
        <v>668</v>
      </c>
      <c r="I98" t="s">
        <v>828</v>
      </c>
      <c r="J98" t="s">
        <v>23</v>
      </c>
      <c r="O98" t="s">
        <v>1062</v>
      </c>
      <c r="P98" t="s">
        <v>1112</v>
      </c>
      <c r="Q98" t="s">
        <v>1134</v>
      </c>
      <c r="R98" t="s">
        <v>1173</v>
      </c>
      <c r="S98" t="b">
        <v>0</v>
      </c>
      <c r="T98" t="b">
        <v>0</v>
      </c>
      <c r="U98" t="b">
        <v>0</v>
      </c>
      <c r="V98" t="b">
        <v>0</v>
      </c>
      <c r="W98" s="2" t="s">
        <v>1273</v>
      </c>
      <c r="X98" s="2"/>
      <c r="Y98" s="24">
        <v>90</v>
      </c>
      <c r="Z98">
        <f t="shared" si="20"/>
        <v>90</v>
      </c>
      <c r="AA98">
        <f t="shared" si="21"/>
        <v>90</v>
      </c>
      <c r="AB98">
        <f t="shared" si="22"/>
        <v>90</v>
      </c>
      <c r="AC98">
        <f t="shared" si="23"/>
        <v>0</v>
      </c>
      <c r="AD98">
        <f t="shared" si="24"/>
        <v>90</v>
      </c>
      <c r="AE98">
        <f t="shared" si="25"/>
        <v>0</v>
      </c>
      <c r="AF98">
        <f t="shared" si="26"/>
        <v>0</v>
      </c>
      <c r="AG98">
        <f t="shared" si="27"/>
        <v>90</v>
      </c>
      <c r="AH98">
        <f t="shared" si="28"/>
        <v>90</v>
      </c>
      <c r="AI98">
        <f t="shared" si="29"/>
        <v>90</v>
      </c>
      <c r="AJ98">
        <f t="shared" si="30"/>
        <v>0</v>
      </c>
      <c r="AK98">
        <f t="shared" si="31"/>
        <v>0</v>
      </c>
      <c r="AL98">
        <f t="shared" si="32"/>
        <v>0</v>
      </c>
      <c r="AM98">
        <f t="shared" si="33"/>
        <v>0</v>
      </c>
      <c r="AN98">
        <f t="shared" si="34"/>
        <v>90</v>
      </c>
      <c r="AO98">
        <f t="shared" si="35"/>
        <v>90</v>
      </c>
      <c r="AP98">
        <f t="shared" si="36"/>
        <v>90</v>
      </c>
      <c r="AQ98">
        <f t="shared" si="37"/>
        <v>90</v>
      </c>
      <c r="AR98" s="6">
        <f t="shared" si="38"/>
        <v>90</v>
      </c>
      <c r="AS98">
        <f t="shared" si="39"/>
        <v>90</v>
      </c>
      <c r="AV98" s="1" t="str">
        <f>IF(IFERROR(INDEX($A$9:$W$304,$AS98,COLUMNS($AV$9:AV97)),"")=0,"",IFERROR(INDEX($A$9:$W$304,$AS98,COLUMNS($AV$9:AV97)),""))</f>
        <v>Force Lance</v>
      </c>
      <c r="AW98" s="1">
        <f>IFERROR(INDEX($A$9:$W$304,$AS98,COLUMNS($AV$9:AW97)),"")</f>
        <v>0</v>
      </c>
      <c r="AX98" s="1" t="str">
        <f>IF(IFERROR(INDEX($A$9:$X$304,$AS98,COLUMNS($AV$9:AX97)),"")=0,"",IFERROR(INDEX($A$9:$X$304,$AS98,COLUMNS($AV$9:AX97)),""))</f>
        <v>SAGE</v>
      </c>
      <c r="AY98" s="1" t="str">
        <f>IF(IFERROR(INDEX($A$9:$X$304,$AS98,COLUMNS($AV$9:AY97)),"")=0,"",IFERROR(INDEX($A$9:$X$304,$AS98,COLUMNS($AV$9:AY97)),""))</f>
        <v/>
      </c>
      <c r="AZ98" s="1" t="str">
        <f>IF(IFERROR(INDEX($A$9:$X$304,$AS98,COLUMNS($AV$9:AZ97)),"")=0,"",IFERROR(INDEX($A$9:$X$304,$AS98,COLUMNS($AV$9:AZ97)),""))</f>
        <v>EVENT</v>
      </c>
      <c r="BA98" s="1" t="str">
        <f>IF(IFERROR(INDEX($A$9:$X$304,$AS98,COLUMNS($AV$9:BA97)),"")=0,"",IFERROR(INDEX($A$9:$X$304,$AS98,COLUMNS($AV$9:BA97)),""))</f>
        <v/>
      </c>
      <c r="BB98" s="1" t="str">
        <f>IF(IFERROR(INDEX($A$9:$X$304,$AS98,COLUMNS($AV$9:BB97)),"")=0,"",IFERROR(INDEX($A$9:$X$304,$AS98,COLUMNS($AV$9:BB97)),""))</f>
        <v/>
      </c>
      <c r="BC98" s="1" t="str">
        <f>IF(IFERROR(INDEX($A$9:$X$304,$AS98,COLUMNS($AV$9:BC97)),"")=0,"",IFERROR(INDEX($A$9:$X$304,$AS98,COLUMNS($AV$9:BC97)),""))</f>
        <v>Target champion gets +2 {offense} this turn.</v>
      </c>
      <c r="BD98" s="1" t="str">
        <f>IF(IFERROR(INDEX($A$9:$X$304,$AS98,COLUMNS($AV$9:BD97)),"")=0,"",IFERROR(INDEX($A$9:$X$304,$AS98,COLUMNS($AV$9:BD97)),""))</f>
        <v>If it is your turn, it also gains unbreakable this turn.</v>
      </c>
      <c r="BE98" s="1" t="str">
        <f>IF(IFERROR(INDEX($A$9:$X$304,$AS98,COLUMNS($AV$9:BE97)),"")=0,"",IFERROR(INDEX($A$9:$X$304,$AS98,COLUMNS($AV$9:BE97)),""))</f>
        <v>Recycle</v>
      </c>
      <c r="BF98" s="1" t="str">
        <f>IF(IFERROR(INDEX($A$9:$X$304,$AS98,COLUMNS($AV$9:BF97)),"")=0,"",IFERROR(INDEX($A$9:$X$304,$AS98,COLUMNS($AV$9:BF97)),""))</f>
        <v/>
      </c>
      <c r="BG98" s="1" t="str">
        <f>IF(IFERROR(INDEX($A$9:$X$304,$AS98,COLUMNS($AV$9:BG97)),"")=0,"",IFERROR(INDEX($A$9:$X$304,$AS98,COLUMNS($AV$9:BG97)),""))</f>
        <v/>
      </c>
      <c r="BH98" s="1" t="str">
        <f>IF(IFERROR(INDEX($A$9:$X$304,$AS98,COLUMNS($AV$9:BH97)),"")=0,"",IFERROR(INDEX($A$9:$X$304,$AS98,COLUMNS($AV$9:BH97)),""))</f>
        <v/>
      </c>
      <c r="BI98" s="1" t="str">
        <f>IF(IFERROR(INDEX($A$9:$X$304,$AS98,COLUMNS($AV$9:BI97)),"")=0,"",IFERROR(INDEX($A$9:$X$304,$AS98,COLUMNS($AV$9:BI97)),""))</f>
        <v/>
      </c>
      <c r="BJ98" s="1" t="str">
        <f>IF(IFERROR(INDEX($A$9:$X$304,$AS98,COLUMNS($AV$9:BJ97)),"")=0,"",IFERROR(INDEX($A$9:$X$304,$AS98,COLUMNS($AV$9:BJ97)),""))</f>
        <v>None</v>
      </c>
      <c r="BK98" s="1" t="str">
        <f>IF(IFERROR(INDEX($A$9:$X$304,$AS98,COLUMNS($AV$9:BK97)),"")=0,"",IFERROR(INDEX($A$9:$X$304,$AS98,COLUMNS($AV$9:BK97)),""))</f>
        <v>Common</v>
      </c>
      <c r="BL98" s="1" t="str">
        <f>IF(IFERROR(INDEX($A$9:$X$304,$AS98,COLUMNS($AV$9:BL97)),"")=0,"",IFERROR(INDEX($A$9:$X$304,$AS98,COLUMNS($AV$9:BL97)),""))</f>
        <v>Shen Fei</v>
      </c>
      <c r="BM98" s="1" t="str">
        <f>IF(IFERROR(INDEX($A$9:$X$304,$AS98,COLUMNS($AV$9:BM97)),"")=0,"",IFERROR(INDEX($A$9:$X$304,$AS98,COLUMNS($AV$9:BM97)),""))</f>
        <v>Pantheon: Angeline vs Scara</v>
      </c>
      <c r="BN98" s="3" t="b">
        <f>IF(IFERROR(INDEX($A$9:$X$304,$AS98,COLUMNS($AV$9:BN97)),"")=0,"",IFERROR(INDEX($A$9:$X$304,$AS98,COLUMNS($AV$9:BN97)),""))</f>
        <v>0</v>
      </c>
      <c r="BO98" s="3" t="b">
        <f>IF(IFERROR(INDEX($A$9:$X$304,$AS98,COLUMNS($AV$9:BO97)),"")=0,"",IFERROR(INDEX($A$9:$X$304,$AS98,COLUMNS($AV$9:BO97)),""))</f>
        <v>0</v>
      </c>
      <c r="BP98" s="3" t="b">
        <f>IF(IFERROR(INDEX($A$9:$X$304,$AS98,COLUMNS($AV$9:BP97)),"")=0,"",IFERROR(INDEX($A$9:$X$304,$AS98,COLUMNS($AV$9:BP97)),""))</f>
        <v>0</v>
      </c>
      <c r="BQ98" s="3" t="b">
        <f>IF(IFERROR(INDEX($A$9:$X$304,$AS98,COLUMNS($AV$9:BQ97)),"")=0,"",IFERROR(INDEX($A$9:$X$304,$AS98,COLUMNS($AV$9:BQ97)),""))</f>
        <v>0</v>
      </c>
      <c r="BR98" s="3" t="str">
        <f>IF(IFERROR(INDEX($A$9:$X$304,$AS98,COLUMNS($AV$9:BR97)),"")=0,"",IFERROR(INDEX($A$9:$X$304,$AS98,COLUMNS($AV$9:BR97)),""))</f>
        <v>https://www.epiccardgame.com/wp-content/uploads/2017/11/PNA-EN-06-force-lance.jpg</v>
      </c>
      <c r="BS98" s="3" t="str">
        <f>IF(IFERROR(INDEX($A$9:$X$304,$AS98,COLUMNS($AV$9:BS97)),"")=0,"",IFERROR(INDEX($A$9:$X$304,$AS98,COLUMNS($AV$9:BS97)),""))</f>
        <v/>
      </c>
      <c r="BT98" s="3"/>
      <c r="BU98" s="15"/>
      <c r="BV98" t="s">
        <v>119</v>
      </c>
    </row>
    <row r="99" spans="1:74" ht="225.2" customHeight="1" x14ac:dyDescent="0.25">
      <c r="A99" t="s">
        <v>415</v>
      </c>
      <c r="B99">
        <v>1</v>
      </c>
      <c r="C99" t="s">
        <v>617</v>
      </c>
      <c r="E99" t="s">
        <v>619</v>
      </c>
      <c r="H99" t="s">
        <v>627</v>
      </c>
      <c r="I99" t="s">
        <v>634</v>
      </c>
      <c r="J99" t="s">
        <v>984</v>
      </c>
      <c r="O99" t="s">
        <v>1062</v>
      </c>
      <c r="P99" t="s">
        <v>1112</v>
      </c>
      <c r="Q99" t="s">
        <v>1139</v>
      </c>
      <c r="R99" t="s">
        <v>1183</v>
      </c>
      <c r="S99" t="b">
        <v>1</v>
      </c>
      <c r="T99" t="b">
        <v>1</v>
      </c>
      <c r="U99" t="b">
        <v>0</v>
      </c>
      <c r="V99" t="b">
        <v>0</v>
      </c>
      <c r="W99" s="2" t="s">
        <v>1274</v>
      </c>
      <c r="X99" s="2"/>
      <c r="Y99" s="24">
        <v>91</v>
      </c>
      <c r="Z99">
        <f t="shared" si="20"/>
        <v>91</v>
      </c>
      <c r="AA99">
        <f t="shared" si="21"/>
        <v>91</v>
      </c>
      <c r="AB99">
        <f t="shared" si="22"/>
        <v>91</v>
      </c>
      <c r="AC99">
        <f t="shared" si="23"/>
        <v>0</v>
      </c>
      <c r="AD99">
        <f t="shared" si="24"/>
        <v>91</v>
      </c>
      <c r="AE99">
        <f t="shared" si="25"/>
        <v>0</v>
      </c>
      <c r="AF99">
        <f t="shared" si="26"/>
        <v>0</v>
      </c>
      <c r="AG99">
        <f t="shared" si="27"/>
        <v>91</v>
      </c>
      <c r="AH99">
        <f t="shared" si="28"/>
        <v>91</v>
      </c>
      <c r="AI99">
        <f t="shared" si="29"/>
        <v>91</v>
      </c>
      <c r="AJ99">
        <f t="shared" si="30"/>
        <v>0</v>
      </c>
      <c r="AK99">
        <f t="shared" si="31"/>
        <v>0</v>
      </c>
      <c r="AL99">
        <f t="shared" si="32"/>
        <v>0</v>
      </c>
      <c r="AM99">
        <f t="shared" si="33"/>
        <v>0</v>
      </c>
      <c r="AN99">
        <f t="shared" si="34"/>
        <v>91</v>
      </c>
      <c r="AO99">
        <f t="shared" si="35"/>
        <v>91</v>
      </c>
      <c r="AP99">
        <f t="shared" si="36"/>
        <v>91</v>
      </c>
      <c r="AQ99">
        <f t="shared" si="37"/>
        <v>91</v>
      </c>
      <c r="AR99" s="6">
        <f t="shared" si="38"/>
        <v>91</v>
      </c>
      <c r="AS99">
        <f t="shared" si="39"/>
        <v>91</v>
      </c>
      <c r="AV99" s="1" t="str">
        <f>IF(IFERROR(INDEX($A$9:$W$304,$AS99,COLUMNS($AV$9:AV98)),"")=0,"",IFERROR(INDEX($A$9:$W$304,$AS99,COLUMNS($AV$9:AV98)),""))</f>
        <v>Forced Exile</v>
      </c>
      <c r="AW99" s="1">
        <f>IFERROR(INDEX($A$9:$W$304,$AS99,COLUMNS($AV$9:AW98)),"")</f>
        <v>1</v>
      </c>
      <c r="AX99" s="1" t="str">
        <f>IF(IFERROR(INDEX($A$9:$X$304,$AS99,COLUMNS($AV$9:AX98)),"")=0,"",IFERROR(INDEX($A$9:$X$304,$AS99,COLUMNS($AV$9:AX98)),""))</f>
        <v>GOOD</v>
      </c>
      <c r="AY99" s="1" t="str">
        <f>IF(IFERROR(INDEX($A$9:$X$304,$AS99,COLUMNS($AV$9:AY98)),"")=0,"",IFERROR(INDEX($A$9:$X$304,$AS99,COLUMNS($AV$9:AY98)),""))</f>
        <v/>
      </c>
      <c r="AZ99" s="1" t="str">
        <f>IF(IFERROR(INDEX($A$9:$X$304,$AS99,COLUMNS($AV$9:AZ98)),"")=0,"",IFERROR(INDEX($A$9:$X$304,$AS99,COLUMNS($AV$9:AZ98)),""))</f>
        <v>EVENT</v>
      </c>
      <c r="BA99" s="1" t="str">
        <f>IF(IFERROR(INDEX($A$9:$X$304,$AS99,COLUMNS($AV$9:BA98)),"")=0,"",IFERROR(INDEX($A$9:$X$304,$AS99,COLUMNS($AV$9:BA98)),""))</f>
        <v/>
      </c>
      <c r="BB99" s="1" t="str">
        <f>IF(IFERROR(INDEX($A$9:$X$304,$AS99,COLUMNS($AV$9:BB98)),"")=0,"",IFERROR(INDEX($A$9:$X$304,$AS99,COLUMNS($AV$9:BB98)),""))</f>
        <v/>
      </c>
      <c r="BC99" s="1" t="str">
        <f>IF(IFERROR(INDEX($A$9:$X$304,$AS99,COLUMNS($AV$9:BC98)),"")=0,"",IFERROR(INDEX($A$9:$X$304,$AS99,COLUMNS($AV$9:BC98)),""))</f>
        <v>Draw two cards.</v>
      </c>
      <c r="BD99" s="1" t="str">
        <f>IF(IFERROR(INDEX($A$9:$X$304,$AS99,COLUMNS($AV$9:BD98)),"")=0,"",IFERROR(INDEX($A$9:$X$304,$AS99,COLUMNS($AV$9:BD98)),""))</f>
        <v>Banish target champion.</v>
      </c>
      <c r="BE99" s="1" t="str">
        <f>IF(IFERROR(INDEX($A$9:$X$304,$AS99,COLUMNS($AV$9:BE98)),"")=0,"",IFERROR(INDEX($A$9:$X$304,$AS99,COLUMNS($AV$9:BE98)),""))</f>
        <v>The player whose turn it is puts two human tokens into play.</v>
      </c>
      <c r="BF99" s="1" t="str">
        <f>IF(IFERROR(INDEX($A$9:$X$304,$AS99,COLUMNS($AV$9:BF98)),"")=0,"",IFERROR(INDEX($A$9:$X$304,$AS99,COLUMNS($AV$9:BF98)),""))</f>
        <v/>
      </c>
      <c r="BG99" s="1" t="str">
        <f>IF(IFERROR(INDEX($A$9:$X$304,$AS99,COLUMNS($AV$9:BG98)),"")=0,"",IFERROR(INDEX($A$9:$X$304,$AS99,COLUMNS($AV$9:BG98)),""))</f>
        <v/>
      </c>
      <c r="BH99" s="1" t="str">
        <f>IF(IFERROR(INDEX($A$9:$X$304,$AS99,COLUMNS($AV$9:BH98)),"")=0,"",IFERROR(INDEX($A$9:$X$304,$AS99,COLUMNS($AV$9:BH98)),""))</f>
        <v/>
      </c>
      <c r="BI99" s="1" t="str">
        <f>IF(IFERROR(INDEX($A$9:$X$304,$AS99,COLUMNS($AV$9:BI98)),"")=0,"",IFERROR(INDEX($A$9:$X$304,$AS99,COLUMNS($AV$9:BI98)),""))</f>
        <v/>
      </c>
      <c r="BJ99" s="1" t="str">
        <f>IF(IFERROR(INDEX($A$9:$X$304,$AS99,COLUMNS($AV$9:BJ98)),"")=0,"",IFERROR(INDEX($A$9:$X$304,$AS99,COLUMNS($AV$9:BJ98)),""))</f>
        <v>None</v>
      </c>
      <c r="BK99" s="1" t="str">
        <f>IF(IFERROR(INDEX($A$9:$X$304,$AS99,COLUMNS($AV$9:BK98)),"")=0,"",IFERROR(INDEX($A$9:$X$304,$AS99,COLUMNS($AV$9:BK98)),""))</f>
        <v>Common</v>
      </c>
      <c r="BL99" s="1" t="str">
        <f>IF(IFERROR(INDEX($A$9:$X$304,$AS99,COLUMNS($AV$9:BL98)),"")=0,"",IFERROR(INDEX($A$9:$X$304,$AS99,COLUMNS($AV$9:BL98)),""))</f>
        <v>Bramasta Aji</v>
      </c>
      <c r="BM99" s="1" t="str">
        <f>IF(IFERROR(INDEX($A$9:$X$304,$AS99,COLUMNS($AV$9:BM98)),"")=0,"",IFERROR(INDEX($A$9:$X$304,$AS99,COLUMNS($AV$9:BM98)),""))</f>
        <v>Tyrants: Raxxa's Revenge</v>
      </c>
      <c r="BN99" s="3" t="b">
        <f>IF(IFERROR(INDEX($A$9:$X$304,$AS99,COLUMNS($AV$9:BN98)),"")=0,"",IFERROR(INDEX($A$9:$X$304,$AS99,COLUMNS($AV$9:BN98)),""))</f>
        <v>1</v>
      </c>
      <c r="BO99" s="3" t="b">
        <f>IF(IFERROR(INDEX($A$9:$X$304,$AS99,COLUMNS($AV$9:BO98)),"")=0,"",IFERROR(INDEX($A$9:$X$304,$AS99,COLUMNS($AV$9:BO98)),""))</f>
        <v>1</v>
      </c>
      <c r="BP99" s="3" t="b">
        <f>IF(IFERROR(INDEX($A$9:$X$304,$AS99,COLUMNS($AV$9:BP98)),"")=0,"",IFERROR(INDEX($A$9:$X$304,$AS99,COLUMNS($AV$9:BP98)),""))</f>
        <v>0</v>
      </c>
      <c r="BQ99" s="3" t="b">
        <f>IF(IFERROR(INDEX($A$9:$X$304,$AS99,COLUMNS($AV$9:BQ98)),"")=0,"",IFERROR(INDEX($A$9:$X$304,$AS99,COLUMNS($AV$9:BQ98)),""))</f>
        <v>0</v>
      </c>
      <c r="BR99" s="3" t="str">
        <f>IF(IFERROR(INDEX($A$9:$X$304,$AS99,COLUMNS($AV$9:BR98)),"")=0,"",IFERROR(INDEX($A$9:$X$304,$AS99,COLUMNS($AV$9:BR98)),""))</f>
        <v>http://www.epiccardgame.com/wp-content/uploads/2016/03/forced_exile-214x300.jpg</v>
      </c>
      <c r="BS99" s="3" t="str">
        <f>IF(IFERROR(INDEX($A$9:$X$304,$AS99,COLUMNS($AV$9:BS98)),"")=0,"",IFERROR(INDEX($A$9:$X$304,$AS99,COLUMNS($AV$9:BS98)),""))</f>
        <v/>
      </c>
      <c r="BT99" s="3"/>
      <c r="BU99" s="15"/>
      <c r="BV99" t="s">
        <v>120</v>
      </c>
    </row>
    <row r="100" spans="1:74" ht="225" customHeight="1" x14ac:dyDescent="0.25">
      <c r="A100" t="s">
        <v>416</v>
      </c>
      <c r="B100">
        <v>0</v>
      </c>
      <c r="C100" t="s">
        <v>616</v>
      </c>
      <c r="E100" t="s">
        <v>620</v>
      </c>
      <c r="F100">
        <v>0</v>
      </c>
      <c r="G100">
        <v>1</v>
      </c>
      <c r="H100" t="s">
        <v>22</v>
      </c>
      <c r="I100" t="s">
        <v>829</v>
      </c>
      <c r="J100" t="s">
        <v>873</v>
      </c>
      <c r="O100" t="s">
        <v>1074</v>
      </c>
      <c r="P100" t="s">
        <v>1112</v>
      </c>
      <c r="Q100" t="s">
        <v>1132</v>
      </c>
      <c r="R100" t="s">
        <v>1171</v>
      </c>
      <c r="S100" t="b">
        <v>0</v>
      </c>
      <c r="T100" t="b">
        <v>0</v>
      </c>
      <c r="U100" t="b">
        <v>0</v>
      </c>
      <c r="V100" t="b">
        <v>0</v>
      </c>
      <c r="W100" s="2" t="s">
        <v>1275</v>
      </c>
      <c r="X100" s="2"/>
      <c r="Y100" s="24">
        <v>92</v>
      </c>
      <c r="Z100">
        <f t="shared" si="20"/>
        <v>92</v>
      </c>
      <c r="AA100">
        <f t="shared" si="21"/>
        <v>92</v>
      </c>
      <c r="AB100">
        <f t="shared" si="22"/>
        <v>92</v>
      </c>
      <c r="AC100">
        <f t="shared" si="23"/>
        <v>0</v>
      </c>
      <c r="AD100">
        <f t="shared" si="24"/>
        <v>92</v>
      </c>
      <c r="AE100">
        <f t="shared" si="25"/>
        <v>92</v>
      </c>
      <c r="AF100">
        <f t="shared" si="26"/>
        <v>92</v>
      </c>
      <c r="AG100">
        <f t="shared" si="27"/>
        <v>92</v>
      </c>
      <c r="AH100">
        <f t="shared" si="28"/>
        <v>92</v>
      </c>
      <c r="AI100">
        <f t="shared" si="29"/>
        <v>92</v>
      </c>
      <c r="AJ100">
        <f t="shared" si="30"/>
        <v>0</v>
      </c>
      <c r="AK100">
        <f t="shared" si="31"/>
        <v>0</v>
      </c>
      <c r="AL100">
        <f t="shared" si="32"/>
        <v>0</v>
      </c>
      <c r="AM100">
        <f t="shared" si="33"/>
        <v>0</v>
      </c>
      <c r="AN100">
        <f t="shared" si="34"/>
        <v>92</v>
      </c>
      <c r="AO100">
        <f t="shared" si="35"/>
        <v>92</v>
      </c>
      <c r="AP100">
        <f t="shared" si="36"/>
        <v>92</v>
      </c>
      <c r="AQ100">
        <f t="shared" si="37"/>
        <v>92</v>
      </c>
      <c r="AR100" s="6">
        <f t="shared" si="38"/>
        <v>92</v>
      </c>
      <c r="AS100">
        <f t="shared" si="39"/>
        <v>92</v>
      </c>
      <c r="AV100" s="1" t="str">
        <f>IF(IFERROR(INDEX($A$9:$W$304,$AS100,COLUMNS($AV$9:AV99)),"")=0,"",IFERROR(INDEX($A$9:$W$304,$AS100,COLUMNS($AV$9:AV99)),""))</f>
        <v>Forcemage Apprentice</v>
      </c>
      <c r="AW100" s="1">
        <f>IFERROR(INDEX($A$9:$W$304,$AS100,COLUMNS($AV$9:AW99)),"")</f>
        <v>0</v>
      </c>
      <c r="AX100" s="1" t="str">
        <f>IF(IFERROR(INDEX($A$9:$X$304,$AS100,COLUMNS($AV$9:AX99)),"")=0,"",IFERROR(INDEX($A$9:$X$304,$AS100,COLUMNS($AV$9:AX99)),""))</f>
        <v>SAGE</v>
      </c>
      <c r="AY100" s="1" t="str">
        <f>IF(IFERROR(INDEX($A$9:$X$304,$AS100,COLUMNS($AV$9:AY99)),"")=0,"",IFERROR(INDEX($A$9:$X$304,$AS100,COLUMNS($AV$9:AY99)),""))</f>
        <v/>
      </c>
      <c r="AZ100" s="1" t="str">
        <f>IF(IFERROR(INDEX($A$9:$X$304,$AS100,COLUMNS($AV$9:AZ99)),"")=0,"",IFERROR(INDEX($A$9:$X$304,$AS100,COLUMNS($AV$9:AZ99)),""))</f>
        <v>CHAMPION</v>
      </c>
      <c r="BA100" s="1" t="str">
        <f>IF(IFERROR(INDEX($A$9:$X$304,$AS100,COLUMNS($AV$9:BA99)),"")=0,"",IFERROR(INDEX($A$9:$X$304,$AS100,COLUMNS($AV$9:BA99)),""))</f>
        <v/>
      </c>
      <c r="BB100" s="1">
        <f>IF(IFERROR(INDEX($A$9:$X$304,$AS100,COLUMNS($AV$9:BB99)),"")=0,"",IFERROR(INDEX($A$9:$X$304,$AS100,COLUMNS($AV$9:BB99)),""))</f>
        <v>1</v>
      </c>
      <c r="BC100" s="1" t="str">
        <f>IF(IFERROR(INDEX($A$9:$X$304,$AS100,COLUMNS($AV$9:BC99)),"")=0,"",IFERROR(INDEX($A$9:$X$304,$AS100,COLUMNS($AV$9:BC99)),""))</f>
        <v>Blitz</v>
      </c>
      <c r="BD100" s="1" t="str">
        <f>IF(IFERROR(INDEX($A$9:$X$304,$AS100,COLUMNS($AV$9:BD99)),"")=0,"",IFERROR(INDEX($A$9:$X$304,$AS100,COLUMNS($AV$9:BD99)),""))</f>
        <v>{expend}: Deal 2 damage to a target.</v>
      </c>
      <c r="BE100" s="1" t="str">
        <f>IF(IFERROR(INDEX($A$9:$X$304,$AS100,COLUMNS($AV$9:BE99)),"")=0,"",IFERROR(INDEX($A$9:$X$304,$AS100,COLUMNS($AV$9:BE99)),""))</f>
        <v>{sage} → Prepare this card.</v>
      </c>
      <c r="BF100" s="1" t="str">
        <f>IF(IFERROR(INDEX($A$9:$X$304,$AS100,COLUMNS($AV$9:BF99)),"")=0,"",IFERROR(INDEX($A$9:$X$304,$AS100,COLUMNS($AV$9:BF99)),""))</f>
        <v/>
      </c>
      <c r="BG100" s="1" t="str">
        <f>IF(IFERROR(INDEX($A$9:$X$304,$AS100,COLUMNS($AV$9:BG99)),"")=0,"",IFERROR(INDEX($A$9:$X$304,$AS100,COLUMNS($AV$9:BG99)),""))</f>
        <v/>
      </c>
      <c r="BH100" s="1" t="str">
        <f>IF(IFERROR(INDEX($A$9:$X$304,$AS100,COLUMNS($AV$9:BH99)),"")=0,"",IFERROR(INDEX($A$9:$X$304,$AS100,COLUMNS($AV$9:BH99)),""))</f>
        <v/>
      </c>
      <c r="BI100" s="1" t="str">
        <f>IF(IFERROR(INDEX($A$9:$X$304,$AS100,COLUMNS($AV$9:BI99)),"")=0,"",IFERROR(INDEX($A$9:$X$304,$AS100,COLUMNS($AV$9:BI99)),""))</f>
        <v/>
      </c>
      <c r="BJ100" s="1" t="str">
        <f>IF(IFERROR(INDEX($A$9:$X$304,$AS100,COLUMNS($AV$9:BJ99)),"")=0,"",IFERROR(INDEX($A$9:$X$304,$AS100,COLUMNS($AV$9:BJ99)),""))</f>
        <v>HUMAN MAGE</v>
      </c>
      <c r="BK100" s="1" t="str">
        <f>IF(IFERROR(INDEX($A$9:$X$304,$AS100,COLUMNS($AV$9:BK99)),"")=0,"",IFERROR(INDEX($A$9:$X$304,$AS100,COLUMNS($AV$9:BK99)),""))</f>
        <v>Common</v>
      </c>
      <c r="BL100" s="1" t="str">
        <f>IF(IFERROR(INDEX($A$9:$X$304,$AS100,COLUMNS($AV$9:BL99)),"")=0,"",IFERROR(INDEX($A$9:$X$304,$AS100,COLUMNS($AV$9:BL99)),""))</f>
        <v>Odysseas Stamoglou</v>
      </c>
      <c r="BM100" s="1" t="str">
        <f>IF(IFERROR(INDEX($A$9:$X$304,$AS100,COLUMNS($AV$9:BM99)),"")=0,"",IFERROR(INDEX($A$9:$X$304,$AS100,COLUMNS($AV$9:BM99)),""))</f>
        <v>Base Set</v>
      </c>
      <c r="BN100" s="3" t="b">
        <f>IF(IFERROR(INDEX($A$9:$X$304,$AS100,COLUMNS($AV$9:BN99)),"")=0,"",IFERROR(INDEX($A$9:$X$304,$AS100,COLUMNS($AV$9:BN99)),""))</f>
        <v>0</v>
      </c>
      <c r="BO100" s="3" t="b">
        <f>IF(IFERROR(INDEX($A$9:$X$304,$AS100,COLUMNS($AV$9:BO99)),"")=0,"",IFERROR(INDEX($A$9:$X$304,$AS100,COLUMNS($AV$9:BO99)),""))</f>
        <v>0</v>
      </c>
      <c r="BP100" s="3" t="b">
        <f>IF(IFERROR(INDEX($A$9:$X$304,$AS100,COLUMNS($AV$9:BP99)),"")=0,"",IFERROR(INDEX($A$9:$X$304,$AS100,COLUMNS($AV$9:BP99)),""))</f>
        <v>0</v>
      </c>
      <c r="BQ100" s="3" t="b">
        <f>IF(IFERROR(INDEX($A$9:$X$304,$AS100,COLUMNS($AV$9:BQ99)),"")=0,"",IFERROR(INDEX($A$9:$X$304,$AS100,COLUMNS($AV$9:BQ99)),""))</f>
        <v>0</v>
      </c>
      <c r="BR100" s="3" t="str">
        <f>IF(IFERROR(INDEX($A$9:$X$304,$AS100,COLUMNS($AV$9:BR99)),"")=0,"",IFERROR(INDEX($A$9:$X$304,$AS100,COLUMNS($AV$9:BR99)),""))</f>
        <v>http://www.epiccardgame.com/wp-content/uploads/2015/09/forcemage_apprentice-215x300.jpg</v>
      </c>
      <c r="BS100" s="3" t="str">
        <f>IF(IFERROR(INDEX($A$9:$X$304,$AS100,COLUMNS($AV$9:BS99)),"")=0,"",IFERROR(INDEX($A$9:$X$304,$AS100,COLUMNS($AV$9:BS99)),""))</f>
        <v/>
      </c>
      <c r="BT100" s="3"/>
      <c r="BU100" s="15"/>
      <c r="BV100" t="s">
        <v>121</v>
      </c>
    </row>
    <row r="101" spans="1:74" ht="225.2" customHeight="1" x14ac:dyDescent="0.25">
      <c r="A101" t="s">
        <v>417</v>
      </c>
      <c r="B101">
        <v>1</v>
      </c>
      <c r="C101" t="s">
        <v>615</v>
      </c>
      <c r="E101" t="s">
        <v>619</v>
      </c>
      <c r="H101" t="s">
        <v>669</v>
      </c>
      <c r="I101" t="s">
        <v>830</v>
      </c>
      <c r="O101" t="s">
        <v>1062</v>
      </c>
      <c r="P101" t="s">
        <v>1112</v>
      </c>
      <c r="Q101" t="s">
        <v>1116</v>
      </c>
      <c r="R101" t="s">
        <v>1171</v>
      </c>
      <c r="S101" t="b">
        <v>1</v>
      </c>
      <c r="T101" t="b">
        <v>0</v>
      </c>
      <c r="U101" t="b">
        <v>0</v>
      </c>
      <c r="V101" t="b">
        <v>0</v>
      </c>
      <c r="W101" s="2" t="s">
        <v>1276</v>
      </c>
      <c r="X101" s="2"/>
      <c r="Y101" s="24">
        <v>93</v>
      </c>
      <c r="Z101">
        <f t="shared" si="20"/>
        <v>93</v>
      </c>
      <c r="AA101">
        <f t="shared" si="21"/>
        <v>93</v>
      </c>
      <c r="AB101">
        <f t="shared" si="22"/>
        <v>93</v>
      </c>
      <c r="AC101">
        <f t="shared" si="23"/>
        <v>0</v>
      </c>
      <c r="AD101">
        <f t="shared" si="24"/>
        <v>93</v>
      </c>
      <c r="AE101">
        <f t="shared" si="25"/>
        <v>0</v>
      </c>
      <c r="AF101">
        <f t="shared" si="26"/>
        <v>0</v>
      </c>
      <c r="AG101">
        <f t="shared" si="27"/>
        <v>93</v>
      </c>
      <c r="AH101">
        <f t="shared" si="28"/>
        <v>93</v>
      </c>
      <c r="AI101">
        <f t="shared" si="29"/>
        <v>0</v>
      </c>
      <c r="AJ101">
        <f t="shared" si="30"/>
        <v>0</v>
      </c>
      <c r="AK101">
        <f t="shared" si="31"/>
        <v>0</v>
      </c>
      <c r="AL101">
        <f t="shared" si="32"/>
        <v>0</v>
      </c>
      <c r="AM101">
        <f t="shared" si="33"/>
        <v>0</v>
      </c>
      <c r="AN101">
        <f t="shared" si="34"/>
        <v>93</v>
      </c>
      <c r="AO101">
        <f t="shared" si="35"/>
        <v>93</v>
      </c>
      <c r="AP101">
        <f t="shared" si="36"/>
        <v>93</v>
      </c>
      <c r="AQ101">
        <f t="shared" si="37"/>
        <v>93</v>
      </c>
      <c r="AR101" s="6">
        <f t="shared" si="38"/>
        <v>93</v>
      </c>
      <c r="AS101">
        <f t="shared" si="39"/>
        <v>93</v>
      </c>
      <c r="AV101" s="1" t="str">
        <f>IF(IFERROR(INDEX($A$9:$W$304,$AS101,COLUMNS($AV$9:AV100)),"")=0,"",IFERROR(INDEX($A$9:$W$304,$AS101,COLUMNS($AV$9:AV100)),""))</f>
        <v>Forked Lightning</v>
      </c>
      <c r="AW101" s="1">
        <f>IFERROR(INDEX($A$9:$W$304,$AS101,COLUMNS($AV$9:AW100)),"")</f>
        <v>1</v>
      </c>
      <c r="AX101" s="1" t="str">
        <f>IF(IFERROR(INDEX($A$9:$X$304,$AS101,COLUMNS($AV$9:AX100)),"")=0,"",IFERROR(INDEX($A$9:$X$304,$AS101,COLUMNS($AV$9:AX100)),""))</f>
        <v>WILD</v>
      </c>
      <c r="AY101" s="1" t="str">
        <f>IF(IFERROR(INDEX($A$9:$X$304,$AS101,COLUMNS($AV$9:AY100)),"")=0,"",IFERROR(INDEX($A$9:$X$304,$AS101,COLUMNS($AV$9:AY100)),""))</f>
        <v/>
      </c>
      <c r="AZ101" s="1" t="str">
        <f>IF(IFERROR(INDEX($A$9:$X$304,$AS101,COLUMNS($AV$9:AZ100)),"")=0,"",IFERROR(INDEX($A$9:$X$304,$AS101,COLUMNS($AV$9:AZ100)),""))</f>
        <v>EVENT</v>
      </c>
      <c r="BA101" s="1" t="str">
        <f>IF(IFERROR(INDEX($A$9:$X$304,$AS101,COLUMNS($AV$9:BA100)),"")=0,"",IFERROR(INDEX($A$9:$X$304,$AS101,COLUMNS($AV$9:BA100)),""))</f>
        <v/>
      </c>
      <c r="BB101" s="1" t="str">
        <f>IF(IFERROR(INDEX($A$9:$X$304,$AS101,COLUMNS($AV$9:BB100)),"")=0,"",IFERROR(INDEX($A$9:$X$304,$AS101,COLUMNS($AV$9:BB100)),""))</f>
        <v/>
      </c>
      <c r="BC101" s="1" t="str">
        <f>IF(IFERROR(INDEX($A$9:$X$304,$AS101,COLUMNS($AV$9:BC100)),"")=0,"",IFERROR(INDEX($A$9:$X$304,$AS101,COLUMNS($AV$9:BC100)),""))</f>
        <v>Deal 5 damage to each of up to two targets.</v>
      </c>
      <c r="BD101" s="1" t="str">
        <f>IF(IFERROR(INDEX($A$9:$X$304,$AS101,COLUMNS($AV$9:BD100)),"")=0,"",IFERROR(INDEX($A$9:$X$304,$AS101,COLUMNS($AV$9:BD100)),""))</f>
        <v>Sometimes, lightning strikes twice.</v>
      </c>
      <c r="BE101" s="1" t="str">
        <f>IF(IFERROR(INDEX($A$9:$X$304,$AS101,COLUMNS($AV$9:BE100)),"")=0,"",IFERROR(INDEX($A$9:$X$304,$AS101,COLUMNS($AV$9:BE100)),""))</f>
        <v/>
      </c>
      <c r="BF101" s="1" t="str">
        <f>IF(IFERROR(INDEX($A$9:$X$304,$AS101,COLUMNS($AV$9:BF100)),"")=0,"",IFERROR(INDEX($A$9:$X$304,$AS101,COLUMNS($AV$9:BF100)),""))</f>
        <v/>
      </c>
      <c r="BG101" s="1" t="str">
        <f>IF(IFERROR(INDEX($A$9:$X$304,$AS101,COLUMNS($AV$9:BG100)),"")=0,"",IFERROR(INDEX($A$9:$X$304,$AS101,COLUMNS($AV$9:BG100)),""))</f>
        <v/>
      </c>
      <c r="BH101" s="1" t="str">
        <f>IF(IFERROR(INDEX($A$9:$X$304,$AS101,COLUMNS($AV$9:BH100)),"")=0,"",IFERROR(INDEX($A$9:$X$304,$AS101,COLUMNS($AV$9:BH100)),""))</f>
        <v/>
      </c>
      <c r="BI101" s="1" t="str">
        <f>IF(IFERROR(INDEX($A$9:$X$304,$AS101,COLUMNS($AV$9:BI100)),"")=0,"",IFERROR(INDEX($A$9:$X$304,$AS101,COLUMNS($AV$9:BI100)),""))</f>
        <v/>
      </c>
      <c r="BJ101" s="1" t="str">
        <f>IF(IFERROR(INDEX($A$9:$X$304,$AS101,COLUMNS($AV$9:BJ100)),"")=0,"",IFERROR(INDEX($A$9:$X$304,$AS101,COLUMNS($AV$9:BJ100)),""))</f>
        <v>None</v>
      </c>
      <c r="BK101" s="1" t="str">
        <f>IF(IFERROR(INDEX($A$9:$X$304,$AS101,COLUMNS($AV$9:BK100)),"")=0,"",IFERROR(INDEX($A$9:$X$304,$AS101,COLUMNS($AV$9:BK100)),""))</f>
        <v>Common</v>
      </c>
      <c r="BL101" s="1" t="str">
        <f>IF(IFERROR(INDEX($A$9:$X$304,$AS101,COLUMNS($AV$9:BL100)),"")=0,"",IFERROR(INDEX($A$9:$X$304,$AS101,COLUMNS($AV$9:BL100)),""))</f>
        <v>Apsara</v>
      </c>
      <c r="BM101" s="1" t="str">
        <f>IF(IFERROR(INDEX($A$9:$X$304,$AS101,COLUMNS($AV$9:BM100)),"")=0,"",IFERROR(INDEX($A$9:$X$304,$AS101,COLUMNS($AV$9:BM100)),""))</f>
        <v>Base Set</v>
      </c>
      <c r="BN101" s="3" t="b">
        <f>IF(IFERROR(INDEX($A$9:$X$304,$AS101,COLUMNS($AV$9:BN100)),"")=0,"",IFERROR(INDEX($A$9:$X$304,$AS101,COLUMNS($AV$9:BN100)),""))</f>
        <v>1</v>
      </c>
      <c r="BO101" s="3" t="b">
        <f>IF(IFERROR(INDEX($A$9:$X$304,$AS101,COLUMNS($AV$9:BO100)),"")=0,"",IFERROR(INDEX($A$9:$X$304,$AS101,COLUMNS($AV$9:BO100)),""))</f>
        <v>0</v>
      </c>
      <c r="BP101" s="3" t="b">
        <f>IF(IFERROR(INDEX($A$9:$X$304,$AS101,COLUMNS($AV$9:BP100)),"")=0,"",IFERROR(INDEX($A$9:$X$304,$AS101,COLUMNS($AV$9:BP100)),""))</f>
        <v>0</v>
      </c>
      <c r="BQ101" s="3" t="b">
        <f>IF(IFERROR(INDEX($A$9:$X$304,$AS101,COLUMNS($AV$9:BQ100)),"")=0,"",IFERROR(INDEX($A$9:$X$304,$AS101,COLUMNS($AV$9:BQ100)),""))</f>
        <v>0</v>
      </c>
      <c r="BR101" s="3" t="str">
        <f>IF(IFERROR(INDEX($A$9:$X$304,$AS101,COLUMNS($AV$9:BR100)),"")=0,"",IFERROR(INDEX($A$9:$X$304,$AS101,COLUMNS($AV$9:BR100)),""))</f>
        <v>http://www.epiccardgame.com/wp-content/uploads/2015/09/forked_lightning-215x300.jpg</v>
      </c>
      <c r="BS101" s="3" t="str">
        <f>IF(IFERROR(INDEX($A$9:$X$304,$AS101,COLUMNS($AV$9:BS100)),"")=0,"",IFERROR(INDEX($A$9:$X$304,$AS101,COLUMNS($AV$9:BS100)),""))</f>
        <v/>
      </c>
      <c r="BT101" s="3"/>
      <c r="BU101" s="15"/>
      <c r="BV101" t="s">
        <v>122</v>
      </c>
    </row>
    <row r="102" spans="1:74" ht="225" customHeight="1" x14ac:dyDescent="0.25">
      <c r="A102" t="s">
        <v>418</v>
      </c>
      <c r="B102">
        <v>0</v>
      </c>
      <c r="C102" t="s">
        <v>616</v>
      </c>
      <c r="E102" t="s">
        <v>619</v>
      </c>
      <c r="H102" t="s">
        <v>670</v>
      </c>
      <c r="I102" t="s">
        <v>23</v>
      </c>
      <c r="J102" t="s">
        <v>985</v>
      </c>
      <c r="O102" t="s">
        <v>1062</v>
      </c>
      <c r="P102" t="s">
        <v>1113</v>
      </c>
      <c r="Q102" t="s">
        <v>1144</v>
      </c>
      <c r="R102" t="s">
        <v>1172</v>
      </c>
      <c r="S102" t="b">
        <v>0</v>
      </c>
      <c r="T102" t="b">
        <v>0</v>
      </c>
      <c r="U102" t="b">
        <v>0</v>
      </c>
      <c r="V102" t="b">
        <v>0</v>
      </c>
      <c r="W102" s="2" t="s">
        <v>1277</v>
      </c>
      <c r="X102" s="2"/>
      <c r="Y102" s="24">
        <v>94</v>
      </c>
      <c r="Z102">
        <f t="shared" si="20"/>
        <v>94</v>
      </c>
      <c r="AA102">
        <f t="shared" si="21"/>
        <v>94</v>
      </c>
      <c r="AB102">
        <f t="shared" si="22"/>
        <v>94</v>
      </c>
      <c r="AC102">
        <f t="shared" si="23"/>
        <v>0</v>
      </c>
      <c r="AD102">
        <f t="shared" si="24"/>
        <v>94</v>
      </c>
      <c r="AE102">
        <f t="shared" si="25"/>
        <v>0</v>
      </c>
      <c r="AF102">
        <f t="shared" si="26"/>
        <v>0</v>
      </c>
      <c r="AG102">
        <f t="shared" si="27"/>
        <v>94</v>
      </c>
      <c r="AH102">
        <f t="shared" si="28"/>
        <v>94</v>
      </c>
      <c r="AI102">
        <f t="shared" si="29"/>
        <v>94</v>
      </c>
      <c r="AJ102">
        <f t="shared" si="30"/>
        <v>0</v>
      </c>
      <c r="AK102">
        <f t="shared" si="31"/>
        <v>0</v>
      </c>
      <c r="AL102">
        <f t="shared" si="32"/>
        <v>0</v>
      </c>
      <c r="AM102">
        <f t="shared" si="33"/>
        <v>0</v>
      </c>
      <c r="AN102">
        <f t="shared" si="34"/>
        <v>94</v>
      </c>
      <c r="AO102">
        <f t="shared" si="35"/>
        <v>94</v>
      </c>
      <c r="AP102">
        <f t="shared" si="36"/>
        <v>94</v>
      </c>
      <c r="AQ102">
        <f t="shared" si="37"/>
        <v>94</v>
      </c>
      <c r="AR102" s="6">
        <f t="shared" si="38"/>
        <v>94</v>
      </c>
      <c r="AS102">
        <f t="shared" si="39"/>
        <v>94</v>
      </c>
      <c r="AV102" s="1" t="str">
        <f>IF(IFERROR(INDEX($A$9:$W$304,$AS102,COLUMNS($AV$9:AV101)),"")=0,"",IFERROR(INDEX($A$9:$W$304,$AS102,COLUMNS($AV$9:AV101)),""))</f>
        <v>Frantic Digging</v>
      </c>
      <c r="AW102" s="1">
        <f>IFERROR(INDEX($A$9:$W$304,$AS102,COLUMNS($AV$9:AW101)),"")</f>
        <v>0</v>
      </c>
      <c r="AX102" s="1" t="str">
        <f>IF(IFERROR(INDEX($A$9:$X$304,$AS102,COLUMNS($AV$9:AX101)),"")=0,"",IFERROR(INDEX($A$9:$X$304,$AS102,COLUMNS($AV$9:AX101)),""))</f>
        <v>SAGE</v>
      </c>
      <c r="AY102" s="1" t="str">
        <f>IF(IFERROR(INDEX($A$9:$X$304,$AS102,COLUMNS($AV$9:AY101)),"")=0,"",IFERROR(INDEX($A$9:$X$304,$AS102,COLUMNS($AV$9:AY101)),""))</f>
        <v/>
      </c>
      <c r="AZ102" s="1" t="str">
        <f>IF(IFERROR(INDEX($A$9:$X$304,$AS102,COLUMNS($AV$9:AZ101)),"")=0,"",IFERROR(INDEX($A$9:$X$304,$AS102,COLUMNS($AV$9:AZ101)),""))</f>
        <v>EVENT</v>
      </c>
      <c r="BA102" s="1" t="str">
        <f>IF(IFERROR(INDEX($A$9:$X$304,$AS102,COLUMNS($AV$9:BA101)),"")=0,"",IFERROR(INDEX($A$9:$X$304,$AS102,COLUMNS($AV$9:BA101)),""))</f>
        <v/>
      </c>
      <c r="BB102" s="1" t="str">
        <f>IF(IFERROR(INDEX($A$9:$X$304,$AS102,COLUMNS($AV$9:BB101)),"")=0,"",IFERROR(INDEX($A$9:$X$304,$AS102,COLUMNS($AV$9:BB101)),""))</f>
        <v/>
      </c>
      <c r="BC102" s="1" t="str">
        <f>IF(IFERROR(INDEX($A$9:$X$304,$AS102,COLUMNS($AV$9:BC101)),"")=0,"",IFERROR(INDEX($A$9:$X$304,$AS102,COLUMNS($AV$9:BC101)),""))</f>
        <v>Discard a card. Draw a card.</v>
      </c>
      <c r="BD102" s="1" t="str">
        <f>IF(IFERROR(INDEX($A$9:$X$304,$AS102,COLUMNS($AV$9:BD101)),"")=0,"",IFERROR(INDEX($A$9:$X$304,$AS102,COLUMNS($AV$9:BD101)),""))</f>
        <v>Recycle</v>
      </c>
      <c r="BE102" s="1" t="str">
        <f>IF(IFERROR(INDEX($A$9:$X$304,$AS102,COLUMNS($AV$9:BE101)),"")=0,"",IFERROR(INDEX($A$9:$X$304,$AS102,COLUMNS($AV$9:BE101)),""))</f>
        <v>When the city is under siege by demons, you need answers fast.</v>
      </c>
      <c r="BF102" s="1" t="str">
        <f>IF(IFERROR(INDEX($A$9:$X$304,$AS102,COLUMNS($AV$9:BF101)),"")=0,"",IFERROR(INDEX($A$9:$X$304,$AS102,COLUMNS($AV$9:BF101)),""))</f>
        <v/>
      </c>
      <c r="BG102" s="1" t="str">
        <f>IF(IFERROR(INDEX($A$9:$X$304,$AS102,COLUMNS($AV$9:BG101)),"")=0,"",IFERROR(INDEX($A$9:$X$304,$AS102,COLUMNS($AV$9:BG101)),""))</f>
        <v/>
      </c>
      <c r="BH102" s="1" t="str">
        <f>IF(IFERROR(INDEX($A$9:$X$304,$AS102,COLUMNS($AV$9:BH101)),"")=0,"",IFERROR(INDEX($A$9:$X$304,$AS102,COLUMNS($AV$9:BH101)),""))</f>
        <v/>
      </c>
      <c r="BI102" s="1" t="str">
        <f>IF(IFERROR(INDEX($A$9:$X$304,$AS102,COLUMNS($AV$9:BI101)),"")=0,"",IFERROR(INDEX($A$9:$X$304,$AS102,COLUMNS($AV$9:BI101)),""))</f>
        <v/>
      </c>
      <c r="BJ102" s="1" t="str">
        <f>IF(IFERROR(INDEX($A$9:$X$304,$AS102,COLUMNS($AV$9:BJ101)),"")=0,"",IFERROR(INDEX($A$9:$X$304,$AS102,COLUMNS($AV$9:BJ101)),""))</f>
        <v>None</v>
      </c>
      <c r="BK102" s="1" t="str">
        <f>IF(IFERROR(INDEX($A$9:$X$304,$AS102,COLUMNS($AV$9:BK101)),"")=0,"",IFERROR(INDEX($A$9:$X$304,$AS102,COLUMNS($AV$9:BK101)),""))</f>
        <v>Rare</v>
      </c>
      <c r="BL102" s="1" t="str">
        <f>IF(IFERROR(INDEX($A$9:$X$304,$AS102,COLUMNS($AV$9:BL101)),"")=0,"",IFERROR(INDEX($A$9:$X$304,$AS102,COLUMNS($AV$9:BL101)),""))</f>
        <v>Melvin Chan</v>
      </c>
      <c r="BM102" s="1" t="str">
        <f>IF(IFERROR(INDEX($A$9:$X$304,$AS102,COLUMNS($AV$9:BM101)),"")=0,"",IFERROR(INDEX($A$9:$X$304,$AS102,COLUMNS($AV$9:BM101)),""))</f>
        <v>Uprising: Velden's Wrath</v>
      </c>
      <c r="BN102" s="3" t="b">
        <f>IF(IFERROR(INDEX($A$9:$X$304,$AS102,COLUMNS($AV$9:BN101)),"")=0,"",IFERROR(INDEX($A$9:$X$304,$AS102,COLUMNS($AV$9:BN101)),""))</f>
        <v>0</v>
      </c>
      <c r="BO102" s="3" t="b">
        <f>IF(IFERROR(INDEX($A$9:$X$304,$AS102,COLUMNS($AV$9:BO101)),"")=0,"",IFERROR(INDEX($A$9:$X$304,$AS102,COLUMNS($AV$9:BO101)),""))</f>
        <v>0</v>
      </c>
      <c r="BP102" s="3" t="b">
        <f>IF(IFERROR(INDEX($A$9:$X$304,$AS102,COLUMNS($AV$9:BP101)),"")=0,"",IFERROR(INDEX($A$9:$X$304,$AS102,COLUMNS($AV$9:BP101)),""))</f>
        <v>0</v>
      </c>
      <c r="BQ102" s="3" t="b">
        <f>IF(IFERROR(INDEX($A$9:$X$304,$AS102,COLUMNS($AV$9:BQ101)),"")=0,"",IFERROR(INDEX($A$9:$X$304,$AS102,COLUMNS($AV$9:BQ101)),""))</f>
        <v>0</v>
      </c>
      <c r="BR102" s="3" t="str">
        <f>IF(IFERROR(INDEX($A$9:$X$304,$AS102,COLUMNS($AV$9:BR101)),"")=0,"",IFERROR(INDEX($A$9:$X$304,$AS102,COLUMNS($AV$9:BR101)),""))</f>
        <v>https://www.epiccardgame.com/wp-content/uploads/2017/11/UPV-EN-frantic-digging.jpg</v>
      </c>
      <c r="BS102" s="3" t="str">
        <f>IF(IFERROR(INDEX($A$9:$X$304,$AS102,COLUMNS($AV$9:BS101)),"")=0,"",IFERROR(INDEX($A$9:$X$304,$AS102,COLUMNS($AV$9:BS101)),""))</f>
        <v/>
      </c>
      <c r="BT102" s="3"/>
      <c r="BU102" s="15"/>
      <c r="BV102" t="s">
        <v>123</v>
      </c>
    </row>
    <row r="103" spans="1:74" ht="225" customHeight="1" x14ac:dyDescent="0.25">
      <c r="A103" t="s">
        <v>419</v>
      </c>
      <c r="B103">
        <v>1</v>
      </c>
      <c r="C103" t="s">
        <v>616</v>
      </c>
      <c r="E103" t="s">
        <v>620</v>
      </c>
      <c r="F103">
        <v>8</v>
      </c>
      <c r="G103">
        <v>12</v>
      </c>
      <c r="H103" t="s">
        <v>22</v>
      </c>
      <c r="I103" t="s">
        <v>831</v>
      </c>
      <c r="J103" t="s">
        <v>986</v>
      </c>
      <c r="O103" t="s">
        <v>1089</v>
      </c>
      <c r="P103" t="s">
        <v>1113</v>
      </c>
      <c r="Q103" t="s">
        <v>1116</v>
      </c>
      <c r="R103" t="s">
        <v>1171</v>
      </c>
      <c r="S103" t="b">
        <v>1</v>
      </c>
      <c r="T103" t="b">
        <v>0</v>
      </c>
      <c r="U103" t="b">
        <v>0</v>
      </c>
      <c r="V103" t="b">
        <v>0</v>
      </c>
      <c r="W103" s="2" t="s">
        <v>1278</v>
      </c>
      <c r="X103" s="2"/>
      <c r="Y103" s="24">
        <v>95</v>
      </c>
      <c r="Z103">
        <f t="shared" si="20"/>
        <v>95</v>
      </c>
      <c r="AA103">
        <f t="shared" si="21"/>
        <v>95</v>
      </c>
      <c r="AB103">
        <f t="shared" si="22"/>
        <v>95</v>
      </c>
      <c r="AC103">
        <f t="shared" si="23"/>
        <v>0</v>
      </c>
      <c r="AD103">
        <f t="shared" si="24"/>
        <v>95</v>
      </c>
      <c r="AE103">
        <f t="shared" si="25"/>
        <v>95</v>
      </c>
      <c r="AF103">
        <f t="shared" si="26"/>
        <v>95</v>
      </c>
      <c r="AG103">
        <f t="shared" si="27"/>
        <v>95</v>
      </c>
      <c r="AH103">
        <f t="shared" si="28"/>
        <v>95</v>
      </c>
      <c r="AI103">
        <f t="shared" si="29"/>
        <v>95</v>
      </c>
      <c r="AJ103">
        <f t="shared" si="30"/>
        <v>0</v>
      </c>
      <c r="AK103">
        <f t="shared" si="31"/>
        <v>0</v>
      </c>
      <c r="AL103">
        <f t="shared" si="32"/>
        <v>0</v>
      </c>
      <c r="AM103">
        <f t="shared" si="33"/>
        <v>0</v>
      </c>
      <c r="AN103">
        <f t="shared" si="34"/>
        <v>95</v>
      </c>
      <c r="AO103">
        <f t="shared" si="35"/>
        <v>95</v>
      </c>
      <c r="AP103">
        <f t="shared" si="36"/>
        <v>95</v>
      </c>
      <c r="AQ103">
        <f t="shared" si="37"/>
        <v>95</v>
      </c>
      <c r="AR103" s="6">
        <f t="shared" si="38"/>
        <v>95</v>
      </c>
      <c r="AS103">
        <f t="shared" si="39"/>
        <v>95</v>
      </c>
      <c r="AV103" s="1" t="str">
        <f>IF(IFERROR(INDEX($A$9:$W$304,$AS103,COLUMNS($AV$9:AV102)),"")=0,"",IFERROR(INDEX($A$9:$W$304,$AS103,COLUMNS($AV$9:AV102)),""))</f>
        <v>Frost Giant</v>
      </c>
      <c r="AW103" s="1">
        <f>IFERROR(INDEX($A$9:$W$304,$AS103,COLUMNS($AV$9:AW102)),"")</f>
        <v>1</v>
      </c>
      <c r="AX103" s="1" t="str">
        <f>IF(IFERROR(INDEX($A$9:$X$304,$AS103,COLUMNS($AV$9:AX102)),"")=0,"",IFERROR(INDEX($A$9:$X$304,$AS103,COLUMNS($AV$9:AX102)),""))</f>
        <v>SAGE</v>
      </c>
      <c r="AY103" s="1" t="str">
        <f>IF(IFERROR(INDEX($A$9:$X$304,$AS103,COLUMNS($AV$9:AY102)),"")=0,"",IFERROR(INDEX($A$9:$X$304,$AS103,COLUMNS($AV$9:AY102)),""))</f>
        <v/>
      </c>
      <c r="AZ103" s="1" t="str">
        <f>IF(IFERROR(INDEX($A$9:$X$304,$AS103,COLUMNS($AV$9:AZ102)),"")=0,"",IFERROR(INDEX($A$9:$X$304,$AS103,COLUMNS($AV$9:AZ102)),""))</f>
        <v>CHAMPION</v>
      </c>
      <c r="BA103" s="1">
        <f>IF(IFERROR(INDEX($A$9:$X$304,$AS103,COLUMNS($AV$9:BA102)),"")=0,"",IFERROR(INDEX($A$9:$X$304,$AS103,COLUMNS($AV$9:BA102)),""))</f>
        <v>8</v>
      </c>
      <c r="BB103" s="1">
        <f>IF(IFERROR(INDEX($A$9:$X$304,$AS103,COLUMNS($AV$9:BB102)),"")=0,"",IFERROR(INDEX($A$9:$X$304,$AS103,COLUMNS($AV$9:BB102)),""))</f>
        <v>12</v>
      </c>
      <c r="BC103" s="1" t="str">
        <f>IF(IFERROR(INDEX($A$9:$X$304,$AS103,COLUMNS($AV$9:BC102)),"")=0,"",IFERROR(INDEX($A$9:$X$304,$AS103,COLUMNS($AV$9:BC102)),""))</f>
        <v>Blitz</v>
      </c>
      <c r="BD103" s="1" t="str">
        <f>IF(IFERROR(INDEX($A$9:$X$304,$AS103,COLUMNS($AV$9:BD102)),"")=0,"",IFERROR(INDEX($A$9:$X$304,$AS103,COLUMNS($AV$9:BD102)),""))</f>
        <v>Tribute → Expend all champions target player controls.</v>
      </c>
      <c r="BE103" s="1" t="str">
        <f>IF(IFERROR(INDEX($A$9:$X$304,$AS103,COLUMNS($AV$9:BE102)),"")=0,"",IFERROR(INDEX($A$9:$X$304,$AS103,COLUMNS($AV$9:BE102)),""))</f>
        <v>Winter has come.</v>
      </c>
      <c r="BF103" s="1" t="str">
        <f>IF(IFERROR(INDEX($A$9:$X$304,$AS103,COLUMNS($AV$9:BF102)),"")=0,"",IFERROR(INDEX($A$9:$X$304,$AS103,COLUMNS($AV$9:BF102)),""))</f>
        <v/>
      </c>
      <c r="BG103" s="1" t="str">
        <f>IF(IFERROR(INDEX($A$9:$X$304,$AS103,COLUMNS($AV$9:BG102)),"")=0,"",IFERROR(INDEX($A$9:$X$304,$AS103,COLUMNS($AV$9:BG102)),""))</f>
        <v/>
      </c>
      <c r="BH103" s="1" t="str">
        <f>IF(IFERROR(INDEX($A$9:$X$304,$AS103,COLUMNS($AV$9:BH102)),"")=0,"",IFERROR(INDEX($A$9:$X$304,$AS103,COLUMNS($AV$9:BH102)),""))</f>
        <v/>
      </c>
      <c r="BI103" s="1" t="str">
        <f>IF(IFERROR(INDEX($A$9:$X$304,$AS103,COLUMNS($AV$9:BI102)),"")=0,"",IFERROR(INDEX($A$9:$X$304,$AS103,COLUMNS($AV$9:BI102)),""))</f>
        <v/>
      </c>
      <c r="BJ103" s="1" t="str">
        <f>IF(IFERROR(INDEX($A$9:$X$304,$AS103,COLUMNS($AV$9:BJ102)),"")=0,"",IFERROR(INDEX($A$9:$X$304,$AS103,COLUMNS($AV$9:BJ102)),""))</f>
        <v>GIANT</v>
      </c>
      <c r="BK103" s="1" t="str">
        <f>IF(IFERROR(INDEX($A$9:$X$304,$AS103,COLUMNS($AV$9:BK102)),"")=0,"",IFERROR(INDEX($A$9:$X$304,$AS103,COLUMNS($AV$9:BK102)),""))</f>
        <v>Rare</v>
      </c>
      <c r="BL103" s="1" t="str">
        <f>IF(IFERROR(INDEX($A$9:$X$304,$AS103,COLUMNS($AV$9:BL102)),"")=0,"",IFERROR(INDEX($A$9:$X$304,$AS103,COLUMNS($AV$9:BL102)),""))</f>
        <v>Apsara</v>
      </c>
      <c r="BM103" s="1" t="str">
        <f>IF(IFERROR(INDEX($A$9:$X$304,$AS103,COLUMNS($AV$9:BM102)),"")=0,"",IFERROR(INDEX($A$9:$X$304,$AS103,COLUMNS($AV$9:BM102)),""))</f>
        <v>Base Set</v>
      </c>
      <c r="BN103" s="3" t="b">
        <f>IF(IFERROR(INDEX($A$9:$X$304,$AS103,COLUMNS($AV$9:BN102)),"")=0,"",IFERROR(INDEX($A$9:$X$304,$AS103,COLUMNS($AV$9:BN102)),""))</f>
        <v>1</v>
      </c>
      <c r="BO103" s="3" t="b">
        <f>IF(IFERROR(INDEX($A$9:$X$304,$AS103,COLUMNS($AV$9:BO102)),"")=0,"",IFERROR(INDEX($A$9:$X$304,$AS103,COLUMNS($AV$9:BO102)),""))</f>
        <v>0</v>
      </c>
      <c r="BP103" s="3" t="b">
        <f>IF(IFERROR(INDEX($A$9:$X$304,$AS103,COLUMNS($AV$9:BP102)),"")=0,"",IFERROR(INDEX($A$9:$X$304,$AS103,COLUMNS($AV$9:BP102)),""))</f>
        <v>0</v>
      </c>
      <c r="BQ103" s="3" t="b">
        <f>IF(IFERROR(INDEX($A$9:$X$304,$AS103,COLUMNS($AV$9:BQ102)),"")=0,"",IFERROR(INDEX($A$9:$X$304,$AS103,COLUMNS($AV$9:BQ102)),""))</f>
        <v>0</v>
      </c>
      <c r="BR103" s="3" t="str">
        <f>IF(IFERROR(INDEX($A$9:$X$304,$AS103,COLUMNS($AV$9:BR102)),"")=0,"",IFERROR(INDEX($A$9:$X$304,$AS103,COLUMNS($AV$9:BR102)),""))</f>
        <v>http://www.epiccardgame.com/wp-content/uploads/2015/09/frost_giant-215x300.jpg</v>
      </c>
      <c r="BS103" s="3" t="str">
        <f>IF(IFERROR(INDEX($A$9:$X$304,$AS103,COLUMNS($AV$9:BS102)),"")=0,"",IFERROR(INDEX($A$9:$X$304,$AS103,COLUMNS($AV$9:BS102)),""))</f>
        <v/>
      </c>
      <c r="BT103" s="3"/>
      <c r="BU103" s="15"/>
      <c r="BV103" t="s">
        <v>124</v>
      </c>
    </row>
    <row r="104" spans="1:74" ht="225" customHeight="1" x14ac:dyDescent="0.25">
      <c r="A104" t="s">
        <v>420</v>
      </c>
      <c r="B104">
        <v>0</v>
      </c>
      <c r="C104" t="s">
        <v>616</v>
      </c>
      <c r="E104" t="s">
        <v>619</v>
      </c>
      <c r="H104" t="s">
        <v>671</v>
      </c>
      <c r="I104" t="s">
        <v>23</v>
      </c>
      <c r="J104" t="s">
        <v>769</v>
      </c>
      <c r="O104" t="s">
        <v>1062</v>
      </c>
      <c r="P104" t="s">
        <v>1112</v>
      </c>
      <c r="Q104" t="s">
        <v>1127</v>
      </c>
      <c r="R104" t="s">
        <v>1183</v>
      </c>
      <c r="S104" t="b">
        <v>1</v>
      </c>
      <c r="T104" t="b">
        <v>1</v>
      </c>
      <c r="U104" t="b">
        <v>0</v>
      </c>
      <c r="V104" t="b">
        <v>0</v>
      </c>
      <c r="W104" s="2" t="s">
        <v>1279</v>
      </c>
      <c r="X104" s="2"/>
      <c r="Y104" s="24">
        <v>96</v>
      </c>
      <c r="Z104">
        <f t="shared" si="20"/>
        <v>96</v>
      </c>
      <c r="AA104">
        <f t="shared" si="21"/>
        <v>96</v>
      </c>
      <c r="AB104">
        <f t="shared" si="22"/>
        <v>96</v>
      </c>
      <c r="AC104">
        <f t="shared" si="23"/>
        <v>0</v>
      </c>
      <c r="AD104">
        <f t="shared" si="24"/>
        <v>96</v>
      </c>
      <c r="AE104">
        <f t="shared" si="25"/>
        <v>0</v>
      </c>
      <c r="AF104">
        <f t="shared" si="26"/>
        <v>0</v>
      </c>
      <c r="AG104">
        <f t="shared" si="27"/>
        <v>96</v>
      </c>
      <c r="AH104">
        <f t="shared" si="28"/>
        <v>96</v>
      </c>
      <c r="AI104">
        <f t="shared" si="29"/>
        <v>96</v>
      </c>
      <c r="AJ104">
        <f t="shared" si="30"/>
        <v>0</v>
      </c>
      <c r="AK104">
        <f t="shared" si="31"/>
        <v>0</v>
      </c>
      <c r="AL104">
        <f t="shared" si="32"/>
        <v>0</v>
      </c>
      <c r="AM104">
        <f t="shared" si="33"/>
        <v>0</v>
      </c>
      <c r="AN104">
        <f t="shared" si="34"/>
        <v>96</v>
      </c>
      <c r="AO104">
        <f t="shared" si="35"/>
        <v>96</v>
      </c>
      <c r="AP104">
        <f t="shared" si="36"/>
        <v>96</v>
      </c>
      <c r="AQ104">
        <f t="shared" si="37"/>
        <v>96</v>
      </c>
      <c r="AR104" s="6">
        <f t="shared" si="38"/>
        <v>96</v>
      </c>
      <c r="AS104">
        <f t="shared" si="39"/>
        <v>96</v>
      </c>
      <c r="AV104" s="1" t="str">
        <f>IF(IFERROR(INDEX($A$9:$W$304,$AS104,COLUMNS($AV$9:AV103)),"")=0,"",IFERROR(INDEX($A$9:$W$304,$AS104,COLUMNS($AV$9:AV103)),""))</f>
        <v>Fumble</v>
      </c>
      <c r="AW104" s="1">
        <f>IFERROR(INDEX($A$9:$W$304,$AS104,COLUMNS($AV$9:AW103)),"")</f>
        <v>0</v>
      </c>
      <c r="AX104" s="1" t="str">
        <f>IF(IFERROR(INDEX($A$9:$X$304,$AS104,COLUMNS($AV$9:AX103)),"")=0,"",IFERROR(INDEX($A$9:$X$304,$AS104,COLUMNS($AV$9:AX103)),""))</f>
        <v>SAGE</v>
      </c>
      <c r="AY104" s="1" t="str">
        <f>IF(IFERROR(INDEX($A$9:$X$304,$AS104,COLUMNS($AV$9:AY103)),"")=0,"",IFERROR(INDEX($A$9:$X$304,$AS104,COLUMNS($AV$9:AY103)),""))</f>
        <v/>
      </c>
      <c r="AZ104" s="1" t="str">
        <f>IF(IFERROR(INDEX($A$9:$X$304,$AS104,COLUMNS($AV$9:AZ103)),"")=0,"",IFERROR(INDEX($A$9:$X$304,$AS104,COLUMNS($AV$9:AZ103)),""))</f>
        <v>EVENT</v>
      </c>
      <c r="BA104" s="1" t="str">
        <f>IF(IFERROR(INDEX($A$9:$X$304,$AS104,COLUMNS($AV$9:BA103)),"")=0,"",IFERROR(INDEX($A$9:$X$304,$AS104,COLUMNS($AV$9:BA103)),""))</f>
        <v/>
      </c>
      <c r="BB104" s="1" t="str">
        <f>IF(IFERROR(INDEX($A$9:$X$304,$AS104,COLUMNS($AV$9:BB103)),"")=0,"",IFERROR(INDEX($A$9:$X$304,$AS104,COLUMNS($AV$9:BB103)),""))</f>
        <v/>
      </c>
      <c r="BC104" s="1" t="str">
        <f>IF(IFERROR(INDEX($A$9:$X$304,$AS104,COLUMNS($AV$9:BC103)),"")=0,"",IFERROR(INDEX($A$9:$X$304,$AS104,COLUMNS($AV$9:BC103)),""))</f>
        <v>Target champion gets -10 {offense} this turn.</v>
      </c>
      <c r="BD104" s="1" t="str">
        <f>IF(IFERROR(INDEX($A$9:$X$304,$AS104,COLUMNS($AV$9:BD103)),"")=0,"",IFERROR(INDEX($A$9:$X$304,$AS104,COLUMNS($AV$9:BD103)),""))</f>
        <v>Recycle</v>
      </c>
      <c r="BE104" s="1" t="str">
        <f>IF(IFERROR(INDEX($A$9:$X$304,$AS104,COLUMNS($AV$9:BE103)),"")=0,"",IFERROR(INDEX($A$9:$X$304,$AS104,COLUMNS($AV$9:BE103)),""))</f>
        <v>{1}: Draw two cards.</v>
      </c>
      <c r="BF104" s="1" t="str">
        <f>IF(IFERROR(INDEX($A$9:$X$304,$AS104,COLUMNS($AV$9:BF103)),"")=0,"",IFERROR(INDEX($A$9:$X$304,$AS104,COLUMNS($AV$9:BF103)),""))</f>
        <v/>
      </c>
      <c r="BG104" s="1" t="str">
        <f>IF(IFERROR(INDEX($A$9:$X$304,$AS104,COLUMNS($AV$9:BG103)),"")=0,"",IFERROR(INDEX($A$9:$X$304,$AS104,COLUMNS($AV$9:BG103)),""))</f>
        <v/>
      </c>
      <c r="BH104" s="1" t="str">
        <f>IF(IFERROR(INDEX($A$9:$X$304,$AS104,COLUMNS($AV$9:BH103)),"")=0,"",IFERROR(INDEX($A$9:$X$304,$AS104,COLUMNS($AV$9:BH103)),""))</f>
        <v/>
      </c>
      <c r="BI104" s="1" t="str">
        <f>IF(IFERROR(INDEX($A$9:$X$304,$AS104,COLUMNS($AV$9:BI103)),"")=0,"",IFERROR(INDEX($A$9:$X$304,$AS104,COLUMNS($AV$9:BI103)),""))</f>
        <v/>
      </c>
      <c r="BJ104" s="1" t="str">
        <f>IF(IFERROR(INDEX($A$9:$X$304,$AS104,COLUMNS($AV$9:BJ103)),"")=0,"",IFERROR(INDEX($A$9:$X$304,$AS104,COLUMNS($AV$9:BJ103)),""))</f>
        <v>None</v>
      </c>
      <c r="BK104" s="1" t="str">
        <f>IF(IFERROR(INDEX($A$9:$X$304,$AS104,COLUMNS($AV$9:BK103)),"")=0,"",IFERROR(INDEX($A$9:$X$304,$AS104,COLUMNS($AV$9:BK103)),""))</f>
        <v>Common</v>
      </c>
      <c r="BL104" s="1" t="str">
        <f>IF(IFERROR(INDEX($A$9:$X$304,$AS104,COLUMNS($AV$9:BL103)),"")=0,"",IFERROR(INDEX($A$9:$X$304,$AS104,COLUMNS($AV$9:BL103)),""))</f>
        <v>Johnny Morrow</v>
      </c>
      <c r="BM104" s="1" t="str">
        <f>IF(IFERROR(INDEX($A$9:$X$304,$AS104,COLUMNS($AV$9:BM103)),"")=0,"",IFERROR(INDEX($A$9:$X$304,$AS104,COLUMNS($AV$9:BM103)),""))</f>
        <v>Tyrants: Raxxa's Revenge</v>
      </c>
      <c r="BN104" s="3" t="b">
        <f>IF(IFERROR(INDEX($A$9:$X$304,$AS104,COLUMNS($AV$9:BN103)),"")=0,"",IFERROR(INDEX($A$9:$X$304,$AS104,COLUMNS($AV$9:BN103)),""))</f>
        <v>1</v>
      </c>
      <c r="BO104" s="3" t="b">
        <f>IF(IFERROR(INDEX($A$9:$X$304,$AS104,COLUMNS($AV$9:BO103)),"")=0,"",IFERROR(INDEX($A$9:$X$304,$AS104,COLUMNS($AV$9:BO103)),""))</f>
        <v>1</v>
      </c>
      <c r="BP104" s="3" t="b">
        <f>IF(IFERROR(INDEX($A$9:$X$304,$AS104,COLUMNS($AV$9:BP103)),"")=0,"",IFERROR(INDEX($A$9:$X$304,$AS104,COLUMNS($AV$9:BP103)),""))</f>
        <v>0</v>
      </c>
      <c r="BQ104" s="3" t="b">
        <f>IF(IFERROR(INDEX($A$9:$X$304,$AS104,COLUMNS($AV$9:BQ103)),"")=0,"",IFERROR(INDEX($A$9:$X$304,$AS104,COLUMNS($AV$9:BQ103)),""))</f>
        <v>0</v>
      </c>
      <c r="BR104" s="3" t="str">
        <f>IF(IFERROR(INDEX($A$9:$X$304,$AS104,COLUMNS($AV$9:BR103)),"")=0,"",IFERROR(INDEX($A$9:$X$304,$AS104,COLUMNS($AV$9:BR103)),""))</f>
        <v>http://www.epiccardgame.com/wp-content/uploads/2016/03/fumble-214x300.jpg</v>
      </c>
      <c r="BS104" s="3" t="str">
        <f>IF(IFERROR(INDEX($A$9:$X$304,$AS104,COLUMNS($AV$9:BS103)),"")=0,"",IFERROR(INDEX($A$9:$X$304,$AS104,COLUMNS($AV$9:BS103)),""))</f>
        <v/>
      </c>
      <c r="BT104" s="3"/>
      <c r="BU104" s="15"/>
      <c r="BV104" t="s">
        <v>125</v>
      </c>
    </row>
    <row r="105" spans="1:74" ht="161.25" customHeight="1" x14ac:dyDescent="0.25">
      <c r="A105" t="s">
        <v>421</v>
      </c>
      <c r="B105">
        <v>0</v>
      </c>
      <c r="C105" t="s">
        <v>615</v>
      </c>
      <c r="D105" t="s">
        <v>617</v>
      </c>
      <c r="E105" t="s">
        <v>621</v>
      </c>
      <c r="H105" t="s">
        <v>672</v>
      </c>
      <c r="J105" t="s">
        <v>987</v>
      </c>
      <c r="O105" t="s">
        <v>1090</v>
      </c>
      <c r="Q105" t="s">
        <v>1127</v>
      </c>
      <c r="R105" t="s">
        <v>1174</v>
      </c>
      <c r="S105" t="b">
        <v>1</v>
      </c>
      <c r="T105" t="b">
        <v>1</v>
      </c>
      <c r="U105" t="b">
        <v>0</v>
      </c>
      <c r="V105" t="b">
        <v>0</v>
      </c>
      <c r="W105" s="2" t="s">
        <v>1280</v>
      </c>
      <c r="X105" s="2"/>
      <c r="Y105" s="24">
        <v>97</v>
      </c>
      <c r="Z105">
        <f t="shared" si="20"/>
        <v>97</v>
      </c>
      <c r="AA105">
        <f t="shared" si="21"/>
        <v>97</v>
      </c>
      <c r="AB105">
        <f t="shared" si="22"/>
        <v>97</v>
      </c>
      <c r="AC105">
        <f t="shared" si="23"/>
        <v>97</v>
      </c>
      <c r="AD105">
        <f t="shared" si="24"/>
        <v>97</v>
      </c>
      <c r="AE105">
        <f t="shared" si="25"/>
        <v>0</v>
      </c>
      <c r="AF105">
        <f t="shared" si="26"/>
        <v>0</v>
      </c>
      <c r="AG105">
        <f t="shared" si="27"/>
        <v>97</v>
      </c>
      <c r="AH105">
        <f t="shared" si="28"/>
        <v>0</v>
      </c>
      <c r="AI105">
        <f t="shared" si="29"/>
        <v>97</v>
      </c>
      <c r="AJ105">
        <f t="shared" si="30"/>
        <v>0</v>
      </c>
      <c r="AK105">
        <f t="shared" si="31"/>
        <v>0</v>
      </c>
      <c r="AL105">
        <f t="shared" si="32"/>
        <v>0</v>
      </c>
      <c r="AM105">
        <f t="shared" si="33"/>
        <v>0</v>
      </c>
      <c r="AN105">
        <f t="shared" si="34"/>
        <v>97</v>
      </c>
      <c r="AO105">
        <f t="shared" si="35"/>
        <v>0</v>
      </c>
      <c r="AP105">
        <f t="shared" si="36"/>
        <v>97</v>
      </c>
      <c r="AQ105">
        <f t="shared" si="37"/>
        <v>97</v>
      </c>
      <c r="AR105" s="6">
        <f t="shared" si="38"/>
        <v>97</v>
      </c>
      <c r="AS105">
        <f t="shared" si="39"/>
        <v>97</v>
      </c>
      <c r="AV105" s="1" t="str">
        <f>IF(IFERROR(INDEX($A$9:$W$304,$AS105,COLUMNS($AV$9:AV104)),"")=0,"",IFERROR(INDEX($A$9:$W$304,$AS105,COLUMNS($AV$9:AV104)),""))</f>
        <v>Furios, Father of Nature</v>
      </c>
      <c r="AW105" s="1">
        <f>IFERROR(INDEX($A$9:$W$304,$AS105,COLUMNS($AV$9:AW104)),"")</f>
        <v>0</v>
      </c>
      <c r="AX105" s="1" t="str">
        <f>IF(IFERROR(INDEX($A$9:$X$304,$AS105,COLUMNS($AV$9:AX104)),"")=0,"",IFERROR(INDEX($A$9:$X$304,$AS105,COLUMNS($AV$9:AX104)),""))</f>
        <v>WILD</v>
      </c>
      <c r="AY105" s="1" t="str">
        <f>IF(IFERROR(INDEX($A$9:$X$304,$AS105,COLUMNS($AV$9:AY104)),"")=0,"",IFERROR(INDEX($A$9:$X$304,$AS105,COLUMNS($AV$9:AY104)),""))</f>
        <v>GOOD</v>
      </c>
      <c r="AZ105" s="1" t="str">
        <f>IF(IFERROR(INDEX($A$9:$X$304,$AS105,COLUMNS($AV$9:AZ104)),"")=0,"",IFERROR(INDEX($A$9:$X$304,$AS105,COLUMNS($AV$9:AZ104)),""))</f>
        <v>DEITY</v>
      </c>
      <c r="BA105" s="1" t="str">
        <f>IF(IFERROR(INDEX($A$9:$X$304,$AS105,COLUMNS($AV$9:BA104)),"")=0,"",IFERROR(INDEX($A$9:$X$304,$AS105,COLUMNS($AV$9:BA104)),""))</f>
        <v/>
      </c>
      <c r="BB105" s="1" t="str">
        <f>IF(IFERROR(INDEX($A$9:$X$304,$AS105,COLUMNS($AV$9:BB104)),"")=0,"",IFERROR(INDEX($A$9:$X$304,$AS105,COLUMNS($AV$9:BB104)),""))</f>
        <v/>
      </c>
      <c r="BC105" s="1" t="str">
        <f>IF(IFERROR(INDEX($A$9:$X$304,$AS105,COLUMNS($AV$9:BC104)),"")=0,"",IFERROR(INDEX($A$9:$X$304,$AS105,COLUMNS($AV$9:BC104)),""))</f>
        <v>At the start of your turn → Either gain 10 health, or deal 6 damage to a target.</v>
      </c>
      <c r="BD105" s="1" t="str">
        <f>IF(IFERROR(INDEX($A$9:$X$304,$AS105,COLUMNS($AV$9:BD104)),"")=0,"",IFERROR(INDEX($A$9:$X$304,$AS105,COLUMNS($AV$9:BD104)),""))</f>
        <v/>
      </c>
      <c r="BE105" s="1" t="str">
        <f>IF(IFERROR(INDEX($A$9:$X$304,$AS105,COLUMNS($AV$9:BE104)),"")=0,"",IFERROR(INDEX($A$9:$X$304,$AS105,COLUMNS($AV$9:BE104)),""))</f>
        <v>If it is your turn, return target champion to its owner’s hand. If this is the first {1} card you’ve played this turn, gain {1} that may only be used to pay sage costs.</v>
      </c>
      <c r="BF105" s="1" t="str">
        <f>IF(IFERROR(INDEX($A$9:$X$304,$AS105,COLUMNS($AV$9:BF104)),"")=0,"",IFERROR(INDEX($A$9:$X$304,$AS105,COLUMNS($AV$9:BF104)),""))</f>
        <v/>
      </c>
      <c r="BG105" s="1" t="str">
        <f>IF(IFERROR(INDEX($A$9:$X$304,$AS105,COLUMNS($AV$9:BG104)),"")=0,"",IFERROR(INDEX($A$9:$X$304,$AS105,COLUMNS($AV$9:BG104)),""))</f>
        <v/>
      </c>
      <c r="BH105" s="1" t="str">
        <f>IF(IFERROR(INDEX($A$9:$X$304,$AS105,COLUMNS($AV$9:BH104)),"")=0,"",IFERROR(INDEX($A$9:$X$304,$AS105,COLUMNS($AV$9:BH104)),""))</f>
        <v/>
      </c>
      <c r="BI105" s="1" t="str">
        <f>IF(IFERROR(INDEX($A$9:$X$304,$AS105,COLUMNS($AV$9:BI104)),"")=0,"",IFERROR(INDEX($A$9:$X$304,$AS105,COLUMNS($AV$9:BI104)),""))</f>
        <v/>
      </c>
      <c r="BJ105" s="1" t="str">
        <f>IF(IFERROR(INDEX($A$9:$X$304,$AS105,COLUMNS($AV$9:BJ104)),"")=0,"",IFERROR(INDEX($A$9:$X$304,$AS105,COLUMNS($AV$9:BJ104)),""))</f>
        <v>Elder God</v>
      </c>
      <c r="BK105" s="1" t="str">
        <f>IF(IFERROR(INDEX($A$9:$X$304,$AS105,COLUMNS($AV$9:BK104)),"")=0,"",IFERROR(INDEX($A$9:$X$304,$AS105,COLUMNS($AV$9:BK104)),""))</f>
        <v/>
      </c>
      <c r="BL105" s="1" t="str">
        <f>IF(IFERROR(INDEX($A$9:$X$304,$AS105,COLUMNS($AV$9:BL104)),"")=0,"",IFERROR(INDEX($A$9:$X$304,$AS105,COLUMNS($AV$9:BL104)),""))</f>
        <v>Johnny Morrow</v>
      </c>
      <c r="BM105" s="1" t="str">
        <f>IF(IFERROR(INDEX($A$9:$X$304,$AS105,COLUMNS($AV$9:BM104)),"")=0,"",IFERROR(INDEX($A$9:$X$304,$AS105,COLUMNS($AV$9:BM104)),""))</f>
        <v>Pantheon: Furios vs Maligus</v>
      </c>
      <c r="BN105" s="3" t="b">
        <f>IF(IFERROR(INDEX($A$9:$X$304,$AS105,COLUMNS($AV$9:BN104)),"")=0,"",IFERROR(INDEX($A$9:$X$304,$AS105,COLUMNS($AV$9:BN104)),""))</f>
        <v>1</v>
      </c>
      <c r="BO105" s="3" t="b">
        <f>IF(IFERROR(INDEX($A$9:$X$304,$AS105,COLUMNS($AV$9:BO104)),"")=0,"",IFERROR(INDEX($A$9:$X$304,$AS105,COLUMNS($AV$9:BO104)),""))</f>
        <v>1</v>
      </c>
      <c r="BP105" s="3" t="b">
        <f>IF(IFERROR(INDEX($A$9:$X$304,$AS105,COLUMNS($AV$9:BP104)),"")=0,"",IFERROR(INDEX($A$9:$X$304,$AS105,COLUMNS($AV$9:BP104)),""))</f>
        <v>0</v>
      </c>
      <c r="BQ105" s="3" t="b">
        <f>IF(IFERROR(INDEX($A$9:$X$304,$AS105,COLUMNS($AV$9:BQ104)),"")=0,"",IFERROR(INDEX($A$9:$X$304,$AS105,COLUMNS($AV$9:BQ104)),""))</f>
        <v>0</v>
      </c>
      <c r="BR105" s="3" t="str">
        <f>IF(IFERROR(INDEX($A$9:$X$304,$AS105,COLUMNS($AV$9:BR104)),"")=0,"",IFERROR(INDEX($A$9:$X$304,$AS105,COLUMNS($AV$9:BR104)),""))</f>
        <v>https://www.epiccardgame.com/wp-content/uploads/2017/11/PNF-EN-01-furios.jpg</v>
      </c>
      <c r="BS105" s="3" t="str">
        <f>IF(IFERROR(INDEX($A$9:$X$304,$AS105,COLUMNS($AV$9:BS104)),"")=0,"",IFERROR(INDEX($A$9:$X$304,$AS105,COLUMNS($AV$9:BS104)),""))</f>
        <v/>
      </c>
      <c r="BT105" s="3"/>
      <c r="BU105" s="15"/>
      <c r="BV105" t="s">
        <v>126</v>
      </c>
    </row>
    <row r="106" spans="1:74" ht="225" customHeight="1" x14ac:dyDescent="0.25">
      <c r="A106" t="s">
        <v>422</v>
      </c>
      <c r="B106">
        <v>1</v>
      </c>
      <c r="C106" t="s">
        <v>616</v>
      </c>
      <c r="E106" t="s">
        <v>619</v>
      </c>
      <c r="H106" t="s">
        <v>627</v>
      </c>
      <c r="O106" t="s">
        <v>1062</v>
      </c>
      <c r="P106" t="s">
        <v>1112</v>
      </c>
      <c r="Q106" t="s">
        <v>1136</v>
      </c>
      <c r="R106" t="s">
        <v>1170</v>
      </c>
      <c r="S106" t="b">
        <v>1</v>
      </c>
      <c r="T106" t="b">
        <v>0</v>
      </c>
      <c r="U106" t="b">
        <v>0</v>
      </c>
      <c r="V106" t="b">
        <v>0</v>
      </c>
      <c r="W106" s="2" t="s">
        <v>1281</v>
      </c>
      <c r="X106" s="2"/>
      <c r="Y106" s="24">
        <v>98</v>
      </c>
      <c r="Z106">
        <f t="shared" si="20"/>
        <v>98</v>
      </c>
      <c r="AA106">
        <f t="shared" si="21"/>
        <v>98</v>
      </c>
      <c r="AB106">
        <f t="shared" si="22"/>
        <v>98</v>
      </c>
      <c r="AC106">
        <f t="shared" si="23"/>
        <v>0</v>
      </c>
      <c r="AD106">
        <f t="shared" si="24"/>
        <v>98</v>
      </c>
      <c r="AE106">
        <f t="shared" si="25"/>
        <v>0</v>
      </c>
      <c r="AF106">
        <f t="shared" si="26"/>
        <v>0</v>
      </c>
      <c r="AG106">
        <f t="shared" si="27"/>
        <v>98</v>
      </c>
      <c r="AH106">
        <f t="shared" si="28"/>
        <v>0</v>
      </c>
      <c r="AI106">
        <f t="shared" si="29"/>
        <v>0</v>
      </c>
      <c r="AJ106">
        <f t="shared" si="30"/>
        <v>0</v>
      </c>
      <c r="AK106">
        <f t="shared" si="31"/>
        <v>0</v>
      </c>
      <c r="AL106">
        <f t="shared" si="32"/>
        <v>0</v>
      </c>
      <c r="AM106">
        <f t="shared" si="33"/>
        <v>0</v>
      </c>
      <c r="AN106">
        <f t="shared" si="34"/>
        <v>98</v>
      </c>
      <c r="AO106">
        <f t="shared" si="35"/>
        <v>98</v>
      </c>
      <c r="AP106">
        <f t="shared" si="36"/>
        <v>98</v>
      </c>
      <c r="AQ106">
        <f t="shared" si="37"/>
        <v>98</v>
      </c>
      <c r="AR106" s="6">
        <f t="shared" si="38"/>
        <v>98</v>
      </c>
      <c r="AS106">
        <f t="shared" si="39"/>
        <v>98</v>
      </c>
      <c r="AV106" s="1" t="str">
        <f>IF(IFERROR(INDEX($A$9:$W$304,$AS106,COLUMNS($AV$9:AV105)),"")=0,"",IFERROR(INDEX($A$9:$W$304,$AS106,COLUMNS($AV$9:AV105)),""))</f>
        <v>Gareth's Will</v>
      </c>
      <c r="AW106" s="1">
        <f>IFERROR(INDEX($A$9:$W$304,$AS106,COLUMNS($AV$9:AW105)),"")</f>
        <v>1</v>
      </c>
      <c r="AX106" s="1" t="str">
        <f>IF(IFERROR(INDEX($A$9:$X$304,$AS106,COLUMNS($AV$9:AX105)),"")=0,"",IFERROR(INDEX($A$9:$X$304,$AS106,COLUMNS($AV$9:AX105)),""))</f>
        <v>SAGE</v>
      </c>
      <c r="AY106" s="1" t="str">
        <f>IF(IFERROR(INDEX($A$9:$X$304,$AS106,COLUMNS($AV$9:AY105)),"")=0,"",IFERROR(INDEX($A$9:$X$304,$AS106,COLUMNS($AV$9:AY105)),""))</f>
        <v/>
      </c>
      <c r="AZ106" s="1" t="str">
        <f>IF(IFERROR(INDEX($A$9:$X$304,$AS106,COLUMNS($AV$9:AZ105)),"")=0,"",IFERROR(INDEX($A$9:$X$304,$AS106,COLUMNS($AV$9:AZ105)),""))</f>
        <v>EVENT</v>
      </c>
      <c r="BA106" s="1" t="str">
        <f>IF(IFERROR(INDEX($A$9:$X$304,$AS106,COLUMNS($AV$9:BA105)),"")=0,"",IFERROR(INDEX($A$9:$X$304,$AS106,COLUMNS($AV$9:BA105)),""))</f>
        <v/>
      </c>
      <c r="BB106" s="1" t="str">
        <f>IF(IFERROR(INDEX($A$9:$X$304,$AS106,COLUMNS($AV$9:BB105)),"")=0,"",IFERROR(INDEX($A$9:$X$304,$AS106,COLUMNS($AV$9:BB105)),""))</f>
        <v/>
      </c>
      <c r="BC106" s="1" t="str">
        <f>IF(IFERROR(INDEX($A$9:$X$304,$AS106,COLUMNS($AV$9:BC105)),"")=0,"",IFERROR(INDEX($A$9:$X$304,$AS106,COLUMNS($AV$9:BC105)),""))</f>
        <v>Draw two cards.</v>
      </c>
      <c r="BD106" s="1" t="str">
        <f>IF(IFERROR(INDEX($A$9:$X$304,$AS106,COLUMNS($AV$9:BD105)),"")=0,"",IFERROR(INDEX($A$9:$X$304,$AS106,COLUMNS($AV$9:BD105)),""))</f>
        <v/>
      </c>
      <c r="BE106" s="1" t="str">
        <f>IF(IFERROR(INDEX($A$9:$X$304,$AS106,COLUMNS($AV$9:BE105)),"")=0,"",IFERROR(INDEX($A$9:$X$304,$AS106,COLUMNS($AV$9:BE105)),""))</f>
        <v/>
      </c>
      <c r="BF106" s="1" t="str">
        <f>IF(IFERROR(INDEX($A$9:$X$304,$AS106,COLUMNS($AV$9:BF105)),"")=0,"",IFERROR(INDEX($A$9:$X$304,$AS106,COLUMNS($AV$9:BF105)),""))</f>
        <v/>
      </c>
      <c r="BG106" s="1" t="str">
        <f>IF(IFERROR(INDEX($A$9:$X$304,$AS106,COLUMNS($AV$9:BG105)),"")=0,"",IFERROR(INDEX($A$9:$X$304,$AS106,COLUMNS($AV$9:BG105)),""))</f>
        <v/>
      </c>
      <c r="BH106" s="1" t="str">
        <f>IF(IFERROR(INDEX($A$9:$X$304,$AS106,COLUMNS($AV$9:BH105)),"")=0,"",IFERROR(INDEX($A$9:$X$304,$AS106,COLUMNS($AV$9:BH105)),""))</f>
        <v/>
      </c>
      <c r="BI106" s="1" t="str">
        <f>IF(IFERROR(INDEX($A$9:$X$304,$AS106,COLUMNS($AV$9:BI105)),"")=0,"",IFERROR(INDEX($A$9:$X$304,$AS106,COLUMNS($AV$9:BI105)),""))</f>
        <v/>
      </c>
      <c r="BJ106" s="1" t="str">
        <f>IF(IFERROR(INDEX($A$9:$X$304,$AS106,COLUMNS($AV$9:BJ105)),"")=0,"",IFERROR(INDEX($A$9:$X$304,$AS106,COLUMNS($AV$9:BJ105)),""))</f>
        <v>None</v>
      </c>
      <c r="BK106" s="1" t="str">
        <f>IF(IFERROR(INDEX($A$9:$X$304,$AS106,COLUMNS($AV$9:BK105)),"")=0,"",IFERROR(INDEX($A$9:$X$304,$AS106,COLUMNS($AV$9:BK105)),""))</f>
        <v>Common</v>
      </c>
      <c r="BL106" s="1" t="str">
        <f>IF(IFERROR(INDEX($A$9:$X$304,$AS106,COLUMNS($AV$9:BL105)),"")=0,"",IFERROR(INDEX($A$9:$X$304,$AS106,COLUMNS($AV$9:BL105)),""))</f>
        <v>L. Sean</v>
      </c>
      <c r="BM106" s="1" t="str">
        <f>IF(IFERROR(INDEX($A$9:$X$304,$AS106,COLUMNS($AV$9:BM105)),"")=0,"",IFERROR(INDEX($A$9:$X$304,$AS106,COLUMNS($AV$9:BM105)),""))</f>
        <v>Pantheon: Helena vs Zaltessa</v>
      </c>
      <c r="BN106" s="3" t="b">
        <f>IF(IFERROR(INDEX($A$9:$X$304,$AS106,COLUMNS($AV$9:BN105)),"")=0,"",IFERROR(INDEX($A$9:$X$304,$AS106,COLUMNS($AV$9:BN105)),""))</f>
        <v>1</v>
      </c>
      <c r="BO106" s="3" t="b">
        <f>IF(IFERROR(INDEX($A$9:$X$304,$AS106,COLUMNS($AV$9:BO105)),"")=0,"",IFERROR(INDEX($A$9:$X$304,$AS106,COLUMNS($AV$9:BO105)),""))</f>
        <v>0</v>
      </c>
      <c r="BP106" s="3" t="b">
        <f>IF(IFERROR(INDEX($A$9:$X$304,$AS106,COLUMNS($AV$9:BP105)),"")=0,"",IFERROR(INDEX($A$9:$X$304,$AS106,COLUMNS($AV$9:BP105)),""))</f>
        <v>0</v>
      </c>
      <c r="BQ106" s="3" t="b">
        <f>IF(IFERROR(INDEX($A$9:$X$304,$AS106,COLUMNS($AV$9:BQ105)),"")=0,"",IFERROR(INDEX($A$9:$X$304,$AS106,COLUMNS($AV$9:BQ105)),""))</f>
        <v>0</v>
      </c>
      <c r="BR106" s="3" t="str">
        <f>IF(IFERROR(INDEX($A$9:$X$304,$AS106,COLUMNS($AV$9:BR105)),"")=0,"",IFERROR(INDEX($A$9:$X$304,$AS106,COLUMNS($AV$9:BR105)),""))</f>
        <v>https://www.epiccardgame.com/wp-content/uploads/2017/11/PNH-EN-07-gareth-s-will.jpg</v>
      </c>
      <c r="BS106" s="3" t="str">
        <f>IF(IFERROR(INDEX($A$9:$X$304,$AS106,COLUMNS($AV$9:BS105)),"")=0,"",IFERROR(INDEX($A$9:$X$304,$AS106,COLUMNS($AV$9:BS105)),""))</f>
        <v/>
      </c>
      <c r="BT106" s="3"/>
      <c r="BU106" s="15"/>
      <c r="BV106" t="s">
        <v>127</v>
      </c>
    </row>
    <row r="107" spans="1:74" ht="161.25" customHeight="1" x14ac:dyDescent="0.25">
      <c r="A107" t="s">
        <v>423</v>
      </c>
      <c r="B107">
        <v>0</v>
      </c>
      <c r="C107" t="s">
        <v>616</v>
      </c>
      <c r="E107" t="s">
        <v>621</v>
      </c>
      <c r="H107" t="s">
        <v>673</v>
      </c>
      <c r="I107" t="s">
        <v>832</v>
      </c>
      <c r="O107" t="s">
        <v>1091</v>
      </c>
      <c r="Q107" t="s">
        <v>1134</v>
      </c>
      <c r="R107" t="s">
        <v>1179</v>
      </c>
      <c r="S107" t="b">
        <v>1</v>
      </c>
      <c r="T107" t="b">
        <v>0</v>
      </c>
      <c r="U107" t="b">
        <v>0</v>
      </c>
      <c r="V107" t="b">
        <v>0</v>
      </c>
      <c r="W107" s="2" t="s">
        <v>1282</v>
      </c>
      <c r="X107" s="2"/>
      <c r="Y107" s="24">
        <v>99</v>
      </c>
      <c r="Z107">
        <f t="shared" si="20"/>
        <v>99</v>
      </c>
      <c r="AA107">
        <f t="shared" si="21"/>
        <v>99</v>
      </c>
      <c r="AB107">
        <f t="shared" si="22"/>
        <v>99</v>
      </c>
      <c r="AC107">
        <f t="shared" si="23"/>
        <v>0</v>
      </c>
      <c r="AD107">
        <f t="shared" si="24"/>
        <v>99</v>
      </c>
      <c r="AE107">
        <f t="shared" si="25"/>
        <v>0</v>
      </c>
      <c r="AF107">
        <f t="shared" si="26"/>
        <v>0</v>
      </c>
      <c r="AG107">
        <f t="shared" si="27"/>
        <v>99</v>
      </c>
      <c r="AH107">
        <f t="shared" si="28"/>
        <v>99</v>
      </c>
      <c r="AI107">
        <f t="shared" si="29"/>
        <v>0</v>
      </c>
      <c r="AJ107">
        <f t="shared" si="30"/>
        <v>0</v>
      </c>
      <c r="AK107">
        <f t="shared" si="31"/>
        <v>0</v>
      </c>
      <c r="AL107">
        <f t="shared" si="32"/>
        <v>0</v>
      </c>
      <c r="AM107">
        <f t="shared" si="33"/>
        <v>0</v>
      </c>
      <c r="AN107">
        <f t="shared" si="34"/>
        <v>99</v>
      </c>
      <c r="AO107">
        <f t="shared" si="35"/>
        <v>0</v>
      </c>
      <c r="AP107">
        <f t="shared" si="36"/>
        <v>99</v>
      </c>
      <c r="AQ107">
        <f t="shared" si="37"/>
        <v>99</v>
      </c>
      <c r="AR107" s="6">
        <f t="shared" si="38"/>
        <v>99</v>
      </c>
      <c r="AS107">
        <f t="shared" si="39"/>
        <v>99</v>
      </c>
      <c r="AV107" s="1" t="str">
        <f>IF(IFERROR(INDEX($A$9:$W$304,$AS107,COLUMNS($AV$9:AV106)),"")=0,"",IFERROR(INDEX($A$9:$W$304,$AS107,COLUMNS($AV$9:AV106)),""))</f>
        <v>Gareth, Father of Genius</v>
      </c>
      <c r="AW107" s="1">
        <f>IFERROR(INDEX($A$9:$W$304,$AS107,COLUMNS($AV$9:AW106)),"")</f>
        <v>0</v>
      </c>
      <c r="AX107" s="1" t="str">
        <f>IF(IFERROR(INDEX($A$9:$X$304,$AS107,COLUMNS($AV$9:AX106)),"")=0,"",IFERROR(INDEX($A$9:$X$304,$AS107,COLUMNS($AV$9:AX106)),""))</f>
        <v>SAGE</v>
      </c>
      <c r="AY107" s="1" t="str">
        <f>IF(IFERROR(INDEX($A$9:$X$304,$AS107,COLUMNS($AV$9:AY106)),"")=0,"",IFERROR(INDEX($A$9:$X$304,$AS107,COLUMNS($AV$9:AY106)),""))</f>
        <v/>
      </c>
      <c r="AZ107" s="1" t="str">
        <f>IF(IFERROR(INDEX($A$9:$X$304,$AS107,COLUMNS($AV$9:AZ106)),"")=0,"",IFERROR(INDEX($A$9:$X$304,$AS107,COLUMNS($AV$9:AZ106)),""))</f>
        <v>DEITY</v>
      </c>
      <c r="BA107" s="1" t="str">
        <f>IF(IFERROR(INDEX($A$9:$X$304,$AS107,COLUMNS($AV$9:BA106)),"")=0,"",IFERROR(INDEX($A$9:$X$304,$AS107,COLUMNS($AV$9:BA106)),""))</f>
        <v/>
      </c>
      <c r="BB107" s="1" t="str">
        <f>IF(IFERROR(INDEX($A$9:$X$304,$AS107,COLUMNS($AV$9:BB106)),"")=0,"",IFERROR(INDEX($A$9:$X$304,$AS107,COLUMNS($AV$9:BB106)),""))</f>
        <v/>
      </c>
      <c r="BC107" s="1" t="str">
        <f>IF(IFERROR(INDEX($A$9:$X$304,$AS107,COLUMNS($AV$9:BC106)),"")=0,"",IFERROR(INDEX($A$9:$X$304,$AS107,COLUMNS($AV$9:BC106)),""))</f>
        <v>{1}: Return target champion to its owner’s hand. If you are its owner, you may play an event from your hand without paying its cost. Otherwise, that player banishes a card from their hand.</v>
      </c>
      <c r="BD107" s="1" t="str">
        <f>IF(IFERROR(INDEX($A$9:$X$304,$AS107,COLUMNS($AV$9:BD106)),"")=0,"",IFERROR(INDEX($A$9:$X$304,$AS107,COLUMNS($AV$9:BD106)),""))</f>
        <v>{sage} → Expend target champion.</v>
      </c>
      <c r="BE107" s="1" t="str">
        <f>IF(IFERROR(INDEX($A$9:$X$304,$AS107,COLUMNS($AV$9:BE106)),"")=0,"",IFERROR(INDEX($A$9:$X$304,$AS107,COLUMNS($AV$9:BE106)),""))</f>
        <v/>
      </c>
      <c r="BF107" s="1" t="str">
        <f>IF(IFERROR(INDEX($A$9:$X$304,$AS107,COLUMNS($AV$9:BF106)),"")=0,"",IFERROR(INDEX($A$9:$X$304,$AS107,COLUMNS($AV$9:BF106)),""))</f>
        <v/>
      </c>
      <c r="BG107" s="1" t="str">
        <f>IF(IFERROR(INDEX($A$9:$X$304,$AS107,COLUMNS($AV$9:BG106)),"")=0,"",IFERROR(INDEX($A$9:$X$304,$AS107,COLUMNS($AV$9:BG106)),""))</f>
        <v/>
      </c>
      <c r="BH107" s="1" t="str">
        <f>IF(IFERROR(INDEX($A$9:$X$304,$AS107,COLUMNS($AV$9:BH106)),"")=0,"",IFERROR(INDEX($A$9:$X$304,$AS107,COLUMNS($AV$9:BH106)),""))</f>
        <v/>
      </c>
      <c r="BI107" s="1" t="str">
        <f>IF(IFERROR(INDEX($A$9:$X$304,$AS107,COLUMNS($AV$9:BI106)),"")=0,"",IFERROR(INDEX($A$9:$X$304,$AS107,COLUMNS($AV$9:BI106)),""))</f>
        <v/>
      </c>
      <c r="BJ107" s="1" t="str">
        <f>IF(IFERROR(INDEX($A$9:$X$304,$AS107,COLUMNS($AV$9:BJ106)),"")=0,"",IFERROR(INDEX($A$9:$X$304,$AS107,COLUMNS($AV$9:BJ106)),""))</f>
        <v>God</v>
      </c>
      <c r="BK107" s="1" t="str">
        <f>IF(IFERROR(INDEX($A$9:$X$304,$AS107,COLUMNS($AV$9:BK106)),"")=0,"",IFERROR(INDEX($A$9:$X$304,$AS107,COLUMNS($AV$9:BK106)),""))</f>
        <v/>
      </c>
      <c r="BL107" s="1" t="str">
        <f>IF(IFERROR(INDEX($A$9:$X$304,$AS107,COLUMNS($AV$9:BL106)),"")=0,"",IFERROR(INDEX($A$9:$X$304,$AS107,COLUMNS($AV$9:BL106)),""))</f>
        <v>Shen Fei</v>
      </c>
      <c r="BM107" s="1" t="str">
        <f>IF(IFERROR(INDEX($A$9:$X$304,$AS107,COLUMNS($AV$9:BM106)),"")=0,"",IFERROR(INDEX($A$9:$X$304,$AS107,COLUMNS($AV$9:BM106)),""))</f>
        <v>Pantheon: Gareth vs Lashnok</v>
      </c>
      <c r="BN107" s="3" t="b">
        <f>IF(IFERROR(INDEX($A$9:$X$304,$AS107,COLUMNS($AV$9:BN106)),"")=0,"",IFERROR(INDEX($A$9:$X$304,$AS107,COLUMNS($AV$9:BN106)),""))</f>
        <v>1</v>
      </c>
      <c r="BO107" s="3" t="b">
        <f>IF(IFERROR(INDEX($A$9:$X$304,$AS107,COLUMNS($AV$9:BO106)),"")=0,"",IFERROR(INDEX($A$9:$X$304,$AS107,COLUMNS($AV$9:BO106)),""))</f>
        <v>0</v>
      </c>
      <c r="BP107" s="3" t="b">
        <f>IF(IFERROR(INDEX($A$9:$X$304,$AS107,COLUMNS($AV$9:BP106)),"")=0,"",IFERROR(INDEX($A$9:$X$304,$AS107,COLUMNS($AV$9:BP106)),""))</f>
        <v>0</v>
      </c>
      <c r="BQ107" s="3" t="b">
        <f>IF(IFERROR(INDEX($A$9:$X$304,$AS107,COLUMNS($AV$9:BQ106)),"")=0,"",IFERROR(INDEX($A$9:$X$304,$AS107,COLUMNS($AV$9:BQ106)),""))</f>
        <v>0</v>
      </c>
      <c r="BR107" s="3" t="str">
        <f>IF(IFERROR(INDEX($A$9:$X$304,$AS107,COLUMNS($AV$9:BR106)),"")=0,"",IFERROR(INDEX($A$9:$X$304,$AS107,COLUMNS($AV$9:BR106)),""))</f>
        <v>https://www.epiccardgame.com/wp-content/uploads/2017/11/PNG-EN-01-gareth.jpg</v>
      </c>
      <c r="BS107" s="3" t="str">
        <f>IF(IFERROR(INDEX($A$9:$X$304,$AS107,COLUMNS($AV$9:BS106)),"")=0,"",IFERROR(INDEX($A$9:$X$304,$AS107,COLUMNS($AV$9:BS106)),""))</f>
        <v/>
      </c>
      <c r="BT107" s="3"/>
      <c r="BU107" s="15"/>
      <c r="BV107" t="s">
        <v>128</v>
      </c>
    </row>
    <row r="108" spans="1:74" ht="225" customHeight="1" x14ac:dyDescent="0.25">
      <c r="A108" t="s">
        <v>424</v>
      </c>
      <c r="B108">
        <v>0</v>
      </c>
      <c r="C108" t="s">
        <v>616</v>
      </c>
      <c r="E108" t="s">
        <v>620</v>
      </c>
      <c r="F108">
        <v>5</v>
      </c>
      <c r="G108">
        <v>5</v>
      </c>
      <c r="H108" t="s">
        <v>674</v>
      </c>
      <c r="I108" t="s">
        <v>833</v>
      </c>
      <c r="J108" t="s">
        <v>988</v>
      </c>
      <c r="O108" t="s">
        <v>1075</v>
      </c>
      <c r="P108" t="s">
        <v>1112</v>
      </c>
      <c r="Q108" t="s">
        <v>1145</v>
      </c>
      <c r="R108" t="s">
        <v>1179</v>
      </c>
      <c r="S108" t="b">
        <v>0</v>
      </c>
      <c r="T108" t="b">
        <v>0</v>
      </c>
      <c r="U108" t="b">
        <v>0</v>
      </c>
      <c r="V108" t="b">
        <v>0</v>
      </c>
      <c r="W108" s="2" t="s">
        <v>1283</v>
      </c>
      <c r="X108" s="2"/>
      <c r="Y108" s="24">
        <v>100</v>
      </c>
      <c r="Z108">
        <f t="shared" si="20"/>
        <v>100</v>
      </c>
      <c r="AA108">
        <f t="shared" si="21"/>
        <v>100</v>
      </c>
      <c r="AB108">
        <f t="shared" si="22"/>
        <v>100</v>
      </c>
      <c r="AC108">
        <f t="shared" si="23"/>
        <v>0</v>
      </c>
      <c r="AD108">
        <f t="shared" si="24"/>
        <v>100</v>
      </c>
      <c r="AE108">
        <f t="shared" si="25"/>
        <v>100</v>
      </c>
      <c r="AF108">
        <f t="shared" si="26"/>
        <v>100</v>
      </c>
      <c r="AG108">
        <f t="shared" si="27"/>
        <v>100</v>
      </c>
      <c r="AH108">
        <f t="shared" si="28"/>
        <v>100</v>
      </c>
      <c r="AI108">
        <f t="shared" si="29"/>
        <v>100</v>
      </c>
      <c r="AJ108">
        <f t="shared" si="30"/>
        <v>0</v>
      </c>
      <c r="AK108">
        <f t="shared" si="31"/>
        <v>0</v>
      </c>
      <c r="AL108">
        <f t="shared" si="32"/>
        <v>0</v>
      </c>
      <c r="AM108">
        <f t="shared" si="33"/>
        <v>0</v>
      </c>
      <c r="AN108">
        <f t="shared" si="34"/>
        <v>100</v>
      </c>
      <c r="AO108">
        <f t="shared" si="35"/>
        <v>100</v>
      </c>
      <c r="AP108">
        <f t="shared" si="36"/>
        <v>100</v>
      </c>
      <c r="AQ108">
        <f t="shared" si="37"/>
        <v>100</v>
      </c>
      <c r="AR108" s="6">
        <f t="shared" si="38"/>
        <v>100</v>
      </c>
      <c r="AS108">
        <f t="shared" si="39"/>
        <v>100</v>
      </c>
      <c r="AV108" s="1" t="str">
        <f>IF(IFERROR(INDEX($A$9:$W$304,$AS108,COLUMNS($AV$9:AV107)),"")=0,"",IFERROR(INDEX($A$9:$W$304,$AS108,COLUMNS($AV$9:AV107)),""))</f>
        <v>Gareth’s Juggernaut</v>
      </c>
      <c r="AW108" s="1">
        <f>IFERROR(INDEX($A$9:$W$304,$AS108,COLUMNS($AV$9:AW107)),"")</f>
        <v>0</v>
      </c>
      <c r="AX108" s="1" t="str">
        <f>IF(IFERROR(INDEX($A$9:$X$304,$AS108,COLUMNS($AV$9:AX107)),"")=0,"",IFERROR(INDEX($A$9:$X$304,$AS108,COLUMNS($AV$9:AX107)),""))</f>
        <v>SAGE</v>
      </c>
      <c r="AY108" s="1" t="str">
        <f>IF(IFERROR(INDEX($A$9:$X$304,$AS108,COLUMNS($AV$9:AY107)),"")=0,"",IFERROR(INDEX($A$9:$X$304,$AS108,COLUMNS($AV$9:AY107)),""))</f>
        <v/>
      </c>
      <c r="AZ108" s="1" t="str">
        <f>IF(IFERROR(INDEX($A$9:$X$304,$AS108,COLUMNS($AV$9:AZ107)),"")=0,"",IFERROR(INDEX($A$9:$X$304,$AS108,COLUMNS($AV$9:AZ107)),""))</f>
        <v>CHAMPION</v>
      </c>
      <c r="BA108" s="1">
        <f>IF(IFERROR(INDEX($A$9:$X$304,$AS108,COLUMNS($AV$9:BA107)),"")=0,"",IFERROR(INDEX($A$9:$X$304,$AS108,COLUMNS($AV$9:BA107)),""))</f>
        <v>5</v>
      </c>
      <c r="BB108" s="1">
        <f>IF(IFERROR(INDEX($A$9:$X$304,$AS108,COLUMNS($AV$9:BB107)),"")=0,"",IFERROR(INDEX($A$9:$X$304,$AS108,COLUMNS($AV$9:BB107)),""))</f>
        <v>5</v>
      </c>
      <c r="BC108" s="1" t="str">
        <f>IF(IFERROR(INDEX($A$9:$X$304,$AS108,COLUMNS($AV$9:BC107)),"")=0,"",IFERROR(INDEX($A$9:$X$304,$AS108,COLUMNS($AV$9:BC107)),""))</f>
        <v>Loyalty 2 → Blitz</v>
      </c>
      <c r="BD108" s="1" t="str">
        <f>IF(IFERROR(INDEX($A$9:$X$304,$AS108,COLUMNS($AV$9:BD107)),"")=0,"",IFERROR(INDEX($A$9:$X$304,$AS108,COLUMNS($AV$9:BD107)),""))</f>
        <v>{sage} → This card gains unbreakable this turn.</v>
      </c>
      <c r="BE108" s="1" t="str">
        <f>IF(IFERROR(INDEX($A$9:$X$304,$AS108,COLUMNS($AV$9:BE107)),"")=0,"",IFERROR(INDEX($A$9:$X$304,$AS108,COLUMNS($AV$9:BE107)),""))</f>
        <v>“I could build something to stop it, but why?” - Gareth</v>
      </c>
      <c r="BF108" s="1" t="str">
        <f>IF(IFERROR(INDEX($A$9:$X$304,$AS108,COLUMNS($AV$9:BF107)),"")=0,"",IFERROR(INDEX($A$9:$X$304,$AS108,COLUMNS($AV$9:BF107)),""))</f>
        <v/>
      </c>
      <c r="BG108" s="1" t="str">
        <f>IF(IFERROR(INDEX($A$9:$X$304,$AS108,COLUMNS($AV$9:BG107)),"")=0,"",IFERROR(INDEX($A$9:$X$304,$AS108,COLUMNS($AV$9:BG107)),""))</f>
        <v/>
      </c>
      <c r="BH108" s="1" t="str">
        <f>IF(IFERROR(INDEX($A$9:$X$304,$AS108,COLUMNS($AV$9:BH107)),"")=0,"",IFERROR(INDEX($A$9:$X$304,$AS108,COLUMNS($AV$9:BH107)),""))</f>
        <v/>
      </c>
      <c r="BI108" s="1" t="str">
        <f>IF(IFERROR(INDEX($A$9:$X$304,$AS108,COLUMNS($AV$9:BI107)),"")=0,"",IFERROR(INDEX($A$9:$X$304,$AS108,COLUMNS($AV$9:BI107)),""))</f>
        <v/>
      </c>
      <c r="BJ108" s="1" t="str">
        <f>IF(IFERROR(INDEX($A$9:$X$304,$AS108,COLUMNS($AV$9:BJ107)),"")=0,"",IFERROR(INDEX($A$9:$X$304,$AS108,COLUMNS($AV$9:BJ107)),""))</f>
        <v>CONSTRUCT</v>
      </c>
      <c r="BK108" s="1" t="str">
        <f>IF(IFERROR(INDEX($A$9:$X$304,$AS108,COLUMNS($AV$9:BK107)),"")=0,"",IFERROR(INDEX($A$9:$X$304,$AS108,COLUMNS($AV$9:BK107)),""))</f>
        <v>Common</v>
      </c>
      <c r="BL108" s="1" t="str">
        <f>IF(IFERROR(INDEX($A$9:$X$304,$AS108,COLUMNS($AV$9:BL107)),"")=0,"",IFERROR(INDEX($A$9:$X$304,$AS108,COLUMNS($AV$9:BL107)),""))</f>
        <v>Agri Karuniawan</v>
      </c>
      <c r="BM108" s="1" t="str">
        <f>IF(IFERROR(INDEX($A$9:$X$304,$AS108,COLUMNS($AV$9:BM107)),"")=0,"",IFERROR(INDEX($A$9:$X$304,$AS108,COLUMNS($AV$9:BM107)),""))</f>
        <v>Pantheon: Gareth vs Lashnok</v>
      </c>
      <c r="BN108" s="3" t="b">
        <f>IF(IFERROR(INDEX($A$9:$X$304,$AS108,COLUMNS($AV$9:BN107)),"")=0,"",IFERROR(INDEX($A$9:$X$304,$AS108,COLUMNS($AV$9:BN107)),""))</f>
        <v>0</v>
      </c>
      <c r="BO108" s="3" t="b">
        <f>IF(IFERROR(INDEX($A$9:$X$304,$AS108,COLUMNS($AV$9:BO107)),"")=0,"",IFERROR(INDEX($A$9:$X$304,$AS108,COLUMNS($AV$9:BO107)),""))</f>
        <v>0</v>
      </c>
      <c r="BP108" s="3" t="b">
        <f>IF(IFERROR(INDEX($A$9:$X$304,$AS108,COLUMNS($AV$9:BP107)),"")=0,"",IFERROR(INDEX($A$9:$X$304,$AS108,COLUMNS($AV$9:BP107)),""))</f>
        <v>0</v>
      </c>
      <c r="BQ108" s="3" t="b">
        <f>IF(IFERROR(INDEX($A$9:$X$304,$AS108,COLUMNS($AV$9:BQ107)),"")=0,"",IFERROR(INDEX($A$9:$X$304,$AS108,COLUMNS($AV$9:BQ107)),""))</f>
        <v>0</v>
      </c>
      <c r="BR108" s="3" t="str">
        <f>IF(IFERROR(INDEX($A$9:$X$304,$AS108,COLUMNS($AV$9:BR107)),"")=0,"",IFERROR(INDEX($A$9:$X$304,$AS108,COLUMNS($AV$9:BR107)),""))</f>
        <v>https://www.epiccardgame.com/wp-content/uploads/2017/11/PNG-EN-04-gareth-s-juggernaut.jpg</v>
      </c>
      <c r="BS108" s="3" t="str">
        <f>IF(IFERROR(INDEX($A$9:$X$304,$AS108,COLUMNS($AV$9:BS107)),"")=0,"",IFERROR(INDEX($A$9:$X$304,$AS108,COLUMNS($AV$9:BS107)),""))</f>
        <v/>
      </c>
      <c r="BT108" s="3"/>
      <c r="BU108" s="15"/>
      <c r="BV108" t="s">
        <v>129</v>
      </c>
    </row>
    <row r="109" spans="1:74" ht="225" customHeight="1" x14ac:dyDescent="0.25">
      <c r="A109" t="s">
        <v>425</v>
      </c>
      <c r="B109">
        <v>1</v>
      </c>
      <c r="C109" t="s">
        <v>617</v>
      </c>
      <c r="E109" t="s">
        <v>620</v>
      </c>
      <c r="F109">
        <v>6</v>
      </c>
      <c r="G109">
        <v>11</v>
      </c>
      <c r="H109" t="s">
        <v>28</v>
      </c>
      <c r="I109" t="s">
        <v>834</v>
      </c>
      <c r="J109" t="s">
        <v>989</v>
      </c>
      <c r="O109" t="s">
        <v>1063</v>
      </c>
      <c r="P109" t="s">
        <v>1112</v>
      </c>
      <c r="Q109" t="s">
        <v>1146</v>
      </c>
      <c r="R109" t="s">
        <v>1177</v>
      </c>
      <c r="S109" t="b">
        <v>1</v>
      </c>
      <c r="T109" t="b">
        <v>0</v>
      </c>
      <c r="U109" t="b">
        <v>0</v>
      </c>
      <c r="V109" t="b">
        <v>0</v>
      </c>
      <c r="W109" s="2" t="s">
        <v>1284</v>
      </c>
      <c r="X109" s="2"/>
      <c r="Y109" s="24">
        <v>101</v>
      </c>
      <c r="Z109">
        <f t="shared" si="20"/>
        <v>101</v>
      </c>
      <c r="AA109">
        <f t="shared" si="21"/>
        <v>101</v>
      </c>
      <c r="AB109">
        <f t="shared" si="22"/>
        <v>101</v>
      </c>
      <c r="AC109">
        <f t="shared" si="23"/>
        <v>0</v>
      </c>
      <c r="AD109">
        <f t="shared" si="24"/>
        <v>101</v>
      </c>
      <c r="AE109">
        <f t="shared" si="25"/>
        <v>101</v>
      </c>
      <c r="AF109">
        <f t="shared" si="26"/>
        <v>101</v>
      </c>
      <c r="AG109">
        <f t="shared" si="27"/>
        <v>101</v>
      </c>
      <c r="AH109">
        <f t="shared" si="28"/>
        <v>101</v>
      </c>
      <c r="AI109">
        <f t="shared" si="29"/>
        <v>101</v>
      </c>
      <c r="AJ109">
        <f t="shared" si="30"/>
        <v>0</v>
      </c>
      <c r="AK109">
        <f t="shared" si="31"/>
        <v>0</v>
      </c>
      <c r="AL109">
        <f t="shared" si="32"/>
        <v>0</v>
      </c>
      <c r="AM109">
        <f t="shared" si="33"/>
        <v>0</v>
      </c>
      <c r="AN109">
        <f t="shared" si="34"/>
        <v>101</v>
      </c>
      <c r="AO109">
        <f t="shared" si="35"/>
        <v>101</v>
      </c>
      <c r="AP109">
        <f t="shared" si="36"/>
        <v>101</v>
      </c>
      <c r="AQ109">
        <f t="shared" si="37"/>
        <v>101</v>
      </c>
      <c r="AR109" s="6">
        <f t="shared" si="38"/>
        <v>101</v>
      </c>
      <c r="AS109">
        <f t="shared" si="39"/>
        <v>101</v>
      </c>
      <c r="AV109" s="1" t="str">
        <f>IF(IFERROR(INDEX($A$9:$W$304,$AS109,COLUMNS($AV$9:AV108)),"")=0,"",IFERROR(INDEX($A$9:$W$304,$AS109,COLUMNS($AV$9:AV108)),""))</f>
        <v>Gladius, the Defender</v>
      </c>
      <c r="AW109" s="1">
        <f>IFERROR(INDEX($A$9:$W$304,$AS109,COLUMNS($AV$9:AW108)),"")</f>
        <v>1</v>
      </c>
      <c r="AX109" s="1" t="str">
        <f>IF(IFERROR(INDEX($A$9:$X$304,$AS109,COLUMNS($AV$9:AX108)),"")=0,"",IFERROR(INDEX($A$9:$X$304,$AS109,COLUMNS($AV$9:AX108)),""))</f>
        <v>GOOD</v>
      </c>
      <c r="AY109" s="1" t="str">
        <f>IF(IFERROR(INDEX($A$9:$X$304,$AS109,COLUMNS($AV$9:AY108)),"")=0,"",IFERROR(INDEX($A$9:$X$304,$AS109,COLUMNS($AV$9:AY108)),""))</f>
        <v/>
      </c>
      <c r="AZ109" s="1" t="str">
        <f>IF(IFERROR(INDEX($A$9:$X$304,$AS109,COLUMNS($AV$9:AZ108)),"")=0,"",IFERROR(INDEX($A$9:$X$304,$AS109,COLUMNS($AV$9:AZ108)),""))</f>
        <v>CHAMPION</v>
      </c>
      <c r="BA109" s="1">
        <f>IF(IFERROR(INDEX($A$9:$X$304,$AS109,COLUMNS($AV$9:BA108)),"")=0,"",IFERROR(INDEX($A$9:$X$304,$AS109,COLUMNS($AV$9:BA108)),""))</f>
        <v>6</v>
      </c>
      <c r="BB109" s="1">
        <f>IF(IFERROR(INDEX($A$9:$X$304,$AS109,COLUMNS($AV$9:BB108)),"")=0,"",IFERROR(INDEX($A$9:$X$304,$AS109,COLUMNS($AV$9:BB108)),""))</f>
        <v>11</v>
      </c>
      <c r="BC109" s="1" t="str">
        <f>IF(IFERROR(INDEX($A$9:$X$304,$AS109,COLUMNS($AV$9:BC108)),"")=0,"",IFERROR(INDEX($A$9:$X$304,$AS109,COLUMNS($AV$9:BC108)),""))</f>
        <v>Unbanishable</v>
      </c>
      <c r="BD109" s="1" t="str">
        <f>IF(IFERROR(INDEX($A$9:$X$304,$AS109,COLUMNS($AV$9:BD108)),"")=0,"",IFERROR(INDEX($A$9:$X$304,$AS109,COLUMNS($AV$9:BD108)),""))</f>
        <v>Your other good champions get +3 {offense}.</v>
      </c>
      <c r="BE109" s="1" t="str">
        <f>IF(IFERROR(INDEX($A$9:$X$304,$AS109,COLUMNS($AV$9:BE108)),"")=0,"",IFERROR(INDEX($A$9:$X$304,$AS109,COLUMNS($AV$9:BE108)),""))</f>
        <v>{expend}: Put three human tokens into play.</v>
      </c>
      <c r="BF109" s="1" t="str">
        <f>IF(IFERROR(INDEX($A$9:$X$304,$AS109,COLUMNS($AV$9:BF108)),"")=0,"",IFERROR(INDEX($A$9:$X$304,$AS109,COLUMNS($AV$9:BF108)),""))</f>
        <v/>
      </c>
      <c r="BG109" s="1" t="str">
        <f>IF(IFERROR(INDEX($A$9:$X$304,$AS109,COLUMNS($AV$9:BG108)),"")=0,"",IFERROR(INDEX($A$9:$X$304,$AS109,COLUMNS($AV$9:BG108)),""))</f>
        <v/>
      </c>
      <c r="BH109" s="1" t="str">
        <f>IF(IFERROR(INDEX($A$9:$X$304,$AS109,COLUMNS($AV$9:BH108)),"")=0,"",IFERROR(INDEX($A$9:$X$304,$AS109,COLUMNS($AV$9:BH108)),""))</f>
        <v/>
      </c>
      <c r="BI109" s="1" t="str">
        <f>IF(IFERROR(INDEX($A$9:$X$304,$AS109,COLUMNS($AV$9:BI108)),"")=0,"",IFERROR(INDEX($A$9:$X$304,$AS109,COLUMNS($AV$9:BI108)),""))</f>
        <v/>
      </c>
      <c r="BJ109" s="1" t="str">
        <f>IF(IFERROR(INDEX($A$9:$X$304,$AS109,COLUMNS($AV$9:BJ108)),"")=0,"",IFERROR(INDEX($A$9:$X$304,$AS109,COLUMNS($AV$9:BJ108)),""))</f>
        <v>HUMAN</v>
      </c>
      <c r="BK109" s="1" t="str">
        <f>IF(IFERROR(INDEX($A$9:$X$304,$AS109,COLUMNS($AV$9:BK108)),"")=0,"",IFERROR(INDEX($A$9:$X$304,$AS109,COLUMNS($AV$9:BK108)),""))</f>
        <v>Common</v>
      </c>
      <c r="BL109" s="1" t="str">
        <f>IF(IFERROR(INDEX($A$9:$X$304,$AS109,COLUMNS($AV$9:BL108)),"")=0,"",IFERROR(INDEX($A$9:$X$304,$AS109,COLUMNS($AV$9:BL108)),""))</f>
        <v>Gabriel Cassata</v>
      </c>
      <c r="BM109" s="1" t="str">
        <f>IF(IFERROR(INDEX($A$9:$X$304,$AS109,COLUMNS($AV$9:BM108)),"")=0,"",IFERROR(INDEX($A$9:$X$304,$AS109,COLUMNS($AV$9:BM108)),""))</f>
        <v>Uprising: Will of Zannos</v>
      </c>
      <c r="BN109" s="3" t="b">
        <f>IF(IFERROR(INDEX($A$9:$X$304,$AS109,COLUMNS($AV$9:BN108)),"")=0,"",IFERROR(INDEX($A$9:$X$304,$AS109,COLUMNS($AV$9:BN108)),""))</f>
        <v>1</v>
      </c>
      <c r="BO109" s="3" t="b">
        <f>IF(IFERROR(INDEX($A$9:$X$304,$AS109,COLUMNS($AV$9:BO108)),"")=0,"",IFERROR(INDEX($A$9:$X$304,$AS109,COLUMNS($AV$9:BO108)),""))</f>
        <v>0</v>
      </c>
      <c r="BP109" s="3" t="b">
        <f>IF(IFERROR(INDEX($A$9:$X$304,$AS109,COLUMNS($AV$9:BP108)),"")=0,"",IFERROR(INDEX($A$9:$X$304,$AS109,COLUMNS($AV$9:BP108)),""))</f>
        <v>0</v>
      </c>
      <c r="BQ109" s="3" t="b">
        <f>IF(IFERROR(INDEX($A$9:$X$304,$AS109,COLUMNS($AV$9:BQ108)),"")=0,"",IFERROR(INDEX($A$9:$X$304,$AS109,COLUMNS($AV$9:BQ108)),""))</f>
        <v>0</v>
      </c>
      <c r="BR109" s="3" t="str">
        <f>IF(IFERROR(INDEX($A$9:$X$304,$AS109,COLUMNS($AV$9:BR108)),"")=0,"",IFERROR(INDEX($A$9:$X$304,$AS109,COLUMNS($AV$9:BR108)),""))</f>
        <v>https://www.epiccardgame.com/wp-content/uploads/2017/11/UPZ-EN-gladius-the-defender.jpg</v>
      </c>
      <c r="BS109" s="3" t="str">
        <f>IF(IFERROR(INDEX($A$9:$X$304,$AS109,COLUMNS($AV$9:BS108)),"")=0,"",IFERROR(INDEX($A$9:$X$304,$AS109,COLUMNS($AV$9:BS108)),""))</f>
        <v/>
      </c>
      <c r="BT109" s="3"/>
      <c r="BU109" s="15"/>
      <c r="BV109" t="s">
        <v>130</v>
      </c>
    </row>
    <row r="110" spans="1:74" ht="225.2" customHeight="1" x14ac:dyDescent="0.25">
      <c r="A110" t="s">
        <v>426</v>
      </c>
      <c r="B110">
        <v>0</v>
      </c>
      <c r="C110" t="s">
        <v>615</v>
      </c>
      <c r="E110" t="s">
        <v>619</v>
      </c>
      <c r="H110" t="s">
        <v>675</v>
      </c>
      <c r="I110" t="s">
        <v>23</v>
      </c>
      <c r="O110" t="s">
        <v>1062</v>
      </c>
      <c r="P110" t="s">
        <v>1112</v>
      </c>
      <c r="Q110" t="s">
        <v>1124</v>
      </c>
      <c r="R110" t="s">
        <v>1180</v>
      </c>
      <c r="S110" t="b">
        <v>0</v>
      </c>
      <c r="T110" t="b">
        <v>0</v>
      </c>
      <c r="U110" t="b">
        <v>0</v>
      </c>
      <c r="V110" t="b">
        <v>0</v>
      </c>
      <c r="W110" s="2" t="s">
        <v>1285</v>
      </c>
      <c r="X110" s="2"/>
      <c r="Y110" s="24">
        <v>102</v>
      </c>
      <c r="Z110">
        <f t="shared" si="20"/>
        <v>102</v>
      </c>
      <c r="AA110">
        <f t="shared" si="21"/>
        <v>102</v>
      </c>
      <c r="AB110">
        <f t="shared" si="22"/>
        <v>102</v>
      </c>
      <c r="AC110">
        <f t="shared" si="23"/>
        <v>0</v>
      </c>
      <c r="AD110">
        <f t="shared" si="24"/>
        <v>102</v>
      </c>
      <c r="AE110">
        <f t="shared" si="25"/>
        <v>0</v>
      </c>
      <c r="AF110">
        <f t="shared" si="26"/>
        <v>0</v>
      </c>
      <c r="AG110">
        <f t="shared" si="27"/>
        <v>102</v>
      </c>
      <c r="AH110">
        <f t="shared" si="28"/>
        <v>102</v>
      </c>
      <c r="AI110">
        <f t="shared" si="29"/>
        <v>0</v>
      </c>
      <c r="AJ110">
        <f t="shared" si="30"/>
        <v>0</v>
      </c>
      <c r="AK110">
        <f t="shared" si="31"/>
        <v>0</v>
      </c>
      <c r="AL110">
        <f t="shared" si="32"/>
        <v>0</v>
      </c>
      <c r="AM110">
        <f t="shared" si="33"/>
        <v>0</v>
      </c>
      <c r="AN110">
        <f t="shared" si="34"/>
        <v>102</v>
      </c>
      <c r="AO110">
        <f t="shared" si="35"/>
        <v>102</v>
      </c>
      <c r="AP110">
        <f t="shared" si="36"/>
        <v>102</v>
      </c>
      <c r="AQ110">
        <f t="shared" si="37"/>
        <v>102</v>
      </c>
      <c r="AR110" s="6">
        <f t="shared" si="38"/>
        <v>102</v>
      </c>
      <c r="AS110">
        <f t="shared" si="39"/>
        <v>102</v>
      </c>
      <c r="AV110" s="1" t="str">
        <f>IF(IFERROR(INDEX($A$9:$W$304,$AS110,COLUMNS($AV$9:AV109)),"")=0,"",IFERROR(INDEX($A$9:$W$304,$AS110,COLUMNS($AV$9:AV109)),""))</f>
        <v>Go Wild</v>
      </c>
      <c r="AW110" s="1">
        <f>IFERROR(INDEX($A$9:$W$304,$AS110,COLUMNS($AV$9:AW109)),"")</f>
        <v>0</v>
      </c>
      <c r="AX110" s="1" t="str">
        <f>IF(IFERROR(INDEX($A$9:$X$304,$AS110,COLUMNS($AV$9:AX109)),"")=0,"",IFERROR(INDEX($A$9:$X$304,$AS110,COLUMNS($AV$9:AX109)),""))</f>
        <v>WILD</v>
      </c>
      <c r="AY110" s="1" t="str">
        <f>IF(IFERROR(INDEX($A$9:$X$304,$AS110,COLUMNS($AV$9:AY109)),"")=0,"",IFERROR(INDEX($A$9:$X$304,$AS110,COLUMNS($AV$9:AY109)),""))</f>
        <v/>
      </c>
      <c r="AZ110" s="1" t="str">
        <f>IF(IFERROR(INDEX($A$9:$X$304,$AS110,COLUMNS($AV$9:AZ109)),"")=0,"",IFERROR(INDEX($A$9:$X$304,$AS110,COLUMNS($AV$9:AZ109)),""))</f>
        <v>EVENT</v>
      </c>
      <c r="BA110" s="1" t="str">
        <f>IF(IFERROR(INDEX($A$9:$X$304,$AS110,COLUMNS($AV$9:BA109)),"")=0,"",IFERROR(INDEX($A$9:$X$304,$AS110,COLUMNS($AV$9:BA109)),""))</f>
        <v/>
      </c>
      <c r="BB110" s="1" t="str">
        <f>IF(IFERROR(INDEX($A$9:$X$304,$AS110,COLUMNS($AV$9:BB109)),"")=0,"",IFERROR(INDEX($A$9:$X$304,$AS110,COLUMNS($AV$9:BB109)),""))</f>
        <v/>
      </c>
      <c r="BC110" s="1" t="str">
        <f>IF(IFERROR(INDEX($A$9:$X$304,$AS110,COLUMNS($AV$9:BC109)),"")=0,"",IFERROR(INDEX($A$9:$X$304,$AS110,COLUMNS($AV$9:BC109)),""))</f>
        <v>Target champion gets +4 {offense} and +4 {defense} this turn.</v>
      </c>
      <c r="BD110" s="1" t="str">
        <f>IF(IFERROR(INDEX($A$9:$X$304,$AS110,COLUMNS($AV$9:BD109)),"")=0,"",IFERROR(INDEX($A$9:$X$304,$AS110,COLUMNS($AV$9:BD109)),""))</f>
        <v>Recycle</v>
      </c>
      <c r="BE110" s="1" t="str">
        <f>IF(IFERROR(INDEX($A$9:$X$304,$AS110,COLUMNS($AV$9:BE109)),"")=0,"",IFERROR(INDEX($A$9:$X$304,$AS110,COLUMNS($AV$9:BE109)),""))</f>
        <v/>
      </c>
      <c r="BF110" s="1" t="str">
        <f>IF(IFERROR(INDEX($A$9:$X$304,$AS110,COLUMNS($AV$9:BF109)),"")=0,"",IFERROR(INDEX($A$9:$X$304,$AS110,COLUMNS($AV$9:BF109)),""))</f>
        <v/>
      </c>
      <c r="BG110" s="1" t="str">
        <f>IF(IFERROR(INDEX($A$9:$X$304,$AS110,COLUMNS($AV$9:BG109)),"")=0,"",IFERROR(INDEX($A$9:$X$304,$AS110,COLUMNS($AV$9:BG109)),""))</f>
        <v/>
      </c>
      <c r="BH110" s="1" t="str">
        <f>IF(IFERROR(INDEX($A$9:$X$304,$AS110,COLUMNS($AV$9:BH109)),"")=0,"",IFERROR(INDEX($A$9:$X$304,$AS110,COLUMNS($AV$9:BH109)),""))</f>
        <v/>
      </c>
      <c r="BI110" s="1" t="str">
        <f>IF(IFERROR(INDEX($A$9:$X$304,$AS110,COLUMNS($AV$9:BI109)),"")=0,"",IFERROR(INDEX($A$9:$X$304,$AS110,COLUMNS($AV$9:BI109)),""))</f>
        <v/>
      </c>
      <c r="BJ110" s="1" t="str">
        <f>IF(IFERROR(INDEX($A$9:$X$304,$AS110,COLUMNS($AV$9:BJ109)),"")=0,"",IFERROR(INDEX($A$9:$X$304,$AS110,COLUMNS($AV$9:BJ109)),""))</f>
        <v>None</v>
      </c>
      <c r="BK110" s="1" t="str">
        <f>IF(IFERROR(INDEX($A$9:$X$304,$AS110,COLUMNS($AV$9:BK109)),"")=0,"",IFERROR(INDEX($A$9:$X$304,$AS110,COLUMNS($AV$9:BK109)),""))</f>
        <v>Common</v>
      </c>
      <c r="BL110" s="1" t="str">
        <f>IF(IFERROR(INDEX($A$9:$X$304,$AS110,COLUMNS($AV$9:BL109)),"")=0,"",IFERROR(INDEX($A$9:$X$304,$AS110,COLUMNS($AV$9:BL109)),""))</f>
        <v>Souveraine</v>
      </c>
      <c r="BM110" s="1" t="str">
        <f>IF(IFERROR(INDEX($A$9:$X$304,$AS110,COLUMNS($AV$9:BM109)),"")=0,"",IFERROR(INDEX($A$9:$X$304,$AS110,COLUMNS($AV$9:BM109)),""))</f>
        <v>Uprising: Flames of Scarros</v>
      </c>
      <c r="BN110" s="3" t="b">
        <f>IF(IFERROR(INDEX($A$9:$X$304,$AS110,COLUMNS($AV$9:BN109)),"")=0,"",IFERROR(INDEX($A$9:$X$304,$AS110,COLUMNS($AV$9:BN109)),""))</f>
        <v>0</v>
      </c>
      <c r="BO110" s="3" t="b">
        <f>IF(IFERROR(INDEX($A$9:$X$304,$AS110,COLUMNS($AV$9:BO109)),"")=0,"",IFERROR(INDEX($A$9:$X$304,$AS110,COLUMNS($AV$9:BO109)),""))</f>
        <v>0</v>
      </c>
      <c r="BP110" s="3" t="b">
        <f>IF(IFERROR(INDEX($A$9:$X$304,$AS110,COLUMNS($AV$9:BP109)),"")=0,"",IFERROR(INDEX($A$9:$X$304,$AS110,COLUMNS($AV$9:BP109)),""))</f>
        <v>0</v>
      </c>
      <c r="BQ110" s="3" t="b">
        <f>IF(IFERROR(INDEX($A$9:$X$304,$AS110,COLUMNS($AV$9:BQ109)),"")=0,"",IFERROR(INDEX($A$9:$X$304,$AS110,COLUMNS($AV$9:BQ109)),""))</f>
        <v>0</v>
      </c>
      <c r="BR110" s="3" t="str">
        <f>IF(IFERROR(INDEX($A$9:$X$304,$AS110,COLUMNS($AV$9:BR109)),"")=0,"",IFERROR(INDEX($A$9:$X$304,$AS110,COLUMNS($AV$9:BR109)),""))</f>
        <v>https://www.epiccardgame.com/wp-content/uploads/2017/11/UPS-EN-go-wild.jpg</v>
      </c>
      <c r="BS110" s="3" t="str">
        <f>IF(IFERROR(INDEX($A$9:$X$304,$AS110,COLUMNS($AV$9:BS109)),"")=0,"",IFERROR(INDEX($A$9:$X$304,$AS110,COLUMNS($AV$9:BS109)),""))</f>
        <v/>
      </c>
      <c r="BT110" s="3"/>
      <c r="BU110" s="15"/>
      <c r="BV110" t="s">
        <v>131</v>
      </c>
    </row>
    <row r="111" spans="1:74" ht="225.2" customHeight="1" x14ac:dyDescent="0.25">
      <c r="A111" t="s">
        <v>427</v>
      </c>
      <c r="B111">
        <v>1</v>
      </c>
      <c r="C111" t="s">
        <v>617</v>
      </c>
      <c r="E111" t="s">
        <v>620</v>
      </c>
      <c r="F111">
        <v>6</v>
      </c>
      <c r="G111">
        <v>8</v>
      </c>
      <c r="H111" t="s">
        <v>676</v>
      </c>
      <c r="I111" t="s">
        <v>835</v>
      </c>
      <c r="J111" t="s">
        <v>990</v>
      </c>
      <c r="O111" t="s">
        <v>1069</v>
      </c>
      <c r="P111" t="s">
        <v>1112</v>
      </c>
      <c r="Q111" t="s">
        <v>1117</v>
      </c>
      <c r="R111" t="s">
        <v>1171</v>
      </c>
      <c r="S111" t="b">
        <v>1</v>
      </c>
      <c r="T111" t="b">
        <v>0</v>
      </c>
      <c r="U111" t="b">
        <v>0</v>
      </c>
      <c r="V111" t="b">
        <v>0</v>
      </c>
      <c r="W111" s="2" t="s">
        <v>1286</v>
      </c>
      <c r="X111" s="2"/>
      <c r="Y111" s="24">
        <v>103</v>
      </c>
      <c r="Z111">
        <f t="shared" si="20"/>
        <v>103</v>
      </c>
      <c r="AA111">
        <f t="shared" si="21"/>
        <v>103</v>
      </c>
      <c r="AB111">
        <f t="shared" si="22"/>
        <v>103</v>
      </c>
      <c r="AC111">
        <f t="shared" si="23"/>
        <v>0</v>
      </c>
      <c r="AD111">
        <f t="shared" si="24"/>
        <v>103</v>
      </c>
      <c r="AE111">
        <f t="shared" si="25"/>
        <v>103</v>
      </c>
      <c r="AF111">
        <f t="shared" si="26"/>
        <v>103</v>
      </c>
      <c r="AG111">
        <f t="shared" si="27"/>
        <v>103</v>
      </c>
      <c r="AH111">
        <f t="shared" si="28"/>
        <v>103</v>
      </c>
      <c r="AI111">
        <f t="shared" si="29"/>
        <v>103</v>
      </c>
      <c r="AJ111">
        <f t="shared" si="30"/>
        <v>0</v>
      </c>
      <c r="AK111">
        <f t="shared" si="31"/>
        <v>0</v>
      </c>
      <c r="AL111">
        <f t="shared" si="32"/>
        <v>0</v>
      </c>
      <c r="AM111">
        <f t="shared" si="33"/>
        <v>0</v>
      </c>
      <c r="AN111">
        <f t="shared" si="34"/>
        <v>103</v>
      </c>
      <c r="AO111">
        <f t="shared" si="35"/>
        <v>103</v>
      </c>
      <c r="AP111">
        <f t="shared" si="36"/>
        <v>103</v>
      </c>
      <c r="AQ111">
        <f t="shared" si="37"/>
        <v>103</v>
      </c>
      <c r="AR111" s="6">
        <f t="shared" si="38"/>
        <v>103</v>
      </c>
      <c r="AS111">
        <f t="shared" si="39"/>
        <v>103</v>
      </c>
      <c r="AV111" s="1" t="str">
        <f>IF(IFERROR(INDEX($A$9:$W$304,$AS111,COLUMNS($AV$9:AV110)),"")=0,"",IFERROR(INDEX($A$9:$W$304,$AS111,COLUMNS($AV$9:AV110)),""))</f>
        <v>Gold Dragon</v>
      </c>
      <c r="AW111" s="1">
        <f>IFERROR(INDEX($A$9:$W$304,$AS111,COLUMNS($AV$9:AW110)),"")</f>
        <v>1</v>
      </c>
      <c r="AX111" s="1" t="str">
        <f>IF(IFERROR(INDEX($A$9:$X$304,$AS111,COLUMNS($AV$9:AX110)),"")=0,"",IFERROR(INDEX($A$9:$X$304,$AS111,COLUMNS($AV$9:AX110)),""))</f>
        <v>GOOD</v>
      </c>
      <c r="AY111" s="1" t="str">
        <f>IF(IFERROR(INDEX($A$9:$X$304,$AS111,COLUMNS($AV$9:AY110)),"")=0,"",IFERROR(INDEX($A$9:$X$304,$AS111,COLUMNS($AV$9:AY110)),""))</f>
        <v/>
      </c>
      <c r="AZ111" s="1" t="str">
        <f>IF(IFERROR(INDEX($A$9:$X$304,$AS111,COLUMNS($AV$9:AZ110)),"")=0,"",IFERROR(INDEX($A$9:$X$304,$AS111,COLUMNS($AV$9:AZ110)),""))</f>
        <v>CHAMPION</v>
      </c>
      <c r="BA111" s="1">
        <f>IF(IFERROR(INDEX($A$9:$X$304,$AS111,COLUMNS($AV$9:BA110)),"")=0,"",IFERROR(INDEX($A$9:$X$304,$AS111,COLUMNS($AV$9:BA110)),""))</f>
        <v>6</v>
      </c>
      <c r="BB111" s="1">
        <f>IF(IFERROR(INDEX($A$9:$X$304,$AS111,COLUMNS($AV$9:BB110)),"")=0,"",IFERROR(INDEX($A$9:$X$304,$AS111,COLUMNS($AV$9:BB110)),""))</f>
        <v>8</v>
      </c>
      <c r="BC111" s="1" t="str">
        <f>IF(IFERROR(INDEX($A$9:$X$304,$AS111,COLUMNS($AV$9:BC110)),"")=0,"",IFERROR(INDEX($A$9:$X$304,$AS111,COLUMNS($AV$9:BC110)),""))</f>
        <v>Airborne ◆ Blitz</v>
      </c>
      <c r="BD111" s="1" t="str">
        <f>IF(IFERROR(INDEX($A$9:$X$304,$AS111,COLUMNS($AV$9:BD110)),"")=0,"",IFERROR(INDEX($A$9:$X$304,$AS111,COLUMNS($AV$9:BD110)),""))</f>
        <v>Your good champions have righteous.</v>
      </c>
      <c r="BE111" s="1" t="str">
        <f>IF(IFERROR(INDEX($A$9:$X$304,$AS111,COLUMNS($AV$9:BE110)),"")=0,"",IFERROR(INDEX($A$9:$X$304,$AS111,COLUMNS($AV$9:BE110)),""))</f>
        <v>(When a righteous champion deals damage, its controller gains that much health.)</v>
      </c>
      <c r="BF111" s="1" t="str">
        <f>IF(IFERROR(INDEX($A$9:$X$304,$AS111,COLUMNS($AV$9:BF110)),"")=0,"",IFERROR(INDEX($A$9:$X$304,$AS111,COLUMNS($AV$9:BF110)),""))</f>
        <v/>
      </c>
      <c r="BG111" s="1" t="str">
        <f>IF(IFERROR(INDEX($A$9:$X$304,$AS111,COLUMNS($AV$9:BG110)),"")=0,"",IFERROR(INDEX($A$9:$X$304,$AS111,COLUMNS($AV$9:BG110)),""))</f>
        <v/>
      </c>
      <c r="BH111" s="1" t="str">
        <f>IF(IFERROR(INDEX($A$9:$X$304,$AS111,COLUMNS($AV$9:BH110)),"")=0,"",IFERROR(INDEX($A$9:$X$304,$AS111,COLUMNS($AV$9:BH110)),""))</f>
        <v/>
      </c>
      <c r="BI111" s="1" t="str">
        <f>IF(IFERROR(INDEX($A$9:$X$304,$AS111,COLUMNS($AV$9:BI110)),"")=0,"",IFERROR(INDEX($A$9:$X$304,$AS111,COLUMNS($AV$9:BI110)),""))</f>
        <v/>
      </c>
      <c r="BJ111" s="1" t="str">
        <f>IF(IFERROR(INDEX($A$9:$X$304,$AS111,COLUMNS($AV$9:BJ110)),"")=0,"",IFERROR(INDEX($A$9:$X$304,$AS111,COLUMNS($AV$9:BJ110)),""))</f>
        <v>DRAGON</v>
      </c>
      <c r="BK111" s="1" t="str">
        <f>IF(IFERROR(INDEX($A$9:$X$304,$AS111,COLUMNS($AV$9:BK110)),"")=0,"",IFERROR(INDEX($A$9:$X$304,$AS111,COLUMNS($AV$9:BK110)),""))</f>
        <v>Common</v>
      </c>
      <c r="BL111" s="1" t="str">
        <f>IF(IFERROR(INDEX($A$9:$X$304,$AS111,COLUMNS($AV$9:BL110)),"")=0,"",IFERROR(INDEX($A$9:$X$304,$AS111,COLUMNS($AV$9:BL110)),""))</f>
        <v>Antonis Papantoniou</v>
      </c>
      <c r="BM111" s="1" t="str">
        <f>IF(IFERROR(INDEX($A$9:$X$304,$AS111,COLUMNS($AV$9:BM110)),"")=0,"",IFERROR(INDEX($A$9:$X$304,$AS111,COLUMNS($AV$9:BM110)),""))</f>
        <v>Base Set</v>
      </c>
      <c r="BN111" s="3" t="b">
        <f>IF(IFERROR(INDEX($A$9:$X$304,$AS111,COLUMNS($AV$9:BN110)),"")=0,"",IFERROR(INDEX($A$9:$X$304,$AS111,COLUMNS($AV$9:BN110)),""))</f>
        <v>1</v>
      </c>
      <c r="BO111" s="3" t="b">
        <f>IF(IFERROR(INDEX($A$9:$X$304,$AS111,COLUMNS($AV$9:BO110)),"")=0,"",IFERROR(INDEX($A$9:$X$304,$AS111,COLUMNS($AV$9:BO110)),""))</f>
        <v>0</v>
      </c>
      <c r="BP111" s="3" t="b">
        <f>IF(IFERROR(INDEX($A$9:$X$304,$AS111,COLUMNS($AV$9:BP110)),"")=0,"",IFERROR(INDEX($A$9:$X$304,$AS111,COLUMNS($AV$9:BP110)),""))</f>
        <v>0</v>
      </c>
      <c r="BQ111" s="3" t="b">
        <f>IF(IFERROR(INDEX($A$9:$X$304,$AS111,COLUMNS($AV$9:BQ110)),"")=0,"",IFERROR(INDEX($A$9:$X$304,$AS111,COLUMNS($AV$9:BQ110)),""))</f>
        <v>0</v>
      </c>
      <c r="BR111" s="3" t="str">
        <f>IF(IFERROR(INDEX($A$9:$X$304,$AS111,COLUMNS($AV$9:BR110)),"")=0,"",IFERROR(INDEX($A$9:$X$304,$AS111,COLUMNS($AV$9:BR110)),""))</f>
        <v>http://www.epiccardgame.com/wp-content/uploads/2015/09/gold_dragon-215x300.jpg</v>
      </c>
      <c r="BS111" s="3" t="str">
        <f>IF(IFERROR(INDEX($A$9:$X$304,$AS111,COLUMNS($AV$9:BS110)),"")=0,"",IFERROR(INDEX($A$9:$X$304,$AS111,COLUMNS($AV$9:BS110)),""))</f>
        <v/>
      </c>
      <c r="BT111" s="3"/>
      <c r="BU111" s="15"/>
      <c r="BV111" t="s">
        <v>132</v>
      </c>
    </row>
    <row r="112" spans="1:74" ht="225.2" customHeight="1" x14ac:dyDescent="0.25">
      <c r="A112" t="s">
        <v>428</v>
      </c>
      <c r="B112">
        <v>1</v>
      </c>
      <c r="C112" t="s">
        <v>618</v>
      </c>
      <c r="E112" t="s">
        <v>620</v>
      </c>
      <c r="F112">
        <v>8</v>
      </c>
      <c r="G112">
        <v>8</v>
      </c>
      <c r="H112" t="s">
        <v>21</v>
      </c>
      <c r="I112" t="s">
        <v>836</v>
      </c>
      <c r="O112" t="s">
        <v>1078</v>
      </c>
      <c r="P112" t="s">
        <v>1112</v>
      </c>
      <c r="Q112" t="s">
        <v>1116</v>
      </c>
      <c r="R112" t="s">
        <v>1181</v>
      </c>
      <c r="S112" t="b">
        <v>1</v>
      </c>
      <c r="T112" t="b">
        <v>0</v>
      </c>
      <c r="U112" t="b">
        <v>0</v>
      </c>
      <c r="V112" t="b">
        <v>0</v>
      </c>
      <c r="W112" s="2" t="s">
        <v>1287</v>
      </c>
      <c r="X112" s="2"/>
      <c r="Y112" s="24">
        <v>104</v>
      </c>
      <c r="Z112">
        <f t="shared" si="20"/>
        <v>104</v>
      </c>
      <c r="AA112">
        <f t="shared" si="21"/>
        <v>104</v>
      </c>
      <c r="AB112">
        <f t="shared" si="22"/>
        <v>104</v>
      </c>
      <c r="AC112">
        <f t="shared" si="23"/>
        <v>0</v>
      </c>
      <c r="AD112">
        <f t="shared" si="24"/>
        <v>104</v>
      </c>
      <c r="AE112">
        <f t="shared" si="25"/>
        <v>104</v>
      </c>
      <c r="AF112">
        <f t="shared" si="26"/>
        <v>104</v>
      </c>
      <c r="AG112">
        <f t="shared" si="27"/>
        <v>104</v>
      </c>
      <c r="AH112">
        <f t="shared" si="28"/>
        <v>104</v>
      </c>
      <c r="AI112">
        <f t="shared" si="29"/>
        <v>0</v>
      </c>
      <c r="AJ112">
        <f t="shared" si="30"/>
        <v>0</v>
      </c>
      <c r="AK112">
        <f t="shared" si="31"/>
        <v>0</v>
      </c>
      <c r="AL112">
        <f t="shared" si="32"/>
        <v>0</v>
      </c>
      <c r="AM112">
        <f t="shared" si="33"/>
        <v>0</v>
      </c>
      <c r="AN112">
        <f t="shared" si="34"/>
        <v>104</v>
      </c>
      <c r="AO112">
        <f t="shared" si="35"/>
        <v>104</v>
      </c>
      <c r="AP112">
        <f t="shared" si="36"/>
        <v>104</v>
      </c>
      <c r="AQ112">
        <f t="shared" si="37"/>
        <v>104</v>
      </c>
      <c r="AR112" s="6">
        <f t="shared" si="38"/>
        <v>104</v>
      </c>
      <c r="AS112">
        <f t="shared" si="39"/>
        <v>104</v>
      </c>
      <c r="AV112" s="1" t="str">
        <f>IF(IFERROR(INDEX($A$9:$W$304,$AS112,COLUMNS($AV$9:AV111)),"")=0,"",IFERROR(INDEX($A$9:$W$304,$AS112,COLUMNS($AV$9:AV111)),""))</f>
        <v>Grave Demon</v>
      </c>
      <c r="AW112" s="1">
        <f>IFERROR(INDEX($A$9:$W$304,$AS112,COLUMNS($AV$9:AW111)),"")</f>
        <v>1</v>
      </c>
      <c r="AX112" s="1" t="str">
        <f>IF(IFERROR(INDEX($A$9:$X$304,$AS112,COLUMNS($AV$9:AX111)),"")=0,"",IFERROR(INDEX($A$9:$X$304,$AS112,COLUMNS($AV$9:AX111)),""))</f>
        <v>EVIL</v>
      </c>
      <c r="AY112" s="1" t="str">
        <f>IF(IFERROR(INDEX($A$9:$X$304,$AS112,COLUMNS($AV$9:AY111)),"")=0,"",IFERROR(INDEX($A$9:$X$304,$AS112,COLUMNS($AV$9:AY111)),""))</f>
        <v/>
      </c>
      <c r="AZ112" s="1" t="str">
        <f>IF(IFERROR(INDEX($A$9:$X$304,$AS112,COLUMNS($AV$9:AZ111)),"")=0,"",IFERROR(INDEX($A$9:$X$304,$AS112,COLUMNS($AV$9:AZ111)),""))</f>
        <v>CHAMPION</v>
      </c>
      <c r="BA112" s="1">
        <f>IF(IFERROR(INDEX($A$9:$X$304,$AS112,COLUMNS($AV$9:BA111)),"")=0,"",IFERROR(INDEX($A$9:$X$304,$AS112,COLUMNS($AV$9:BA111)),""))</f>
        <v>8</v>
      </c>
      <c r="BB112" s="1">
        <f>IF(IFERROR(INDEX($A$9:$X$304,$AS112,COLUMNS($AV$9:BB111)),"")=0,"",IFERROR(INDEX($A$9:$X$304,$AS112,COLUMNS($AV$9:BB111)),""))</f>
        <v>8</v>
      </c>
      <c r="BC112" s="1" t="str">
        <f>IF(IFERROR(INDEX($A$9:$X$304,$AS112,COLUMNS($AV$9:BC111)),"")=0,"",IFERROR(INDEX($A$9:$X$304,$AS112,COLUMNS($AV$9:BC111)),""))</f>
        <v>Ambush</v>
      </c>
      <c r="BD112" s="1" t="str">
        <f>IF(IFERROR(INDEX($A$9:$X$304,$AS112,COLUMNS($AV$9:BD111)),"")=0,"",IFERROR(INDEX($A$9:$X$304,$AS112,COLUMNS($AV$9:BD111)),""))</f>
        <v>Tribute → Banish target player's discard pile.</v>
      </c>
      <c r="BE112" s="1" t="str">
        <f>IF(IFERROR(INDEX($A$9:$X$304,$AS112,COLUMNS($AV$9:BE111)),"")=0,"",IFERROR(INDEX($A$9:$X$304,$AS112,COLUMNS($AV$9:BE111)),""))</f>
        <v/>
      </c>
      <c r="BF112" s="1" t="str">
        <f>IF(IFERROR(INDEX($A$9:$X$304,$AS112,COLUMNS($AV$9:BF111)),"")=0,"",IFERROR(INDEX($A$9:$X$304,$AS112,COLUMNS($AV$9:BF111)),""))</f>
        <v/>
      </c>
      <c r="BG112" s="1" t="str">
        <f>IF(IFERROR(INDEX($A$9:$X$304,$AS112,COLUMNS($AV$9:BG111)),"")=0,"",IFERROR(INDEX($A$9:$X$304,$AS112,COLUMNS($AV$9:BG111)),""))</f>
        <v/>
      </c>
      <c r="BH112" s="1" t="str">
        <f>IF(IFERROR(INDEX($A$9:$X$304,$AS112,COLUMNS($AV$9:BH111)),"")=0,"",IFERROR(INDEX($A$9:$X$304,$AS112,COLUMNS($AV$9:BH111)),""))</f>
        <v/>
      </c>
      <c r="BI112" s="1" t="str">
        <f>IF(IFERROR(INDEX($A$9:$X$304,$AS112,COLUMNS($AV$9:BI111)),"")=0,"",IFERROR(INDEX($A$9:$X$304,$AS112,COLUMNS($AV$9:BI111)),""))</f>
        <v/>
      </c>
      <c r="BJ112" s="1" t="str">
        <f>IF(IFERROR(INDEX($A$9:$X$304,$AS112,COLUMNS($AV$9:BJ111)),"")=0,"",IFERROR(INDEX($A$9:$X$304,$AS112,COLUMNS($AV$9:BJ111)),""))</f>
        <v>DEMON</v>
      </c>
      <c r="BK112" s="1" t="str">
        <f>IF(IFERROR(INDEX($A$9:$X$304,$AS112,COLUMNS($AV$9:BK111)),"")=0,"",IFERROR(INDEX($A$9:$X$304,$AS112,COLUMNS($AV$9:BK111)),""))</f>
        <v>Common</v>
      </c>
      <c r="BL112" s="1" t="str">
        <f>IF(IFERROR(INDEX($A$9:$X$304,$AS112,COLUMNS($AV$9:BL111)),"")=0,"",IFERROR(INDEX($A$9:$X$304,$AS112,COLUMNS($AV$9:BL111)),""))</f>
        <v>Apsara</v>
      </c>
      <c r="BM112" s="1" t="str">
        <f>IF(IFERROR(INDEX($A$9:$X$304,$AS112,COLUMNS($AV$9:BM111)),"")=0,"",IFERROR(INDEX($A$9:$X$304,$AS112,COLUMNS($AV$9:BM111)),""))</f>
        <v>Uprising: Kark's Edict</v>
      </c>
      <c r="BN112" s="3" t="b">
        <f>IF(IFERROR(INDEX($A$9:$X$304,$AS112,COLUMNS($AV$9:BN111)),"")=0,"",IFERROR(INDEX($A$9:$X$304,$AS112,COLUMNS($AV$9:BN111)),""))</f>
        <v>1</v>
      </c>
      <c r="BO112" s="3" t="b">
        <f>IF(IFERROR(INDEX($A$9:$X$304,$AS112,COLUMNS($AV$9:BO111)),"")=0,"",IFERROR(INDEX($A$9:$X$304,$AS112,COLUMNS($AV$9:BO111)),""))</f>
        <v>0</v>
      </c>
      <c r="BP112" s="3" t="b">
        <f>IF(IFERROR(INDEX($A$9:$X$304,$AS112,COLUMNS($AV$9:BP111)),"")=0,"",IFERROR(INDEX($A$9:$X$304,$AS112,COLUMNS($AV$9:BP111)),""))</f>
        <v>0</v>
      </c>
      <c r="BQ112" s="3" t="b">
        <f>IF(IFERROR(INDEX($A$9:$X$304,$AS112,COLUMNS($AV$9:BQ111)),"")=0,"",IFERROR(INDEX($A$9:$X$304,$AS112,COLUMNS($AV$9:BQ111)),""))</f>
        <v>0</v>
      </c>
      <c r="BR112" s="3" t="str">
        <f>IF(IFERROR(INDEX($A$9:$X$304,$AS112,COLUMNS($AV$9:BR111)),"")=0,"",IFERROR(INDEX($A$9:$X$304,$AS112,COLUMNS($AV$9:BR111)),""))</f>
        <v>https://www.epiccardgame.com/wp-content/uploads/2017/11/UPK-EN-grave-demon.jpg</v>
      </c>
      <c r="BS112" s="3" t="str">
        <f>IF(IFERROR(INDEX($A$9:$X$304,$AS112,COLUMNS($AV$9:BS111)),"")=0,"",IFERROR(INDEX($A$9:$X$304,$AS112,COLUMNS($AV$9:BS111)),""))</f>
        <v/>
      </c>
      <c r="BT112" s="3"/>
      <c r="BU112" s="15"/>
      <c r="BV112" t="s">
        <v>133</v>
      </c>
    </row>
    <row r="113" spans="1:74" ht="225" customHeight="1" x14ac:dyDescent="0.25">
      <c r="A113" t="s">
        <v>429</v>
      </c>
      <c r="B113">
        <v>1</v>
      </c>
      <c r="C113" t="s">
        <v>615</v>
      </c>
      <c r="E113" t="s">
        <v>620</v>
      </c>
      <c r="F113">
        <v>7</v>
      </c>
      <c r="G113">
        <v>8</v>
      </c>
      <c r="H113" t="s">
        <v>677</v>
      </c>
      <c r="I113" t="s">
        <v>837</v>
      </c>
      <c r="O113" t="s">
        <v>1062</v>
      </c>
      <c r="Q113" t="s">
        <v>1066</v>
      </c>
      <c r="R113" t="s">
        <v>1112</v>
      </c>
      <c r="S113" t="b">
        <v>1</v>
      </c>
      <c r="T113" t="b">
        <v>0</v>
      </c>
      <c r="U113" t="b">
        <v>0</v>
      </c>
      <c r="V113" t="b">
        <v>0</v>
      </c>
      <c r="W113" s="2" t="s">
        <v>1288</v>
      </c>
      <c r="X113" s="2"/>
      <c r="Y113" s="24">
        <v>105</v>
      </c>
      <c r="Z113">
        <f t="shared" si="20"/>
        <v>105</v>
      </c>
      <c r="AA113">
        <f t="shared" si="21"/>
        <v>105</v>
      </c>
      <c r="AB113">
        <f t="shared" si="22"/>
        <v>105</v>
      </c>
      <c r="AC113">
        <f t="shared" si="23"/>
        <v>0</v>
      </c>
      <c r="AD113">
        <f t="shared" si="24"/>
        <v>105</v>
      </c>
      <c r="AE113">
        <f t="shared" si="25"/>
        <v>105</v>
      </c>
      <c r="AF113">
        <f t="shared" si="26"/>
        <v>105</v>
      </c>
      <c r="AG113">
        <f t="shared" si="27"/>
        <v>105</v>
      </c>
      <c r="AH113">
        <f t="shared" si="28"/>
        <v>105</v>
      </c>
      <c r="AI113">
        <f t="shared" si="29"/>
        <v>0</v>
      </c>
      <c r="AJ113">
        <f t="shared" si="30"/>
        <v>0</v>
      </c>
      <c r="AK113">
        <f t="shared" si="31"/>
        <v>0</v>
      </c>
      <c r="AL113">
        <f t="shared" si="32"/>
        <v>0</v>
      </c>
      <c r="AM113">
        <f t="shared" si="33"/>
        <v>0</v>
      </c>
      <c r="AN113">
        <f t="shared" si="34"/>
        <v>105</v>
      </c>
      <c r="AO113">
        <f t="shared" si="35"/>
        <v>0</v>
      </c>
      <c r="AP113">
        <f t="shared" si="36"/>
        <v>105</v>
      </c>
      <c r="AQ113">
        <f t="shared" si="37"/>
        <v>105</v>
      </c>
      <c r="AR113" s="6">
        <f t="shared" si="38"/>
        <v>105</v>
      </c>
      <c r="AS113">
        <f t="shared" si="39"/>
        <v>105</v>
      </c>
      <c r="AV113" s="1" t="str">
        <f>IF(IFERROR(INDEX($A$9:$W$304,$AS113,COLUMNS($AV$9:AV112)),"")=0,"",IFERROR(INDEX($A$9:$W$304,$AS113,COLUMNS($AV$9:AV112)),""))</f>
        <v>Great Horned Lizard</v>
      </c>
      <c r="AW113" s="1">
        <f>IFERROR(INDEX($A$9:$W$304,$AS113,COLUMNS($AV$9:AW112)),"")</f>
        <v>1</v>
      </c>
      <c r="AX113" s="1" t="str">
        <f>IF(IFERROR(INDEX($A$9:$X$304,$AS113,COLUMNS($AV$9:AX112)),"")=0,"",IFERROR(INDEX($A$9:$X$304,$AS113,COLUMNS($AV$9:AX112)),""))</f>
        <v>WILD</v>
      </c>
      <c r="AY113" s="1" t="str">
        <f>IF(IFERROR(INDEX($A$9:$X$304,$AS113,COLUMNS($AV$9:AY112)),"")=0,"",IFERROR(INDEX($A$9:$X$304,$AS113,COLUMNS($AV$9:AY112)),""))</f>
        <v/>
      </c>
      <c r="AZ113" s="1" t="str">
        <f>IF(IFERROR(INDEX($A$9:$X$304,$AS113,COLUMNS($AV$9:AZ112)),"")=0,"",IFERROR(INDEX($A$9:$X$304,$AS113,COLUMNS($AV$9:AZ112)),""))</f>
        <v>CHAMPION</v>
      </c>
      <c r="BA113" s="1">
        <f>IF(IFERROR(INDEX($A$9:$X$304,$AS113,COLUMNS($AV$9:BA112)),"")=0,"",IFERROR(INDEX($A$9:$X$304,$AS113,COLUMNS($AV$9:BA112)),""))</f>
        <v>7</v>
      </c>
      <c r="BB113" s="1">
        <f>IF(IFERROR(INDEX($A$9:$X$304,$AS113,COLUMNS($AV$9:BB112)),"")=0,"",IFERROR(INDEX($A$9:$X$304,$AS113,COLUMNS($AV$9:BB112)),""))</f>
        <v>8</v>
      </c>
      <c r="BC113" s="1" t="str">
        <f>IF(IFERROR(INDEX($A$9:$X$304,$AS113,COLUMNS($AV$9:BC112)),"")=0,"",IFERROR(INDEX($A$9:$X$304,$AS113,COLUMNS($AV$9:BC112)),""))</f>
        <v>Ambush ◆ Blitz ◆ Breakthrough</v>
      </c>
      <c r="BD113" s="1" t="str">
        <f>IF(IFERROR(INDEX($A$9:$X$304,$AS113,COLUMNS($AV$9:BD112)),"")=0,"",IFERROR(INDEX($A$9:$X$304,$AS113,COLUMNS($AV$9:BD112)),""))</f>
        <v>Tribute → Your dinosaur champions get +3 {offense} and +3 {defense} this turn.</v>
      </c>
      <c r="BE113" s="1" t="str">
        <f>IF(IFERROR(INDEX($A$9:$X$304,$AS113,COLUMNS($AV$9:BE112)),"")=0,"",IFERROR(INDEX($A$9:$X$304,$AS113,COLUMNS($AV$9:BE112)),""))</f>
        <v/>
      </c>
      <c r="BF113" s="1" t="str">
        <f>IF(IFERROR(INDEX($A$9:$X$304,$AS113,COLUMNS($AV$9:BF112)),"")=0,"",IFERROR(INDEX($A$9:$X$304,$AS113,COLUMNS($AV$9:BF112)),""))</f>
        <v/>
      </c>
      <c r="BG113" s="1" t="str">
        <f>IF(IFERROR(INDEX($A$9:$X$304,$AS113,COLUMNS($AV$9:BG112)),"")=0,"",IFERROR(INDEX($A$9:$X$304,$AS113,COLUMNS($AV$9:BG112)),""))</f>
        <v/>
      </c>
      <c r="BH113" s="1" t="str">
        <f>IF(IFERROR(INDEX($A$9:$X$304,$AS113,COLUMNS($AV$9:BH112)),"")=0,"",IFERROR(INDEX($A$9:$X$304,$AS113,COLUMNS($AV$9:BH112)),""))</f>
        <v/>
      </c>
      <c r="BI113" s="1" t="str">
        <f>IF(IFERROR(INDEX($A$9:$X$304,$AS113,COLUMNS($AV$9:BI112)),"")=0,"",IFERROR(INDEX($A$9:$X$304,$AS113,COLUMNS($AV$9:BI112)),""))</f>
        <v/>
      </c>
      <c r="BJ113" s="1" t="str">
        <f>IF(IFERROR(INDEX($A$9:$X$304,$AS113,COLUMNS($AV$9:BJ112)),"")=0,"",IFERROR(INDEX($A$9:$X$304,$AS113,COLUMNS($AV$9:BJ112)),""))</f>
        <v>None</v>
      </c>
      <c r="BK113" s="1" t="str">
        <f>IF(IFERROR(INDEX($A$9:$X$304,$AS113,COLUMNS($AV$9:BK112)),"")=0,"",IFERROR(INDEX($A$9:$X$304,$AS113,COLUMNS($AV$9:BK112)),""))</f>
        <v/>
      </c>
      <c r="BL113" s="1" t="str">
        <f>IF(IFERROR(INDEX($A$9:$X$304,$AS113,COLUMNS($AV$9:BL112)),"")=0,"",IFERROR(INDEX($A$9:$X$304,$AS113,COLUMNS($AV$9:BL112)),""))</f>
        <v>DINOSAUR</v>
      </c>
      <c r="BM113" s="1" t="str">
        <f>IF(IFERROR(INDEX($A$9:$X$304,$AS113,COLUMNS($AV$9:BM112)),"")=0,"",IFERROR(INDEX($A$9:$X$304,$AS113,COLUMNS($AV$9:BM112)),""))</f>
        <v>Common</v>
      </c>
      <c r="BN113" s="3" t="b">
        <f>IF(IFERROR(INDEX($A$9:$X$304,$AS113,COLUMNS($AV$9:BN112)),"")=0,"",IFERROR(INDEX($A$9:$X$304,$AS113,COLUMNS($AV$9:BN112)),""))</f>
        <v>1</v>
      </c>
      <c r="BO113" s="3" t="b">
        <f>IF(IFERROR(INDEX($A$9:$X$304,$AS113,COLUMNS($AV$9:BO112)),"")=0,"",IFERROR(INDEX($A$9:$X$304,$AS113,COLUMNS($AV$9:BO112)),""))</f>
        <v>0</v>
      </c>
      <c r="BP113" s="3" t="b">
        <f>IF(IFERROR(INDEX($A$9:$X$304,$AS113,COLUMNS($AV$9:BP112)),"")=0,"",IFERROR(INDEX($A$9:$X$304,$AS113,COLUMNS($AV$9:BP112)),""))</f>
        <v>0</v>
      </c>
      <c r="BQ113" s="3" t="b">
        <f>IF(IFERROR(INDEX($A$9:$X$304,$AS113,COLUMNS($AV$9:BQ112)),"")=0,"",IFERROR(INDEX($A$9:$X$304,$AS113,COLUMNS($AV$9:BQ112)),""))</f>
        <v>0</v>
      </c>
      <c r="BR113" s="3" t="str">
        <f>IF(IFERROR(INDEX($A$9:$X$304,$AS113,COLUMNS($AV$9:BR112)),"")=0,"",IFERROR(INDEX($A$9:$X$304,$AS113,COLUMNS($AV$9:BR112)),""))</f>
        <v>http://www.epiccardgame.com/wp-content/uploads/2016/03/great_horned_lizard-214x300.jpg</v>
      </c>
      <c r="BS113" s="3" t="str">
        <f>IF(IFERROR(INDEX($A$9:$X$304,$AS113,COLUMNS($AV$9:BS112)),"")=0,"",IFERROR(INDEX($A$9:$X$304,$AS113,COLUMNS($AV$9:BS112)),""))</f>
        <v/>
      </c>
      <c r="BT113" s="3"/>
      <c r="BU113" s="15"/>
      <c r="BV113" t="s">
        <v>134</v>
      </c>
    </row>
    <row r="114" spans="1:74" ht="225.2" customHeight="1" x14ac:dyDescent="0.25">
      <c r="A114" t="s">
        <v>430</v>
      </c>
      <c r="B114">
        <v>1</v>
      </c>
      <c r="C114" t="s">
        <v>615</v>
      </c>
      <c r="E114" t="s">
        <v>620</v>
      </c>
      <c r="F114">
        <v>12</v>
      </c>
      <c r="G114">
        <v>10</v>
      </c>
      <c r="H114" t="s">
        <v>24</v>
      </c>
      <c r="I114" t="s">
        <v>838</v>
      </c>
      <c r="J114" t="s">
        <v>991</v>
      </c>
      <c r="O114" t="s">
        <v>1062</v>
      </c>
      <c r="Q114" t="s">
        <v>1071</v>
      </c>
      <c r="R114" t="s">
        <v>1112</v>
      </c>
      <c r="S114" t="b">
        <v>1</v>
      </c>
      <c r="T114" t="b">
        <v>0</v>
      </c>
      <c r="U114" t="b">
        <v>0</v>
      </c>
      <c r="V114" t="b">
        <v>0</v>
      </c>
      <c r="W114" s="2" t="s">
        <v>1289</v>
      </c>
      <c r="X114" s="2"/>
      <c r="Y114" s="24">
        <v>106</v>
      </c>
      <c r="Z114">
        <f t="shared" si="20"/>
        <v>106</v>
      </c>
      <c r="AA114">
        <f t="shared" si="21"/>
        <v>106</v>
      </c>
      <c r="AB114">
        <f t="shared" si="22"/>
        <v>106</v>
      </c>
      <c r="AC114">
        <f t="shared" si="23"/>
        <v>0</v>
      </c>
      <c r="AD114">
        <f t="shared" si="24"/>
        <v>106</v>
      </c>
      <c r="AE114">
        <f t="shared" si="25"/>
        <v>106</v>
      </c>
      <c r="AF114">
        <f t="shared" si="26"/>
        <v>106</v>
      </c>
      <c r="AG114">
        <f t="shared" si="27"/>
        <v>106</v>
      </c>
      <c r="AH114">
        <f t="shared" si="28"/>
        <v>106</v>
      </c>
      <c r="AI114">
        <f t="shared" si="29"/>
        <v>106</v>
      </c>
      <c r="AJ114">
        <f t="shared" si="30"/>
        <v>0</v>
      </c>
      <c r="AK114">
        <f t="shared" si="31"/>
        <v>0</v>
      </c>
      <c r="AL114">
        <f t="shared" si="32"/>
        <v>0</v>
      </c>
      <c r="AM114">
        <f t="shared" si="33"/>
        <v>0</v>
      </c>
      <c r="AN114">
        <f t="shared" si="34"/>
        <v>106</v>
      </c>
      <c r="AO114">
        <f t="shared" si="35"/>
        <v>0</v>
      </c>
      <c r="AP114">
        <f t="shared" si="36"/>
        <v>106</v>
      </c>
      <c r="AQ114">
        <f t="shared" si="37"/>
        <v>106</v>
      </c>
      <c r="AR114" s="6">
        <f t="shared" si="38"/>
        <v>106</v>
      </c>
      <c r="AS114">
        <f t="shared" si="39"/>
        <v>106</v>
      </c>
      <c r="AV114" s="1" t="str">
        <f>IF(IFERROR(INDEX($A$9:$W$304,$AS114,COLUMNS($AV$9:AV113)),"")=0,"",IFERROR(INDEX($A$9:$W$304,$AS114,COLUMNS($AV$9:AV113)),""))</f>
        <v>Greater Lightning Wurm</v>
      </c>
      <c r="AW114" s="1">
        <f>IFERROR(INDEX($A$9:$W$304,$AS114,COLUMNS($AV$9:AW113)),"")</f>
        <v>1</v>
      </c>
      <c r="AX114" s="1" t="str">
        <f>IF(IFERROR(INDEX($A$9:$X$304,$AS114,COLUMNS($AV$9:AX113)),"")=0,"",IFERROR(INDEX($A$9:$X$304,$AS114,COLUMNS($AV$9:AX113)),""))</f>
        <v>WILD</v>
      </c>
      <c r="AY114" s="1" t="str">
        <f>IF(IFERROR(INDEX($A$9:$X$304,$AS114,COLUMNS($AV$9:AY113)),"")=0,"",IFERROR(INDEX($A$9:$X$304,$AS114,COLUMNS($AV$9:AY113)),""))</f>
        <v/>
      </c>
      <c r="AZ114" s="1" t="str">
        <f>IF(IFERROR(INDEX($A$9:$X$304,$AS114,COLUMNS($AV$9:AZ113)),"")=0,"",IFERROR(INDEX($A$9:$X$304,$AS114,COLUMNS($AV$9:AZ113)),""))</f>
        <v>CHAMPION</v>
      </c>
      <c r="BA114" s="1">
        <f>IF(IFERROR(INDEX($A$9:$X$304,$AS114,COLUMNS($AV$9:BA113)),"")=0,"",IFERROR(INDEX($A$9:$X$304,$AS114,COLUMNS($AV$9:BA113)),""))</f>
        <v>12</v>
      </c>
      <c r="BB114" s="1">
        <f>IF(IFERROR(INDEX($A$9:$X$304,$AS114,COLUMNS($AV$9:BB113)),"")=0,"",IFERROR(INDEX($A$9:$X$304,$AS114,COLUMNS($AV$9:BB113)),""))</f>
        <v>10</v>
      </c>
      <c r="BC114" s="1" t="str">
        <f>IF(IFERROR(INDEX($A$9:$X$304,$AS114,COLUMNS($AV$9:BC113)),"")=0,"",IFERROR(INDEX($A$9:$X$304,$AS114,COLUMNS($AV$9:BC113)),""))</f>
        <v>Breakthrough</v>
      </c>
      <c r="BD114" s="1" t="str">
        <f>IF(IFERROR(INDEX($A$9:$X$304,$AS114,COLUMNS($AV$9:BD113)),"")=0,"",IFERROR(INDEX($A$9:$X$304,$AS114,COLUMNS($AV$9:BD113)),""))</f>
        <v>Loyalty 2 → Deal 6 damage to a target.</v>
      </c>
      <c r="BE114" s="1" t="str">
        <f>IF(IFERROR(INDEX($A$9:$X$304,$AS114,COLUMNS($AV$9:BE113)),"")=0,"",IFERROR(INDEX($A$9:$X$304,$AS114,COLUMNS($AV$9:BE113)),""))</f>
        <v>Even dragons avoid flying too close.</v>
      </c>
      <c r="BF114" s="1" t="str">
        <f>IF(IFERROR(INDEX($A$9:$X$304,$AS114,COLUMNS($AV$9:BF113)),"")=0,"",IFERROR(INDEX($A$9:$X$304,$AS114,COLUMNS($AV$9:BF113)),""))</f>
        <v/>
      </c>
      <c r="BG114" s="1" t="str">
        <f>IF(IFERROR(INDEX($A$9:$X$304,$AS114,COLUMNS($AV$9:BG113)),"")=0,"",IFERROR(INDEX($A$9:$X$304,$AS114,COLUMNS($AV$9:BG113)),""))</f>
        <v/>
      </c>
      <c r="BH114" s="1" t="str">
        <f>IF(IFERROR(INDEX($A$9:$X$304,$AS114,COLUMNS($AV$9:BH113)),"")=0,"",IFERROR(INDEX($A$9:$X$304,$AS114,COLUMNS($AV$9:BH113)),""))</f>
        <v/>
      </c>
      <c r="BI114" s="1" t="str">
        <f>IF(IFERROR(INDEX($A$9:$X$304,$AS114,COLUMNS($AV$9:BI113)),"")=0,"",IFERROR(INDEX($A$9:$X$304,$AS114,COLUMNS($AV$9:BI113)),""))</f>
        <v/>
      </c>
      <c r="BJ114" s="1" t="str">
        <f>IF(IFERROR(INDEX($A$9:$X$304,$AS114,COLUMNS($AV$9:BJ113)),"")=0,"",IFERROR(INDEX($A$9:$X$304,$AS114,COLUMNS($AV$9:BJ113)),""))</f>
        <v>None</v>
      </c>
      <c r="BK114" s="1" t="str">
        <f>IF(IFERROR(INDEX($A$9:$X$304,$AS114,COLUMNS($AV$9:BK113)),"")=0,"",IFERROR(INDEX($A$9:$X$304,$AS114,COLUMNS($AV$9:BK113)),""))</f>
        <v/>
      </c>
      <c r="BL114" s="1" t="str">
        <f>IF(IFERROR(INDEX($A$9:$X$304,$AS114,COLUMNS($AV$9:BL113)),"")=0,"",IFERROR(INDEX($A$9:$X$304,$AS114,COLUMNS($AV$9:BL113)),""))</f>
        <v>WURM</v>
      </c>
      <c r="BM114" s="1" t="str">
        <f>IF(IFERROR(INDEX($A$9:$X$304,$AS114,COLUMNS($AV$9:BM113)),"")=0,"",IFERROR(INDEX($A$9:$X$304,$AS114,COLUMNS($AV$9:BM113)),""))</f>
        <v>Common</v>
      </c>
      <c r="BN114" s="3" t="b">
        <f>IF(IFERROR(INDEX($A$9:$X$304,$AS114,COLUMNS($AV$9:BN113)),"")=0,"",IFERROR(INDEX($A$9:$X$304,$AS114,COLUMNS($AV$9:BN113)),""))</f>
        <v>1</v>
      </c>
      <c r="BO114" s="3" t="b">
        <f>IF(IFERROR(INDEX($A$9:$X$304,$AS114,COLUMNS($AV$9:BO113)),"")=0,"",IFERROR(INDEX($A$9:$X$304,$AS114,COLUMNS($AV$9:BO113)),""))</f>
        <v>0</v>
      </c>
      <c r="BP114" s="3" t="b">
        <f>IF(IFERROR(INDEX($A$9:$X$304,$AS114,COLUMNS($AV$9:BP113)),"")=0,"",IFERROR(INDEX($A$9:$X$304,$AS114,COLUMNS($AV$9:BP113)),""))</f>
        <v>0</v>
      </c>
      <c r="BQ114" s="3" t="b">
        <f>IF(IFERROR(INDEX($A$9:$X$304,$AS114,COLUMNS($AV$9:BQ113)),"")=0,"",IFERROR(INDEX($A$9:$X$304,$AS114,COLUMNS($AV$9:BQ113)),""))</f>
        <v>0</v>
      </c>
      <c r="BR114" s="3" t="str">
        <f>IF(IFERROR(INDEX($A$9:$X$304,$AS114,COLUMNS($AV$9:BR113)),"")=0,"",IFERROR(INDEX($A$9:$X$304,$AS114,COLUMNS($AV$9:BR113)),""))</f>
        <v>https://www.epiccardgame.com/wp-content/uploads/2017/11/PNF-EN-04-greater-lightning-wurm.jpg</v>
      </c>
      <c r="BS114" s="3" t="str">
        <f>IF(IFERROR(INDEX($A$9:$X$304,$AS114,COLUMNS($AV$9:BS113)),"")=0,"",IFERROR(INDEX($A$9:$X$304,$AS114,COLUMNS($AV$9:BS113)),""))</f>
        <v/>
      </c>
      <c r="BT114" s="3"/>
      <c r="BU114" s="15"/>
      <c r="BV114" t="s">
        <v>135</v>
      </c>
    </row>
    <row r="115" spans="1:74" ht="225.2" customHeight="1" x14ac:dyDescent="0.25">
      <c r="A115" t="s">
        <v>431</v>
      </c>
      <c r="B115">
        <v>0</v>
      </c>
      <c r="C115" t="s">
        <v>618</v>
      </c>
      <c r="E115" t="s">
        <v>620</v>
      </c>
      <c r="F115">
        <v>3</v>
      </c>
      <c r="G115">
        <v>2</v>
      </c>
      <c r="H115" t="s">
        <v>678</v>
      </c>
      <c r="I115" t="s">
        <v>839</v>
      </c>
      <c r="O115" t="s">
        <v>1062</v>
      </c>
      <c r="Q115" t="s">
        <v>1078</v>
      </c>
      <c r="R115" t="s">
        <v>1112</v>
      </c>
      <c r="S115" t="b">
        <v>0</v>
      </c>
      <c r="T115" t="b">
        <v>0</v>
      </c>
      <c r="U115" t="b">
        <v>0</v>
      </c>
      <c r="V115" t="b">
        <v>0</v>
      </c>
      <c r="W115" s="2" t="s">
        <v>1290</v>
      </c>
      <c r="X115" s="2"/>
      <c r="Y115" s="24">
        <v>107</v>
      </c>
      <c r="Z115">
        <f t="shared" si="20"/>
        <v>107</v>
      </c>
      <c r="AA115">
        <f t="shared" si="21"/>
        <v>107</v>
      </c>
      <c r="AB115">
        <f t="shared" si="22"/>
        <v>107</v>
      </c>
      <c r="AC115">
        <f t="shared" si="23"/>
        <v>0</v>
      </c>
      <c r="AD115">
        <f t="shared" si="24"/>
        <v>107</v>
      </c>
      <c r="AE115">
        <f t="shared" si="25"/>
        <v>107</v>
      </c>
      <c r="AF115">
        <f t="shared" si="26"/>
        <v>107</v>
      </c>
      <c r="AG115">
        <f t="shared" si="27"/>
        <v>107</v>
      </c>
      <c r="AH115">
        <f t="shared" si="28"/>
        <v>107</v>
      </c>
      <c r="AI115">
        <f t="shared" si="29"/>
        <v>0</v>
      </c>
      <c r="AJ115">
        <f t="shared" si="30"/>
        <v>0</v>
      </c>
      <c r="AK115">
        <f t="shared" si="31"/>
        <v>0</v>
      </c>
      <c r="AL115">
        <f t="shared" si="32"/>
        <v>0</v>
      </c>
      <c r="AM115">
        <f t="shared" si="33"/>
        <v>0</v>
      </c>
      <c r="AN115">
        <f t="shared" si="34"/>
        <v>107</v>
      </c>
      <c r="AO115">
        <f t="shared" si="35"/>
        <v>0</v>
      </c>
      <c r="AP115">
        <f t="shared" si="36"/>
        <v>107</v>
      </c>
      <c r="AQ115">
        <f t="shared" si="37"/>
        <v>107</v>
      </c>
      <c r="AR115" s="6">
        <f t="shared" si="38"/>
        <v>107</v>
      </c>
      <c r="AS115">
        <f t="shared" si="39"/>
        <v>107</v>
      </c>
      <c r="AV115" s="1" t="str">
        <f>IF(IFERROR(INDEX($A$9:$W$304,$AS115,COLUMNS($AV$9:AV114)),"")=0,"",IFERROR(INDEX($A$9:$W$304,$AS115,COLUMNS($AV$9:AV114)),""))</f>
        <v>Guilt Demon</v>
      </c>
      <c r="AW115" s="1">
        <f>IFERROR(INDEX($A$9:$W$304,$AS115,COLUMNS($AV$9:AW114)),"")</f>
        <v>0</v>
      </c>
      <c r="AX115" s="1" t="str">
        <f>IF(IFERROR(INDEX($A$9:$X$304,$AS115,COLUMNS($AV$9:AX114)),"")=0,"",IFERROR(INDEX($A$9:$X$304,$AS115,COLUMNS($AV$9:AX114)),""))</f>
        <v>EVIL</v>
      </c>
      <c r="AY115" s="1" t="str">
        <f>IF(IFERROR(INDEX($A$9:$X$304,$AS115,COLUMNS($AV$9:AY114)),"")=0,"",IFERROR(INDEX($A$9:$X$304,$AS115,COLUMNS($AV$9:AY114)),""))</f>
        <v/>
      </c>
      <c r="AZ115" s="1" t="str">
        <f>IF(IFERROR(INDEX($A$9:$X$304,$AS115,COLUMNS($AV$9:AZ114)),"")=0,"",IFERROR(INDEX($A$9:$X$304,$AS115,COLUMNS($AV$9:AZ114)),""))</f>
        <v>CHAMPION</v>
      </c>
      <c r="BA115" s="1">
        <f>IF(IFERROR(INDEX($A$9:$X$304,$AS115,COLUMNS($AV$9:BA114)),"")=0,"",IFERROR(INDEX($A$9:$X$304,$AS115,COLUMNS($AV$9:BA114)),""))</f>
        <v>3</v>
      </c>
      <c r="BB115" s="1">
        <f>IF(IFERROR(INDEX($A$9:$X$304,$AS115,COLUMNS($AV$9:BB114)),"")=0,"",IFERROR(INDEX($A$9:$X$304,$AS115,COLUMNS($AV$9:BB114)),""))</f>
        <v>2</v>
      </c>
      <c r="BC115" s="1" t="str">
        <f>IF(IFERROR(INDEX($A$9:$X$304,$AS115,COLUMNS($AV$9:BC114)),"")=0,"",IFERROR(INDEX($A$9:$X$304,$AS115,COLUMNS($AV$9:BC114)),""))</f>
        <v>Airborne ◆ Ambush ◆ Blitz</v>
      </c>
      <c r="BD115" s="1" t="str">
        <f>IF(IFERROR(INDEX($A$9:$X$304,$AS115,COLUMNS($AV$9:BD114)),"")=0,"",IFERROR(INDEX($A$9:$X$304,$AS115,COLUMNS($AV$9:BD114)),""))</f>
        <v>Tribute and/or when this attacks → You may banish target card in any discard pile.</v>
      </c>
      <c r="BE115" s="1" t="str">
        <f>IF(IFERROR(INDEX($A$9:$X$304,$AS115,COLUMNS($AV$9:BE114)),"")=0,"",IFERROR(INDEX($A$9:$X$304,$AS115,COLUMNS($AV$9:BE114)),""))</f>
        <v/>
      </c>
      <c r="BF115" s="1" t="str">
        <f>IF(IFERROR(INDEX($A$9:$X$304,$AS115,COLUMNS($AV$9:BF114)),"")=0,"",IFERROR(INDEX($A$9:$X$304,$AS115,COLUMNS($AV$9:BF114)),""))</f>
        <v/>
      </c>
      <c r="BG115" s="1" t="str">
        <f>IF(IFERROR(INDEX($A$9:$X$304,$AS115,COLUMNS($AV$9:BG114)),"")=0,"",IFERROR(INDEX($A$9:$X$304,$AS115,COLUMNS($AV$9:BG114)),""))</f>
        <v/>
      </c>
      <c r="BH115" s="1" t="str">
        <f>IF(IFERROR(INDEX($A$9:$X$304,$AS115,COLUMNS($AV$9:BH114)),"")=0,"",IFERROR(INDEX($A$9:$X$304,$AS115,COLUMNS($AV$9:BH114)),""))</f>
        <v/>
      </c>
      <c r="BI115" s="1" t="str">
        <f>IF(IFERROR(INDEX($A$9:$X$304,$AS115,COLUMNS($AV$9:BI114)),"")=0,"",IFERROR(INDEX($A$9:$X$304,$AS115,COLUMNS($AV$9:BI114)),""))</f>
        <v/>
      </c>
      <c r="BJ115" s="1" t="str">
        <f>IF(IFERROR(INDEX($A$9:$X$304,$AS115,COLUMNS($AV$9:BJ114)),"")=0,"",IFERROR(INDEX($A$9:$X$304,$AS115,COLUMNS($AV$9:BJ114)),""))</f>
        <v>None</v>
      </c>
      <c r="BK115" s="1" t="str">
        <f>IF(IFERROR(INDEX($A$9:$X$304,$AS115,COLUMNS($AV$9:BK114)),"")=0,"",IFERROR(INDEX($A$9:$X$304,$AS115,COLUMNS($AV$9:BK114)),""))</f>
        <v/>
      </c>
      <c r="BL115" s="1" t="str">
        <f>IF(IFERROR(INDEX($A$9:$X$304,$AS115,COLUMNS($AV$9:BL114)),"")=0,"",IFERROR(INDEX($A$9:$X$304,$AS115,COLUMNS($AV$9:BL114)),""))</f>
        <v>DEMON</v>
      </c>
      <c r="BM115" s="1" t="str">
        <f>IF(IFERROR(INDEX($A$9:$X$304,$AS115,COLUMNS($AV$9:BM114)),"")=0,"",IFERROR(INDEX($A$9:$X$304,$AS115,COLUMNS($AV$9:BM114)),""))</f>
        <v>Common</v>
      </c>
      <c r="BN115" s="3" t="b">
        <f>IF(IFERROR(INDEX($A$9:$X$304,$AS115,COLUMNS($AV$9:BN114)),"")=0,"",IFERROR(INDEX($A$9:$X$304,$AS115,COLUMNS($AV$9:BN114)),""))</f>
        <v>0</v>
      </c>
      <c r="BO115" s="3" t="b">
        <f>IF(IFERROR(INDEX($A$9:$X$304,$AS115,COLUMNS($AV$9:BO114)),"")=0,"",IFERROR(INDEX($A$9:$X$304,$AS115,COLUMNS($AV$9:BO114)),""))</f>
        <v>0</v>
      </c>
      <c r="BP115" s="3" t="b">
        <f>IF(IFERROR(INDEX($A$9:$X$304,$AS115,COLUMNS($AV$9:BP114)),"")=0,"",IFERROR(INDEX($A$9:$X$304,$AS115,COLUMNS($AV$9:BP114)),""))</f>
        <v>0</v>
      </c>
      <c r="BQ115" s="3" t="b">
        <f>IF(IFERROR(INDEX($A$9:$X$304,$AS115,COLUMNS($AV$9:BQ114)),"")=0,"",IFERROR(INDEX($A$9:$X$304,$AS115,COLUMNS($AV$9:BQ114)),""))</f>
        <v>0</v>
      </c>
      <c r="BR115" s="3" t="str">
        <f>IF(IFERROR(INDEX($A$9:$X$304,$AS115,COLUMNS($AV$9:BR114)),"")=0,"",IFERROR(INDEX($A$9:$X$304,$AS115,COLUMNS($AV$9:BR114)),""))</f>
        <v>http://www.epiccardgame.com/wp-content/uploads/2015/09/guilt_demon-215x300.jpg</v>
      </c>
      <c r="BS115" s="3" t="str">
        <f>IF(IFERROR(INDEX($A$9:$X$304,$AS115,COLUMNS($AV$9:BS114)),"")=0,"",IFERROR(INDEX($A$9:$X$304,$AS115,COLUMNS($AV$9:BS114)),""))</f>
        <v/>
      </c>
      <c r="BT115" s="3"/>
      <c r="BU115" s="15"/>
      <c r="BV115" t="s">
        <v>136</v>
      </c>
    </row>
    <row r="116" spans="1:74" ht="225.2" customHeight="1" x14ac:dyDescent="0.25">
      <c r="A116" t="s">
        <v>432</v>
      </c>
      <c r="B116">
        <v>0</v>
      </c>
      <c r="C116" t="s">
        <v>617</v>
      </c>
      <c r="E116" t="s">
        <v>620</v>
      </c>
      <c r="F116">
        <v>2</v>
      </c>
      <c r="G116">
        <v>3</v>
      </c>
      <c r="H116" t="s">
        <v>25</v>
      </c>
      <c r="I116" t="s">
        <v>840</v>
      </c>
      <c r="J116" t="s">
        <v>992</v>
      </c>
      <c r="O116" t="s">
        <v>1062</v>
      </c>
      <c r="Q116" t="s">
        <v>1064</v>
      </c>
      <c r="R116" t="s">
        <v>1112</v>
      </c>
      <c r="S116" t="b">
        <v>0</v>
      </c>
      <c r="T116" t="b">
        <v>0</v>
      </c>
      <c r="U116" t="b">
        <v>0</v>
      </c>
      <c r="V116" t="b">
        <v>0</v>
      </c>
      <c r="W116" s="2" t="s">
        <v>1291</v>
      </c>
      <c r="X116" s="2"/>
      <c r="Y116" s="24">
        <v>108</v>
      </c>
      <c r="Z116">
        <f t="shared" si="20"/>
        <v>108</v>
      </c>
      <c r="AA116">
        <f t="shared" si="21"/>
        <v>108</v>
      </c>
      <c r="AB116">
        <f t="shared" si="22"/>
        <v>108</v>
      </c>
      <c r="AC116">
        <f t="shared" si="23"/>
        <v>0</v>
      </c>
      <c r="AD116">
        <f t="shared" si="24"/>
        <v>108</v>
      </c>
      <c r="AE116">
        <f t="shared" si="25"/>
        <v>108</v>
      </c>
      <c r="AF116">
        <f t="shared" si="26"/>
        <v>108</v>
      </c>
      <c r="AG116">
        <f t="shared" si="27"/>
        <v>108</v>
      </c>
      <c r="AH116">
        <f t="shared" si="28"/>
        <v>108</v>
      </c>
      <c r="AI116">
        <f t="shared" si="29"/>
        <v>108</v>
      </c>
      <c r="AJ116">
        <f t="shared" si="30"/>
        <v>0</v>
      </c>
      <c r="AK116">
        <f t="shared" si="31"/>
        <v>0</v>
      </c>
      <c r="AL116">
        <f t="shared" si="32"/>
        <v>0</v>
      </c>
      <c r="AM116">
        <f t="shared" si="33"/>
        <v>0</v>
      </c>
      <c r="AN116">
        <f t="shared" si="34"/>
        <v>108</v>
      </c>
      <c r="AO116">
        <f t="shared" si="35"/>
        <v>0</v>
      </c>
      <c r="AP116">
        <f t="shared" si="36"/>
        <v>108</v>
      </c>
      <c r="AQ116">
        <f t="shared" si="37"/>
        <v>108</v>
      </c>
      <c r="AR116" s="6">
        <f t="shared" si="38"/>
        <v>108</v>
      </c>
      <c r="AS116">
        <f t="shared" si="39"/>
        <v>108</v>
      </c>
      <c r="AV116" s="1" t="str">
        <f>IF(IFERROR(INDEX($A$9:$W$304,$AS116,COLUMNS($AV$9:AV115)),"")=0,"",IFERROR(INDEX($A$9:$W$304,$AS116,COLUMNS($AV$9:AV115)),""))</f>
        <v>Hand of Angeline</v>
      </c>
      <c r="AW116" s="1">
        <f>IFERROR(INDEX($A$9:$W$304,$AS116,COLUMNS($AV$9:AW115)),"")</f>
        <v>0</v>
      </c>
      <c r="AX116" s="1" t="str">
        <f>IF(IFERROR(INDEX($A$9:$X$304,$AS116,COLUMNS($AV$9:AX115)),"")=0,"",IFERROR(INDEX($A$9:$X$304,$AS116,COLUMNS($AV$9:AX115)),""))</f>
        <v>GOOD</v>
      </c>
      <c r="AY116" s="1" t="str">
        <f>IF(IFERROR(INDEX($A$9:$X$304,$AS116,COLUMNS($AV$9:AY115)),"")=0,"",IFERROR(INDEX($A$9:$X$304,$AS116,COLUMNS($AV$9:AY115)),""))</f>
        <v/>
      </c>
      <c r="AZ116" s="1" t="str">
        <f>IF(IFERROR(INDEX($A$9:$X$304,$AS116,COLUMNS($AV$9:AZ115)),"")=0,"",IFERROR(INDEX($A$9:$X$304,$AS116,COLUMNS($AV$9:AZ115)),""))</f>
        <v>CHAMPION</v>
      </c>
      <c r="BA116" s="1">
        <f>IF(IFERROR(INDEX($A$9:$X$304,$AS116,COLUMNS($AV$9:BA115)),"")=0,"",IFERROR(INDEX($A$9:$X$304,$AS116,COLUMNS($AV$9:BA115)),""))</f>
        <v>2</v>
      </c>
      <c r="BB116" s="1">
        <f>IF(IFERROR(INDEX($A$9:$X$304,$AS116,COLUMNS($AV$9:BB115)),"")=0,"",IFERROR(INDEX($A$9:$X$304,$AS116,COLUMNS($AV$9:BB115)),""))</f>
        <v>3</v>
      </c>
      <c r="BC116" s="1" t="str">
        <f>IF(IFERROR(INDEX($A$9:$X$304,$AS116,COLUMNS($AV$9:BC115)),"")=0,"",IFERROR(INDEX($A$9:$X$304,$AS116,COLUMNS($AV$9:BC115)),""))</f>
        <v>Airborne</v>
      </c>
      <c r="BD116" s="1" t="str">
        <f>IF(IFERROR(INDEX($A$9:$X$304,$AS116,COLUMNS($AV$9:BD115)),"")=0,"",IFERROR(INDEX($A$9:$X$304,$AS116,COLUMNS($AV$9:BD115)),""))</f>
        <v>{good} → Recycle</v>
      </c>
      <c r="BE116" s="1" t="str">
        <f>IF(IFERROR(INDEX($A$9:$X$304,$AS116,COLUMNS($AV$9:BE115)),"")=0,"",IFERROR(INDEX($A$9:$X$304,$AS116,COLUMNS($AV$9:BE115)),""))</f>
        <v>Angeline is the patron of warriors and angels. Her chosen hand is both.</v>
      </c>
      <c r="BF116" s="1" t="str">
        <f>IF(IFERROR(INDEX($A$9:$X$304,$AS116,COLUMNS($AV$9:BF115)),"")=0,"",IFERROR(INDEX($A$9:$X$304,$AS116,COLUMNS($AV$9:BF115)),""))</f>
        <v/>
      </c>
      <c r="BG116" s="1" t="str">
        <f>IF(IFERROR(INDEX($A$9:$X$304,$AS116,COLUMNS($AV$9:BG115)),"")=0,"",IFERROR(INDEX($A$9:$X$304,$AS116,COLUMNS($AV$9:BG115)),""))</f>
        <v/>
      </c>
      <c r="BH116" s="1" t="str">
        <f>IF(IFERROR(INDEX($A$9:$X$304,$AS116,COLUMNS($AV$9:BH115)),"")=0,"",IFERROR(INDEX($A$9:$X$304,$AS116,COLUMNS($AV$9:BH115)),""))</f>
        <v/>
      </c>
      <c r="BI116" s="1" t="str">
        <f>IF(IFERROR(INDEX($A$9:$X$304,$AS116,COLUMNS($AV$9:BI115)),"")=0,"",IFERROR(INDEX($A$9:$X$304,$AS116,COLUMNS($AV$9:BI115)),""))</f>
        <v/>
      </c>
      <c r="BJ116" s="1" t="str">
        <f>IF(IFERROR(INDEX($A$9:$X$304,$AS116,COLUMNS($AV$9:BJ115)),"")=0,"",IFERROR(INDEX($A$9:$X$304,$AS116,COLUMNS($AV$9:BJ115)),""))</f>
        <v>None</v>
      </c>
      <c r="BK116" s="1" t="str">
        <f>IF(IFERROR(INDEX($A$9:$X$304,$AS116,COLUMNS($AV$9:BK115)),"")=0,"",IFERROR(INDEX($A$9:$X$304,$AS116,COLUMNS($AV$9:BK115)),""))</f>
        <v/>
      </c>
      <c r="BL116" s="1" t="str">
        <f>IF(IFERROR(INDEX($A$9:$X$304,$AS116,COLUMNS($AV$9:BL115)),"")=0,"",IFERROR(INDEX($A$9:$X$304,$AS116,COLUMNS($AV$9:BL115)),""))</f>
        <v>ANGEL</v>
      </c>
      <c r="BM116" s="1" t="str">
        <f>IF(IFERROR(INDEX($A$9:$X$304,$AS116,COLUMNS($AV$9:BM115)),"")=0,"",IFERROR(INDEX($A$9:$X$304,$AS116,COLUMNS($AV$9:BM115)),""))</f>
        <v>Common</v>
      </c>
      <c r="BN116" s="3" t="b">
        <f>IF(IFERROR(INDEX($A$9:$X$304,$AS116,COLUMNS($AV$9:BN115)),"")=0,"",IFERROR(INDEX($A$9:$X$304,$AS116,COLUMNS($AV$9:BN115)),""))</f>
        <v>0</v>
      </c>
      <c r="BO116" s="3" t="b">
        <f>IF(IFERROR(INDEX($A$9:$X$304,$AS116,COLUMNS($AV$9:BO115)),"")=0,"",IFERROR(INDEX($A$9:$X$304,$AS116,COLUMNS($AV$9:BO115)),""))</f>
        <v>0</v>
      </c>
      <c r="BP116" s="3" t="b">
        <f>IF(IFERROR(INDEX($A$9:$X$304,$AS116,COLUMNS($AV$9:BP115)),"")=0,"",IFERROR(INDEX($A$9:$X$304,$AS116,COLUMNS($AV$9:BP115)),""))</f>
        <v>0</v>
      </c>
      <c r="BQ116" s="3" t="b">
        <f>IF(IFERROR(INDEX($A$9:$X$304,$AS116,COLUMNS($AV$9:BQ115)),"")=0,"",IFERROR(INDEX($A$9:$X$304,$AS116,COLUMNS($AV$9:BQ115)),""))</f>
        <v>0</v>
      </c>
      <c r="BR116" s="3" t="str">
        <f>IF(IFERROR(INDEX($A$9:$X$304,$AS116,COLUMNS($AV$9:BR115)),"")=0,"",IFERROR(INDEX($A$9:$X$304,$AS116,COLUMNS($AV$9:BR115)),""))</f>
        <v>https://www.epiccardgame.com/wp-content/uploads/2017/11/PNG-EN-14-hand-of-angeline.jpg</v>
      </c>
      <c r="BS116" s="3" t="str">
        <f>IF(IFERROR(INDEX($A$9:$X$304,$AS116,COLUMNS($AV$9:BS115)),"")=0,"",IFERROR(INDEX($A$9:$X$304,$AS116,COLUMNS($AV$9:BS115)),""))</f>
        <v/>
      </c>
      <c r="BT116" s="3"/>
      <c r="BU116" s="15"/>
      <c r="BV116" t="s">
        <v>137</v>
      </c>
    </row>
    <row r="117" spans="1:74" ht="225" customHeight="1" x14ac:dyDescent="0.25">
      <c r="A117" t="s">
        <v>433</v>
      </c>
      <c r="B117">
        <v>0</v>
      </c>
      <c r="C117" t="s">
        <v>618</v>
      </c>
      <c r="E117" t="s">
        <v>619</v>
      </c>
      <c r="H117" t="s">
        <v>679</v>
      </c>
      <c r="I117" t="s">
        <v>841</v>
      </c>
      <c r="O117" t="s">
        <v>1062</v>
      </c>
      <c r="Q117" t="s">
        <v>1068</v>
      </c>
      <c r="R117" t="s">
        <v>1112</v>
      </c>
      <c r="S117" t="b">
        <v>0</v>
      </c>
      <c r="T117" t="b">
        <v>0</v>
      </c>
      <c r="U117" t="b">
        <v>0</v>
      </c>
      <c r="V117" t="b">
        <v>0</v>
      </c>
      <c r="W117" s="2" t="s">
        <v>1292</v>
      </c>
      <c r="X117" s="2"/>
      <c r="Y117" s="24">
        <v>109</v>
      </c>
      <c r="Z117">
        <f t="shared" si="20"/>
        <v>109</v>
      </c>
      <c r="AA117">
        <f t="shared" si="21"/>
        <v>109</v>
      </c>
      <c r="AB117">
        <f t="shared" si="22"/>
        <v>109</v>
      </c>
      <c r="AC117">
        <f t="shared" si="23"/>
        <v>0</v>
      </c>
      <c r="AD117">
        <f t="shared" si="24"/>
        <v>109</v>
      </c>
      <c r="AE117">
        <f t="shared" si="25"/>
        <v>0</v>
      </c>
      <c r="AF117">
        <f t="shared" si="26"/>
        <v>0</v>
      </c>
      <c r="AG117">
        <f t="shared" si="27"/>
        <v>109</v>
      </c>
      <c r="AH117">
        <f t="shared" si="28"/>
        <v>109</v>
      </c>
      <c r="AI117">
        <f t="shared" si="29"/>
        <v>0</v>
      </c>
      <c r="AJ117">
        <f t="shared" si="30"/>
        <v>0</v>
      </c>
      <c r="AK117">
        <f t="shared" si="31"/>
        <v>0</v>
      </c>
      <c r="AL117">
        <f t="shared" si="32"/>
        <v>0</v>
      </c>
      <c r="AM117">
        <f t="shared" si="33"/>
        <v>0</v>
      </c>
      <c r="AN117">
        <f t="shared" si="34"/>
        <v>109</v>
      </c>
      <c r="AO117">
        <f t="shared" si="35"/>
        <v>0</v>
      </c>
      <c r="AP117">
        <f t="shared" si="36"/>
        <v>109</v>
      </c>
      <c r="AQ117">
        <f t="shared" si="37"/>
        <v>109</v>
      </c>
      <c r="AR117" s="6">
        <f t="shared" si="38"/>
        <v>109</v>
      </c>
      <c r="AS117">
        <f t="shared" si="39"/>
        <v>109</v>
      </c>
      <c r="AV117" s="1" t="str">
        <f>IF(IFERROR(INDEX($A$9:$W$304,$AS117,COLUMNS($AV$9:AV116)),"")=0,"",IFERROR(INDEX($A$9:$W$304,$AS117,COLUMNS($AV$9:AV116)),""))</f>
        <v>Hands from Below</v>
      </c>
      <c r="AW117" s="1">
        <f>IFERROR(INDEX($A$9:$W$304,$AS117,COLUMNS($AV$9:AW116)),"")</f>
        <v>0</v>
      </c>
      <c r="AX117" s="1" t="str">
        <f>IF(IFERROR(INDEX($A$9:$X$304,$AS117,COLUMNS($AV$9:AX116)),"")=0,"",IFERROR(INDEX($A$9:$X$304,$AS117,COLUMNS($AV$9:AX116)),""))</f>
        <v>EVIL</v>
      </c>
      <c r="AY117" s="1" t="str">
        <f>IF(IFERROR(INDEX($A$9:$X$304,$AS117,COLUMNS($AV$9:AY116)),"")=0,"",IFERROR(INDEX($A$9:$X$304,$AS117,COLUMNS($AV$9:AY116)),""))</f>
        <v/>
      </c>
      <c r="AZ117" s="1" t="str">
        <f>IF(IFERROR(INDEX($A$9:$X$304,$AS117,COLUMNS($AV$9:AZ116)),"")=0,"",IFERROR(INDEX($A$9:$X$304,$AS117,COLUMNS($AV$9:AZ116)),""))</f>
        <v>EVENT</v>
      </c>
      <c r="BA117" s="1" t="str">
        <f>IF(IFERROR(INDEX($A$9:$X$304,$AS117,COLUMNS($AV$9:BA116)),"")=0,"",IFERROR(INDEX($A$9:$X$304,$AS117,COLUMNS($AV$9:BA116)),""))</f>
        <v/>
      </c>
      <c r="BB117" s="1" t="str">
        <f>IF(IFERROR(INDEX($A$9:$X$304,$AS117,COLUMNS($AV$9:BB116)),"")=0,"",IFERROR(INDEX($A$9:$X$304,$AS117,COLUMNS($AV$9:BB116)),""))</f>
        <v/>
      </c>
      <c r="BC117" s="1" t="str">
        <f>IF(IFERROR(INDEX($A$9:$X$304,$AS117,COLUMNS($AV$9:BC116)),"")=0,"",IFERROR(INDEX($A$9:$X$304,$AS117,COLUMNS($AV$9:BC116)),""))</f>
        <v>Deal 4 damage to each attacking champion without airborne.</v>
      </c>
      <c r="BD117" s="1" t="str">
        <f>IF(IFERROR(INDEX($A$9:$X$304,$AS117,COLUMNS($AV$9:BD116)),"")=0,"",IFERROR(INDEX($A$9:$X$304,$AS117,COLUMNS($AV$9:BD116)),""))</f>
        <v>Put two zombie tokens into play expended.</v>
      </c>
      <c r="BE117" s="1" t="str">
        <f>IF(IFERROR(INDEX($A$9:$X$304,$AS117,COLUMNS($AV$9:BE116)),"")=0,"",IFERROR(INDEX($A$9:$X$304,$AS117,COLUMNS($AV$9:BE116)),""))</f>
        <v/>
      </c>
      <c r="BF117" s="1" t="str">
        <f>IF(IFERROR(INDEX($A$9:$X$304,$AS117,COLUMNS($AV$9:BF116)),"")=0,"",IFERROR(INDEX($A$9:$X$304,$AS117,COLUMNS($AV$9:BF116)),""))</f>
        <v/>
      </c>
      <c r="BG117" s="1" t="str">
        <f>IF(IFERROR(INDEX($A$9:$X$304,$AS117,COLUMNS($AV$9:BG116)),"")=0,"",IFERROR(INDEX($A$9:$X$304,$AS117,COLUMNS($AV$9:BG116)),""))</f>
        <v/>
      </c>
      <c r="BH117" s="1" t="str">
        <f>IF(IFERROR(INDEX($A$9:$X$304,$AS117,COLUMNS($AV$9:BH116)),"")=0,"",IFERROR(INDEX($A$9:$X$304,$AS117,COLUMNS($AV$9:BH116)),""))</f>
        <v/>
      </c>
      <c r="BI117" s="1" t="str">
        <f>IF(IFERROR(INDEX($A$9:$X$304,$AS117,COLUMNS($AV$9:BI116)),"")=0,"",IFERROR(INDEX($A$9:$X$304,$AS117,COLUMNS($AV$9:BI116)),""))</f>
        <v/>
      </c>
      <c r="BJ117" s="1" t="str">
        <f>IF(IFERROR(INDEX($A$9:$X$304,$AS117,COLUMNS($AV$9:BJ116)),"")=0,"",IFERROR(INDEX($A$9:$X$304,$AS117,COLUMNS($AV$9:BJ116)),""))</f>
        <v>None</v>
      </c>
      <c r="BK117" s="1" t="str">
        <f>IF(IFERROR(INDEX($A$9:$X$304,$AS117,COLUMNS($AV$9:BK116)),"")=0,"",IFERROR(INDEX($A$9:$X$304,$AS117,COLUMNS($AV$9:BK116)),""))</f>
        <v/>
      </c>
      <c r="BL117" s="1" t="str">
        <f>IF(IFERROR(INDEX($A$9:$X$304,$AS117,COLUMNS($AV$9:BL116)),"")=0,"",IFERROR(INDEX($A$9:$X$304,$AS117,COLUMNS($AV$9:BL116)),""))</f>
        <v>ZOMBIE</v>
      </c>
      <c r="BM117" s="1" t="str">
        <f>IF(IFERROR(INDEX($A$9:$X$304,$AS117,COLUMNS($AV$9:BM116)),"")=0,"",IFERROR(INDEX($A$9:$X$304,$AS117,COLUMNS($AV$9:BM116)),""))</f>
        <v>Common</v>
      </c>
      <c r="BN117" s="3" t="b">
        <f>IF(IFERROR(INDEX($A$9:$X$304,$AS117,COLUMNS($AV$9:BN116)),"")=0,"",IFERROR(INDEX($A$9:$X$304,$AS117,COLUMNS($AV$9:BN116)),""))</f>
        <v>0</v>
      </c>
      <c r="BO117" s="3" t="b">
        <f>IF(IFERROR(INDEX($A$9:$X$304,$AS117,COLUMNS($AV$9:BO116)),"")=0,"",IFERROR(INDEX($A$9:$X$304,$AS117,COLUMNS($AV$9:BO116)),""))</f>
        <v>0</v>
      </c>
      <c r="BP117" s="3" t="b">
        <f>IF(IFERROR(INDEX($A$9:$X$304,$AS117,COLUMNS($AV$9:BP116)),"")=0,"",IFERROR(INDEX($A$9:$X$304,$AS117,COLUMNS($AV$9:BP116)),""))</f>
        <v>0</v>
      </c>
      <c r="BQ117" s="3" t="b">
        <f>IF(IFERROR(INDEX($A$9:$X$304,$AS117,COLUMNS($AV$9:BQ116)),"")=0,"",IFERROR(INDEX($A$9:$X$304,$AS117,COLUMNS($AV$9:BQ116)),""))</f>
        <v>0</v>
      </c>
      <c r="BR117" s="3" t="str">
        <f>IF(IFERROR(INDEX($A$9:$X$304,$AS117,COLUMNS($AV$9:BR116)),"")=0,"",IFERROR(INDEX($A$9:$X$304,$AS117,COLUMNS($AV$9:BR116)),""))</f>
        <v>http://www.epiccardgame.com/wp-content/uploads/2016/03/hands_from_below-214x300.jpg</v>
      </c>
      <c r="BS117" s="3" t="str">
        <f>IF(IFERROR(INDEX($A$9:$X$304,$AS117,COLUMNS($AV$9:BS116)),"")=0,"",IFERROR(INDEX($A$9:$X$304,$AS117,COLUMNS($AV$9:BS116)),""))</f>
        <v/>
      </c>
      <c r="BT117" s="3"/>
      <c r="BU117" s="15"/>
      <c r="BV117" t="s">
        <v>138</v>
      </c>
    </row>
    <row r="118" spans="1:74" ht="225" customHeight="1" x14ac:dyDescent="0.25">
      <c r="A118" t="s">
        <v>434</v>
      </c>
      <c r="B118">
        <v>0</v>
      </c>
      <c r="C118" t="s">
        <v>616</v>
      </c>
      <c r="E118" t="s">
        <v>619</v>
      </c>
      <c r="H118" t="s">
        <v>680</v>
      </c>
      <c r="I118" t="s">
        <v>769</v>
      </c>
      <c r="O118" t="s">
        <v>1062</v>
      </c>
      <c r="R118" t="s">
        <v>1112</v>
      </c>
      <c r="S118" t="b">
        <v>1</v>
      </c>
      <c r="T118" t="b">
        <v>1</v>
      </c>
      <c r="U118" t="b">
        <v>0</v>
      </c>
      <c r="V118" t="b">
        <v>0</v>
      </c>
      <c r="W118" s="2" t="s">
        <v>1293</v>
      </c>
      <c r="X118" s="2"/>
      <c r="Y118" s="24">
        <v>110</v>
      </c>
      <c r="Z118">
        <f t="shared" si="20"/>
        <v>110</v>
      </c>
      <c r="AA118">
        <f t="shared" si="21"/>
        <v>110</v>
      </c>
      <c r="AB118">
        <f t="shared" si="22"/>
        <v>110</v>
      </c>
      <c r="AC118">
        <f t="shared" si="23"/>
        <v>0</v>
      </c>
      <c r="AD118">
        <f t="shared" si="24"/>
        <v>110</v>
      </c>
      <c r="AE118">
        <f t="shared" si="25"/>
        <v>0</v>
      </c>
      <c r="AF118">
        <f t="shared" si="26"/>
        <v>0</v>
      </c>
      <c r="AG118">
        <f t="shared" si="27"/>
        <v>110</v>
      </c>
      <c r="AH118">
        <f t="shared" si="28"/>
        <v>110</v>
      </c>
      <c r="AI118">
        <f t="shared" si="29"/>
        <v>0</v>
      </c>
      <c r="AJ118">
        <f t="shared" si="30"/>
        <v>0</v>
      </c>
      <c r="AK118">
        <f t="shared" si="31"/>
        <v>0</v>
      </c>
      <c r="AL118">
        <f t="shared" si="32"/>
        <v>0</v>
      </c>
      <c r="AM118">
        <f t="shared" si="33"/>
        <v>0</v>
      </c>
      <c r="AN118">
        <f t="shared" si="34"/>
        <v>110</v>
      </c>
      <c r="AO118">
        <f t="shared" si="35"/>
        <v>0</v>
      </c>
      <c r="AP118">
        <f t="shared" si="36"/>
        <v>0</v>
      </c>
      <c r="AQ118">
        <f t="shared" si="37"/>
        <v>110</v>
      </c>
      <c r="AR118" s="6">
        <f t="shared" si="38"/>
        <v>110</v>
      </c>
      <c r="AS118">
        <f t="shared" si="39"/>
        <v>110</v>
      </c>
      <c r="AV118" s="1" t="str">
        <f>IF(IFERROR(INDEX($A$9:$W$304,$AS118,COLUMNS($AV$9:AV117)),"")=0,"",IFERROR(INDEX($A$9:$W$304,$AS118,COLUMNS($AV$9:AV117)),""))</f>
        <v>Hasty Retreat</v>
      </c>
      <c r="AW118" s="1">
        <f>IFERROR(INDEX($A$9:$W$304,$AS118,COLUMNS($AV$9:AW117)),"")</f>
        <v>0</v>
      </c>
      <c r="AX118" s="1" t="str">
        <f>IF(IFERROR(INDEX($A$9:$X$304,$AS118,COLUMNS($AV$9:AX117)),"")=0,"",IFERROR(INDEX($A$9:$X$304,$AS118,COLUMNS($AV$9:AX117)),""))</f>
        <v>SAGE</v>
      </c>
      <c r="AY118" s="1" t="str">
        <f>IF(IFERROR(INDEX($A$9:$X$304,$AS118,COLUMNS($AV$9:AY117)),"")=0,"",IFERROR(INDEX($A$9:$X$304,$AS118,COLUMNS($AV$9:AY117)),""))</f>
        <v/>
      </c>
      <c r="AZ118" s="1" t="str">
        <f>IF(IFERROR(INDEX($A$9:$X$304,$AS118,COLUMNS($AV$9:AZ117)),"")=0,"",IFERROR(INDEX($A$9:$X$304,$AS118,COLUMNS($AV$9:AZ117)),""))</f>
        <v>EVENT</v>
      </c>
      <c r="BA118" s="1" t="str">
        <f>IF(IFERROR(INDEX($A$9:$X$304,$AS118,COLUMNS($AV$9:BA117)),"")=0,"",IFERROR(INDEX($A$9:$X$304,$AS118,COLUMNS($AV$9:BA117)),""))</f>
        <v/>
      </c>
      <c r="BB118" s="1" t="str">
        <f>IF(IFERROR(INDEX($A$9:$X$304,$AS118,COLUMNS($AV$9:BB117)),"")=0,"",IFERROR(INDEX($A$9:$X$304,$AS118,COLUMNS($AV$9:BB117)),""))</f>
        <v/>
      </c>
      <c r="BC118" s="1" t="str">
        <f>IF(IFERROR(INDEX($A$9:$X$304,$AS118,COLUMNS($AV$9:BC117)),"")=0,"",IFERROR(INDEX($A$9:$X$304,$AS118,COLUMNS($AV$9:BC117)),""))</f>
        <v>Return target attacking champion to its owner's hand. If it was attacking you and was unblocked, its controller draws a card.</v>
      </c>
      <c r="BD118" s="1" t="str">
        <f>IF(IFERROR(INDEX($A$9:$X$304,$AS118,COLUMNS($AV$9:BD117)),"")=0,"",IFERROR(INDEX($A$9:$X$304,$AS118,COLUMNS($AV$9:BD117)),""))</f>
        <v>{1}: Draw two cards.</v>
      </c>
      <c r="BE118" s="1" t="str">
        <f>IF(IFERROR(INDEX($A$9:$X$304,$AS118,COLUMNS($AV$9:BE117)),"")=0,"",IFERROR(INDEX($A$9:$X$304,$AS118,COLUMNS($AV$9:BE117)),""))</f>
        <v/>
      </c>
      <c r="BF118" s="1" t="str">
        <f>IF(IFERROR(INDEX($A$9:$X$304,$AS118,COLUMNS($AV$9:BF117)),"")=0,"",IFERROR(INDEX($A$9:$X$304,$AS118,COLUMNS($AV$9:BF117)),""))</f>
        <v/>
      </c>
      <c r="BG118" s="1" t="str">
        <f>IF(IFERROR(INDEX($A$9:$X$304,$AS118,COLUMNS($AV$9:BG117)),"")=0,"",IFERROR(INDEX($A$9:$X$304,$AS118,COLUMNS($AV$9:BG117)),""))</f>
        <v/>
      </c>
      <c r="BH118" s="1" t="str">
        <f>IF(IFERROR(INDEX($A$9:$X$304,$AS118,COLUMNS($AV$9:BH117)),"")=0,"",IFERROR(INDEX($A$9:$X$304,$AS118,COLUMNS($AV$9:BH117)),""))</f>
        <v/>
      </c>
      <c r="BI118" s="1" t="str">
        <f>IF(IFERROR(INDEX($A$9:$X$304,$AS118,COLUMNS($AV$9:BI117)),"")=0,"",IFERROR(INDEX($A$9:$X$304,$AS118,COLUMNS($AV$9:BI117)),""))</f>
        <v/>
      </c>
      <c r="BJ118" s="1" t="str">
        <f>IF(IFERROR(INDEX($A$9:$X$304,$AS118,COLUMNS($AV$9:BJ117)),"")=0,"",IFERROR(INDEX($A$9:$X$304,$AS118,COLUMNS($AV$9:BJ117)),""))</f>
        <v>None</v>
      </c>
      <c r="BK118" s="1" t="str">
        <f>IF(IFERROR(INDEX($A$9:$X$304,$AS118,COLUMNS($AV$9:BK117)),"")=0,"",IFERROR(INDEX($A$9:$X$304,$AS118,COLUMNS($AV$9:BK117)),""))</f>
        <v/>
      </c>
      <c r="BL118" s="1" t="str">
        <f>IF(IFERROR(INDEX($A$9:$X$304,$AS118,COLUMNS($AV$9:BL117)),"")=0,"",IFERROR(INDEX($A$9:$X$304,$AS118,COLUMNS($AV$9:BL117)),""))</f>
        <v/>
      </c>
      <c r="BM118" s="1" t="str">
        <f>IF(IFERROR(INDEX($A$9:$X$304,$AS118,COLUMNS($AV$9:BM117)),"")=0,"",IFERROR(INDEX($A$9:$X$304,$AS118,COLUMNS($AV$9:BM117)),""))</f>
        <v>Common</v>
      </c>
      <c r="BN118" s="3" t="b">
        <f>IF(IFERROR(INDEX($A$9:$X$304,$AS118,COLUMNS($AV$9:BN117)),"")=0,"",IFERROR(INDEX($A$9:$X$304,$AS118,COLUMNS($AV$9:BN117)),""))</f>
        <v>1</v>
      </c>
      <c r="BO118" s="3" t="b">
        <f>IF(IFERROR(INDEX($A$9:$X$304,$AS118,COLUMNS($AV$9:BO117)),"")=0,"",IFERROR(INDEX($A$9:$X$304,$AS118,COLUMNS($AV$9:BO117)),""))</f>
        <v>1</v>
      </c>
      <c r="BP118" s="3" t="b">
        <f>IF(IFERROR(INDEX($A$9:$X$304,$AS118,COLUMNS($AV$9:BP117)),"")=0,"",IFERROR(INDEX($A$9:$X$304,$AS118,COLUMNS($AV$9:BP117)),""))</f>
        <v>0</v>
      </c>
      <c r="BQ118" s="3" t="b">
        <f>IF(IFERROR(INDEX($A$9:$X$304,$AS118,COLUMNS($AV$9:BQ117)),"")=0,"",IFERROR(INDEX($A$9:$X$304,$AS118,COLUMNS($AV$9:BQ117)),""))</f>
        <v>0</v>
      </c>
      <c r="BR118" s="3" t="str">
        <f>IF(IFERROR(INDEX($A$9:$X$304,$AS118,COLUMNS($AV$9:BR117)),"")=0,"",IFERROR(INDEX($A$9:$X$304,$AS118,COLUMNS($AV$9:BR117)),""))</f>
        <v>http://www.epiccardgame.com/wp-content/uploads/2015/09/hasty_retreat-215x300.jpg</v>
      </c>
      <c r="BS118" s="3" t="str">
        <f>IF(IFERROR(INDEX($A$9:$X$304,$AS118,COLUMNS($AV$9:BS117)),"")=0,"",IFERROR(INDEX($A$9:$X$304,$AS118,COLUMNS($AV$9:BS117)),""))</f>
        <v/>
      </c>
      <c r="BT118" s="3"/>
      <c r="BU118" s="15"/>
      <c r="BV118" t="s">
        <v>139</v>
      </c>
    </row>
    <row r="119" spans="1:74" ht="225.2" customHeight="1" x14ac:dyDescent="0.25">
      <c r="A119" t="s">
        <v>435</v>
      </c>
      <c r="B119">
        <v>0</v>
      </c>
      <c r="C119" t="s">
        <v>618</v>
      </c>
      <c r="E119" t="s">
        <v>619</v>
      </c>
      <c r="H119" t="s">
        <v>681</v>
      </c>
      <c r="I119" t="s">
        <v>769</v>
      </c>
      <c r="O119" t="s">
        <v>1062</v>
      </c>
      <c r="Q119" t="s">
        <v>1083</v>
      </c>
      <c r="R119" t="s">
        <v>1112</v>
      </c>
      <c r="S119" t="b">
        <v>1</v>
      </c>
      <c r="T119" t="b">
        <v>1</v>
      </c>
      <c r="U119" t="b">
        <v>0</v>
      </c>
      <c r="V119" t="b">
        <v>0</v>
      </c>
      <c r="W119" s="2" t="s">
        <v>1294</v>
      </c>
      <c r="X119" s="2"/>
      <c r="Y119" s="24">
        <v>111</v>
      </c>
      <c r="Z119">
        <f t="shared" si="20"/>
        <v>111</v>
      </c>
      <c r="AA119">
        <f t="shared" si="21"/>
        <v>111</v>
      </c>
      <c r="AB119">
        <f t="shared" si="22"/>
        <v>111</v>
      </c>
      <c r="AC119">
        <f t="shared" si="23"/>
        <v>0</v>
      </c>
      <c r="AD119">
        <f t="shared" si="24"/>
        <v>111</v>
      </c>
      <c r="AE119">
        <f t="shared" si="25"/>
        <v>0</v>
      </c>
      <c r="AF119">
        <f t="shared" si="26"/>
        <v>0</v>
      </c>
      <c r="AG119">
        <f t="shared" si="27"/>
        <v>111</v>
      </c>
      <c r="AH119">
        <f t="shared" si="28"/>
        <v>111</v>
      </c>
      <c r="AI119">
        <f t="shared" si="29"/>
        <v>0</v>
      </c>
      <c r="AJ119">
        <f t="shared" si="30"/>
        <v>0</v>
      </c>
      <c r="AK119">
        <f t="shared" si="31"/>
        <v>0</v>
      </c>
      <c r="AL119">
        <f t="shared" si="32"/>
        <v>0</v>
      </c>
      <c r="AM119">
        <f t="shared" si="33"/>
        <v>0</v>
      </c>
      <c r="AN119">
        <f t="shared" si="34"/>
        <v>111</v>
      </c>
      <c r="AO119">
        <f t="shared" si="35"/>
        <v>0</v>
      </c>
      <c r="AP119">
        <f t="shared" si="36"/>
        <v>111</v>
      </c>
      <c r="AQ119">
        <f t="shared" si="37"/>
        <v>111</v>
      </c>
      <c r="AR119" s="6">
        <f t="shared" si="38"/>
        <v>111</v>
      </c>
      <c r="AS119">
        <f t="shared" si="39"/>
        <v>111</v>
      </c>
      <c r="AV119" s="1" t="str">
        <f>IF(IFERROR(INDEX($A$9:$W$304,$AS119,COLUMNS($AV$9:AV118)),"")=0,"",IFERROR(INDEX($A$9:$W$304,$AS119,COLUMNS($AV$9:AV118)),""))</f>
        <v>Heinous Feast</v>
      </c>
      <c r="AW119" s="1">
        <f>IFERROR(INDEX($A$9:$W$304,$AS119,COLUMNS($AV$9:AW118)),"")</f>
        <v>0</v>
      </c>
      <c r="AX119" s="1" t="str">
        <f>IF(IFERROR(INDEX($A$9:$X$304,$AS119,COLUMNS($AV$9:AX118)),"")=0,"",IFERROR(INDEX($A$9:$X$304,$AS119,COLUMNS($AV$9:AX118)),""))</f>
        <v>EVIL</v>
      </c>
      <c r="AY119" s="1" t="str">
        <f>IF(IFERROR(INDEX($A$9:$X$304,$AS119,COLUMNS($AV$9:AY118)),"")=0,"",IFERROR(INDEX($A$9:$X$304,$AS119,COLUMNS($AV$9:AY118)),""))</f>
        <v/>
      </c>
      <c r="AZ119" s="1" t="str">
        <f>IF(IFERROR(INDEX($A$9:$X$304,$AS119,COLUMNS($AV$9:AZ118)),"")=0,"",IFERROR(INDEX($A$9:$X$304,$AS119,COLUMNS($AV$9:AZ118)),""))</f>
        <v>EVENT</v>
      </c>
      <c r="BA119" s="1" t="str">
        <f>IF(IFERROR(INDEX($A$9:$X$304,$AS119,COLUMNS($AV$9:BA118)),"")=0,"",IFERROR(INDEX($A$9:$X$304,$AS119,COLUMNS($AV$9:BA118)),""))</f>
        <v/>
      </c>
      <c r="BB119" s="1" t="str">
        <f>IF(IFERROR(INDEX($A$9:$X$304,$AS119,COLUMNS($AV$9:BB118)),"")=0,"",IFERROR(INDEX($A$9:$X$304,$AS119,COLUMNS($AV$9:BB118)),""))</f>
        <v/>
      </c>
      <c r="BC119" s="1" t="str">
        <f>IF(IFERROR(INDEX($A$9:$X$304,$AS119,COLUMNS($AV$9:BC118)),"")=0,"",IFERROR(INDEX($A$9:$X$304,$AS119,COLUMNS($AV$9:BC118)),""))</f>
        <v>Gain 1 health for each champion card in target player's discard pile. Banish that discard pile.</v>
      </c>
      <c r="BD119" s="1" t="str">
        <f>IF(IFERROR(INDEX($A$9:$X$304,$AS119,COLUMNS($AV$9:BD118)),"")=0,"",IFERROR(INDEX($A$9:$X$304,$AS119,COLUMNS($AV$9:BD118)),""))</f>
        <v>{1}: Draw two cards.</v>
      </c>
      <c r="BE119" s="1" t="str">
        <f>IF(IFERROR(INDEX($A$9:$X$304,$AS119,COLUMNS($AV$9:BE118)),"")=0,"",IFERROR(INDEX($A$9:$X$304,$AS119,COLUMNS($AV$9:BE118)),""))</f>
        <v/>
      </c>
      <c r="BF119" s="1" t="str">
        <f>IF(IFERROR(INDEX($A$9:$X$304,$AS119,COLUMNS($AV$9:BF118)),"")=0,"",IFERROR(INDEX($A$9:$X$304,$AS119,COLUMNS($AV$9:BF118)),""))</f>
        <v/>
      </c>
      <c r="BG119" s="1" t="str">
        <f>IF(IFERROR(INDEX($A$9:$X$304,$AS119,COLUMNS($AV$9:BG118)),"")=0,"",IFERROR(INDEX($A$9:$X$304,$AS119,COLUMNS($AV$9:BG118)),""))</f>
        <v/>
      </c>
      <c r="BH119" s="1" t="str">
        <f>IF(IFERROR(INDEX($A$9:$X$304,$AS119,COLUMNS($AV$9:BH118)),"")=0,"",IFERROR(INDEX($A$9:$X$304,$AS119,COLUMNS($AV$9:BH118)),""))</f>
        <v/>
      </c>
      <c r="BI119" s="1" t="str">
        <f>IF(IFERROR(INDEX($A$9:$X$304,$AS119,COLUMNS($AV$9:BI118)),"")=0,"",IFERROR(INDEX($A$9:$X$304,$AS119,COLUMNS($AV$9:BI118)),""))</f>
        <v/>
      </c>
      <c r="BJ119" s="1" t="str">
        <f>IF(IFERROR(INDEX($A$9:$X$304,$AS119,COLUMNS($AV$9:BJ118)),"")=0,"",IFERROR(INDEX($A$9:$X$304,$AS119,COLUMNS($AV$9:BJ118)),""))</f>
        <v>None</v>
      </c>
      <c r="BK119" s="1" t="str">
        <f>IF(IFERROR(INDEX($A$9:$X$304,$AS119,COLUMNS($AV$9:BK118)),"")=0,"",IFERROR(INDEX($A$9:$X$304,$AS119,COLUMNS($AV$9:BK118)),""))</f>
        <v/>
      </c>
      <c r="BL119" s="1" t="str">
        <f>IF(IFERROR(INDEX($A$9:$X$304,$AS119,COLUMNS($AV$9:BL118)),"")=0,"",IFERROR(INDEX($A$9:$X$304,$AS119,COLUMNS($AV$9:BL118)),""))</f>
        <v>VAMPIRE</v>
      </c>
      <c r="BM119" s="1" t="str">
        <f>IF(IFERROR(INDEX($A$9:$X$304,$AS119,COLUMNS($AV$9:BM118)),"")=0,"",IFERROR(INDEX($A$9:$X$304,$AS119,COLUMNS($AV$9:BM118)),""))</f>
        <v>Common</v>
      </c>
      <c r="BN119" s="3" t="b">
        <f>IF(IFERROR(INDEX($A$9:$X$304,$AS119,COLUMNS($AV$9:BN118)),"")=0,"",IFERROR(INDEX($A$9:$X$304,$AS119,COLUMNS($AV$9:BN118)),""))</f>
        <v>1</v>
      </c>
      <c r="BO119" s="3" t="b">
        <f>IF(IFERROR(INDEX($A$9:$X$304,$AS119,COLUMNS($AV$9:BO118)),"")=0,"",IFERROR(INDEX($A$9:$X$304,$AS119,COLUMNS($AV$9:BO118)),""))</f>
        <v>1</v>
      </c>
      <c r="BP119" s="3" t="b">
        <f>IF(IFERROR(INDEX($A$9:$X$304,$AS119,COLUMNS($AV$9:BP118)),"")=0,"",IFERROR(INDEX($A$9:$X$304,$AS119,COLUMNS($AV$9:BP118)),""))</f>
        <v>0</v>
      </c>
      <c r="BQ119" s="3" t="b">
        <f>IF(IFERROR(INDEX($A$9:$X$304,$AS119,COLUMNS($AV$9:BQ118)),"")=0,"",IFERROR(INDEX($A$9:$X$304,$AS119,COLUMNS($AV$9:BQ118)),""))</f>
        <v>0</v>
      </c>
      <c r="BR119" s="3" t="str">
        <f>IF(IFERROR(INDEX($A$9:$X$304,$AS119,COLUMNS($AV$9:BR118)),"")=0,"",IFERROR(INDEX($A$9:$X$304,$AS119,COLUMNS($AV$9:BR118)),""))</f>
        <v>http://www.epiccardgame.com/wp-content/uploads/2016/03/heinous_feast-214x300.jpg</v>
      </c>
      <c r="BS119" s="3" t="str">
        <f>IF(IFERROR(INDEX($A$9:$X$304,$AS119,COLUMNS($AV$9:BS118)),"")=0,"",IFERROR(INDEX($A$9:$X$304,$AS119,COLUMNS($AV$9:BS118)),""))</f>
        <v/>
      </c>
      <c r="BT119" s="3"/>
      <c r="BU119" s="15"/>
      <c r="BV119" t="s">
        <v>140</v>
      </c>
    </row>
    <row r="120" spans="1:74" ht="225.2" customHeight="1" x14ac:dyDescent="0.25">
      <c r="A120" t="s">
        <v>436</v>
      </c>
      <c r="B120">
        <v>1</v>
      </c>
      <c r="C120" t="s">
        <v>617</v>
      </c>
      <c r="E120" t="s">
        <v>620</v>
      </c>
      <c r="F120">
        <v>6</v>
      </c>
      <c r="G120">
        <v>5</v>
      </c>
      <c r="H120" t="s">
        <v>682</v>
      </c>
      <c r="I120" t="s">
        <v>674</v>
      </c>
      <c r="J120" t="s">
        <v>993</v>
      </c>
      <c r="K120" t="s">
        <v>1039</v>
      </c>
      <c r="O120" t="s">
        <v>1062</v>
      </c>
      <c r="Q120" t="s">
        <v>1063</v>
      </c>
      <c r="R120" t="s">
        <v>1112</v>
      </c>
      <c r="S120" t="b">
        <v>1</v>
      </c>
      <c r="T120" t="b">
        <v>0</v>
      </c>
      <c r="U120" t="b">
        <v>0</v>
      </c>
      <c r="V120" t="b">
        <v>0</v>
      </c>
      <c r="W120" s="2" t="s">
        <v>1295</v>
      </c>
      <c r="X120" s="2"/>
      <c r="Y120" s="24">
        <v>112</v>
      </c>
      <c r="Z120">
        <f t="shared" si="20"/>
        <v>112</v>
      </c>
      <c r="AA120">
        <f t="shared" si="21"/>
        <v>112</v>
      </c>
      <c r="AB120">
        <f t="shared" si="22"/>
        <v>112</v>
      </c>
      <c r="AC120">
        <f t="shared" si="23"/>
        <v>0</v>
      </c>
      <c r="AD120">
        <f t="shared" si="24"/>
        <v>112</v>
      </c>
      <c r="AE120">
        <f t="shared" si="25"/>
        <v>112</v>
      </c>
      <c r="AF120">
        <f t="shared" si="26"/>
        <v>112</v>
      </c>
      <c r="AG120">
        <f t="shared" si="27"/>
        <v>112</v>
      </c>
      <c r="AH120">
        <f t="shared" si="28"/>
        <v>112</v>
      </c>
      <c r="AI120">
        <f t="shared" si="29"/>
        <v>112</v>
      </c>
      <c r="AJ120">
        <f t="shared" si="30"/>
        <v>112</v>
      </c>
      <c r="AK120">
        <f t="shared" si="31"/>
        <v>0</v>
      </c>
      <c r="AL120">
        <f t="shared" si="32"/>
        <v>0</v>
      </c>
      <c r="AM120">
        <f t="shared" si="33"/>
        <v>0</v>
      </c>
      <c r="AN120">
        <f t="shared" si="34"/>
        <v>112</v>
      </c>
      <c r="AO120">
        <f t="shared" si="35"/>
        <v>0</v>
      </c>
      <c r="AP120">
        <f t="shared" si="36"/>
        <v>112</v>
      </c>
      <c r="AQ120">
        <f t="shared" si="37"/>
        <v>112</v>
      </c>
      <c r="AR120" s="6">
        <f t="shared" si="38"/>
        <v>112</v>
      </c>
      <c r="AS120">
        <f t="shared" si="39"/>
        <v>112</v>
      </c>
      <c r="AV120" s="1" t="str">
        <f>IF(IFERROR(INDEX($A$9:$W$304,$AS120,COLUMNS($AV$9:AV119)),"")=0,"",IFERROR(INDEX($A$9:$W$304,$AS120,COLUMNS($AV$9:AV119)),""))</f>
        <v>Helena's Chosen</v>
      </c>
      <c r="AW120" s="1">
        <f>IFERROR(INDEX($A$9:$W$304,$AS120,COLUMNS($AV$9:AW119)),"")</f>
        <v>1</v>
      </c>
      <c r="AX120" s="1" t="str">
        <f>IF(IFERROR(INDEX($A$9:$X$304,$AS120,COLUMNS($AV$9:AX119)),"")=0,"",IFERROR(INDEX($A$9:$X$304,$AS120,COLUMNS($AV$9:AX119)),""))</f>
        <v>GOOD</v>
      </c>
      <c r="AY120" s="1" t="str">
        <f>IF(IFERROR(INDEX($A$9:$X$304,$AS120,COLUMNS($AV$9:AY119)),"")=0,"",IFERROR(INDEX($A$9:$X$304,$AS120,COLUMNS($AV$9:AY119)),""))</f>
        <v/>
      </c>
      <c r="AZ120" s="1" t="str">
        <f>IF(IFERROR(INDEX($A$9:$X$304,$AS120,COLUMNS($AV$9:AZ119)),"")=0,"",IFERROR(INDEX($A$9:$X$304,$AS120,COLUMNS($AV$9:AZ119)),""))</f>
        <v>CHAMPION</v>
      </c>
      <c r="BA120" s="1">
        <f>IF(IFERROR(INDEX($A$9:$X$304,$AS120,COLUMNS($AV$9:BA119)),"")=0,"",IFERROR(INDEX($A$9:$X$304,$AS120,COLUMNS($AV$9:BA119)),""))</f>
        <v>6</v>
      </c>
      <c r="BB120" s="1">
        <f>IF(IFERROR(INDEX($A$9:$X$304,$AS120,COLUMNS($AV$9:BB119)),"")=0,"",IFERROR(INDEX($A$9:$X$304,$AS120,COLUMNS($AV$9:BB119)),""))</f>
        <v>5</v>
      </c>
      <c r="BC120" s="1" t="str">
        <f>IF(IFERROR(INDEX($A$9:$X$304,$AS120,COLUMNS($AV$9:BC119)),"")=0,"",IFERROR(INDEX($A$9:$X$304,$AS120,COLUMNS($AV$9:BC119)),""))</f>
        <v>Tribute → Draw a card.</v>
      </c>
      <c r="BD120" s="1" t="str">
        <f>IF(IFERROR(INDEX($A$9:$X$304,$AS120,COLUMNS($AV$9:BD119)),"")=0,"",IFERROR(INDEX($A$9:$X$304,$AS120,COLUMNS($AV$9:BD119)),""))</f>
        <v>Loyalty 2 → Blitz</v>
      </c>
      <c r="BE120" s="1" t="str">
        <f>IF(IFERROR(INDEX($A$9:$X$304,$AS120,COLUMNS($AV$9:BE119)),"")=0,"",IFERROR(INDEX($A$9:$X$304,$AS120,COLUMNS($AV$9:BE119)),""))</f>
        <v>Your other good champions have +2 {offense}.</v>
      </c>
      <c r="BF120" s="1" t="str">
        <f>IF(IFERROR(INDEX($A$9:$X$304,$AS120,COLUMNS($AV$9:BF119)),"")=0,"",IFERROR(INDEX($A$9:$X$304,$AS120,COLUMNS($AV$9:BF119)),""))</f>
        <v>{expend}: Put two human tokens into play.</v>
      </c>
      <c r="BG120" s="1" t="str">
        <f>IF(IFERROR(INDEX($A$9:$X$304,$AS120,COLUMNS($AV$9:BG119)),"")=0,"",IFERROR(INDEX($A$9:$X$304,$AS120,COLUMNS($AV$9:BG119)),""))</f>
        <v/>
      </c>
      <c r="BH120" s="1" t="str">
        <f>IF(IFERROR(INDEX($A$9:$X$304,$AS120,COLUMNS($AV$9:BH119)),"")=0,"",IFERROR(INDEX($A$9:$X$304,$AS120,COLUMNS($AV$9:BH119)),""))</f>
        <v/>
      </c>
      <c r="BI120" s="1" t="str">
        <f>IF(IFERROR(INDEX($A$9:$X$304,$AS120,COLUMNS($AV$9:BI119)),"")=0,"",IFERROR(INDEX($A$9:$X$304,$AS120,COLUMNS($AV$9:BI119)),""))</f>
        <v/>
      </c>
      <c r="BJ120" s="1" t="str">
        <f>IF(IFERROR(INDEX($A$9:$X$304,$AS120,COLUMNS($AV$9:BJ119)),"")=0,"",IFERROR(INDEX($A$9:$X$304,$AS120,COLUMNS($AV$9:BJ119)),""))</f>
        <v>None</v>
      </c>
      <c r="BK120" s="1" t="str">
        <f>IF(IFERROR(INDEX($A$9:$X$304,$AS120,COLUMNS($AV$9:BK119)),"")=0,"",IFERROR(INDEX($A$9:$X$304,$AS120,COLUMNS($AV$9:BK119)),""))</f>
        <v/>
      </c>
      <c r="BL120" s="1" t="str">
        <f>IF(IFERROR(INDEX($A$9:$X$304,$AS120,COLUMNS($AV$9:BL119)),"")=0,"",IFERROR(INDEX($A$9:$X$304,$AS120,COLUMNS($AV$9:BL119)),""))</f>
        <v>HUMAN</v>
      </c>
      <c r="BM120" s="1" t="str">
        <f>IF(IFERROR(INDEX($A$9:$X$304,$AS120,COLUMNS($AV$9:BM119)),"")=0,"",IFERROR(INDEX($A$9:$X$304,$AS120,COLUMNS($AV$9:BM119)),""))</f>
        <v>Common</v>
      </c>
      <c r="BN120" s="3" t="b">
        <f>IF(IFERROR(INDEX($A$9:$X$304,$AS120,COLUMNS($AV$9:BN119)),"")=0,"",IFERROR(INDEX($A$9:$X$304,$AS120,COLUMNS($AV$9:BN119)),""))</f>
        <v>1</v>
      </c>
      <c r="BO120" s="3" t="b">
        <f>IF(IFERROR(INDEX($A$9:$X$304,$AS120,COLUMNS($AV$9:BO119)),"")=0,"",IFERROR(INDEX($A$9:$X$304,$AS120,COLUMNS($AV$9:BO119)),""))</f>
        <v>0</v>
      </c>
      <c r="BP120" s="3" t="b">
        <f>IF(IFERROR(INDEX($A$9:$X$304,$AS120,COLUMNS($AV$9:BP119)),"")=0,"",IFERROR(INDEX($A$9:$X$304,$AS120,COLUMNS($AV$9:BP119)),""))</f>
        <v>0</v>
      </c>
      <c r="BQ120" s="3" t="b">
        <f>IF(IFERROR(INDEX($A$9:$X$304,$AS120,COLUMNS($AV$9:BQ119)),"")=0,"",IFERROR(INDEX($A$9:$X$304,$AS120,COLUMNS($AV$9:BQ119)),""))</f>
        <v>0</v>
      </c>
      <c r="BR120" s="3" t="str">
        <f>IF(IFERROR(INDEX($A$9:$X$304,$AS120,COLUMNS($AV$9:BR119)),"")=0,"",IFERROR(INDEX($A$9:$X$304,$AS120,COLUMNS($AV$9:BR119)),""))</f>
        <v>https://www.epiccardgame.com/wp-content/uploads/2017/11/PNH-EN-05-helena-s-chosen.jpg</v>
      </c>
      <c r="BS120" s="3" t="str">
        <f>IF(IFERROR(INDEX($A$9:$X$304,$AS120,COLUMNS($AV$9:BS119)),"")=0,"",IFERROR(INDEX($A$9:$X$304,$AS120,COLUMNS($AV$9:BS119)),""))</f>
        <v/>
      </c>
      <c r="BT120" s="3"/>
      <c r="BU120" s="15"/>
      <c r="BV120" t="s">
        <v>141</v>
      </c>
    </row>
    <row r="121" spans="1:74" ht="161.25" customHeight="1" x14ac:dyDescent="0.25">
      <c r="A121" t="s">
        <v>437</v>
      </c>
      <c r="B121">
        <v>0</v>
      </c>
      <c r="C121" t="s">
        <v>617</v>
      </c>
      <c r="D121" t="s">
        <v>616</v>
      </c>
      <c r="E121" t="s">
        <v>621</v>
      </c>
      <c r="H121" t="s">
        <v>683</v>
      </c>
      <c r="O121" t="s">
        <v>1092</v>
      </c>
      <c r="Q121" t="s">
        <v>1147</v>
      </c>
      <c r="R121" t="s">
        <v>1170</v>
      </c>
      <c r="S121" t="b">
        <v>0</v>
      </c>
      <c r="T121" t="b">
        <v>0</v>
      </c>
      <c r="U121" t="b">
        <v>0</v>
      </c>
      <c r="V121" t="b">
        <v>0</v>
      </c>
      <c r="W121" s="2" t="s">
        <v>1296</v>
      </c>
      <c r="X121" s="2"/>
      <c r="Y121" s="24">
        <v>113</v>
      </c>
      <c r="Z121">
        <f t="shared" si="20"/>
        <v>113</v>
      </c>
      <c r="AA121">
        <f t="shared" si="21"/>
        <v>113</v>
      </c>
      <c r="AB121">
        <f t="shared" si="22"/>
        <v>113</v>
      </c>
      <c r="AC121">
        <f t="shared" si="23"/>
        <v>113</v>
      </c>
      <c r="AD121">
        <f t="shared" si="24"/>
        <v>113</v>
      </c>
      <c r="AE121">
        <f t="shared" si="25"/>
        <v>0</v>
      </c>
      <c r="AF121">
        <f t="shared" si="26"/>
        <v>0</v>
      </c>
      <c r="AG121">
        <f t="shared" si="27"/>
        <v>113</v>
      </c>
      <c r="AH121">
        <f t="shared" si="28"/>
        <v>0</v>
      </c>
      <c r="AI121">
        <f t="shared" si="29"/>
        <v>0</v>
      </c>
      <c r="AJ121">
        <f t="shared" si="30"/>
        <v>0</v>
      </c>
      <c r="AK121">
        <f t="shared" si="31"/>
        <v>0</v>
      </c>
      <c r="AL121">
        <f t="shared" si="32"/>
        <v>0</v>
      </c>
      <c r="AM121">
        <f t="shared" si="33"/>
        <v>0</v>
      </c>
      <c r="AN121">
        <f t="shared" si="34"/>
        <v>113</v>
      </c>
      <c r="AO121">
        <f t="shared" si="35"/>
        <v>0</v>
      </c>
      <c r="AP121">
        <f t="shared" si="36"/>
        <v>113</v>
      </c>
      <c r="AQ121">
        <f t="shared" si="37"/>
        <v>113</v>
      </c>
      <c r="AR121" s="6">
        <f t="shared" si="38"/>
        <v>113</v>
      </c>
      <c r="AS121">
        <f t="shared" si="39"/>
        <v>113</v>
      </c>
      <c r="AV121" s="1" t="str">
        <f>IF(IFERROR(INDEX($A$9:$W$304,$AS121,COLUMNS($AV$9:AV120)),"")=0,"",IFERROR(INDEX($A$9:$W$304,$AS121,COLUMNS($AV$9:AV120)),""))</f>
        <v>Helena, the Valiant</v>
      </c>
      <c r="AW121" s="1">
        <f>IFERROR(INDEX($A$9:$W$304,$AS121,COLUMNS($AV$9:AW120)),"")</f>
        <v>0</v>
      </c>
      <c r="AX121" s="1" t="str">
        <f>IF(IFERROR(INDEX($A$9:$X$304,$AS121,COLUMNS($AV$9:AX120)),"")=0,"",IFERROR(INDEX($A$9:$X$304,$AS121,COLUMNS($AV$9:AX120)),""))</f>
        <v>GOOD</v>
      </c>
      <c r="AY121" s="1" t="str">
        <f>IF(IFERROR(INDEX($A$9:$X$304,$AS121,COLUMNS($AV$9:AY120)),"")=0,"",IFERROR(INDEX($A$9:$X$304,$AS121,COLUMNS($AV$9:AY120)),""))</f>
        <v>SAGE</v>
      </c>
      <c r="AZ121" s="1" t="str">
        <f>IF(IFERROR(INDEX($A$9:$X$304,$AS121,COLUMNS($AV$9:AZ120)),"")=0,"",IFERROR(INDEX($A$9:$X$304,$AS121,COLUMNS($AV$9:AZ120)),""))</f>
        <v>DEITY</v>
      </c>
      <c r="BA121" s="1" t="str">
        <f>IF(IFERROR(INDEX($A$9:$X$304,$AS121,COLUMNS($AV$9:BA120)),"")=0,"",IFERROR(INDEX($A$9:$X$304,$AS121,COLUMNS($AV$9:BA120)),""))</f>
        <v/>
      </c>
      <c r="BB121" s="1" t="str">
        <f>IF(IFERROR(INDEX($A$9:$X$304,$AS121,COLUMNS($AV$9:BB120)),"")=0,"",IFERROR(INDEX($A$9:$X$304,$AS121,COLUMNS($AV$9:BB120)),""))</f>
        <v/>
      </c>
      <c r="BC121" s="1" t="str">
        <f>IF(IFERROR(INDEX($A$9:$X$304,$AS121,COLUMNS($AV$9:BC120)),"")=0,"",IFERROR(INDEX($A$9:$X$304,$AS121,COLUMNS($AV$9:BC120)),""))</f>
        <v>At the start of your turn → Either expend all opposing champions, or put six human tokens into play and they gain blitz this turn.</v>
      </c>
      <c r="BD121" s="1" t="str">
        <f>IF(IFERROR(INDEX($A$9:$X$304,$AS121,COLUMNS($AV$9:BD120)),"")=0,"",IFERROR(INDEX($A$9:$X$304,$AS121,COLUMNS($AV$9:BD120)),""))</f>
        <v/>
      </c>
      <c r="BE121" s="1" t="str">
        <f>IF(IFERROR(INDEX($A$9:$X$304,$AS121,COLUMNS($AV$9:BE120)),"")=0,"",IFERROR(INDEX($A$9:$X$304,$AS121,COLUMNS($AV$9:BE120)),""))</f>
        <v/>
      </c>
      <c r="BF121" s="1" t="str">
        <f>IF(IFERROR(INDEX($A$9:$X$304,$AS121,COLUMNS($AV$9:BF120)),"")=0,"",IFERROR(INDEX($A$9:$X$304,$AS121,COLUMNS($AV$9:BF120)),""))</f>
        <v/>
      </c>
      <c r="BG121" s="1" t="str">
        <f>IF(IFERROR(INDEX($A$9:$X$304,$AS121,COLUMNS($AV$9:BG120)),"")=0,"",IFERROR(INDEX($A$9:$X$304,$AS121,COLUMNS($AV$9:BG120)),""))</f>
        <v/>
      </c>
      <c r="BH121" s="1" t="str">
        <f>IF(IFERROR(INDEX($A$9:$X$304,$AS121,COLUMNS($AV$9:BH120)),"")=0,"",IFERROR(INDEX($A$9:$X$304,$AS121,COLUMNS($AV$9:BH120)),""))</f>
        <v/>
      </c>
      <c r="BI121" s="1" t="str">
        <f>IF(IFERROR(INDEX($A$9:$X$304,$AS121,COLUMNS($AV$9:BI120)),"")=0,"",IFERROR(INDEX($A$9:$X$304,$AS121,COLUMNS($AV$9:BI120)),""))</f>
        <v/>
      </c>
      <c r="BJ121" s="1" t="str">
        <f>IF(IFERROR(INDEX($A$9:$X$304,$AS121,COLUMNS($AV$9:BJ120)),"")=0,"",IFERROR(INDEX($A$9:$X$304,$AS121,COLUMNS($AV$9:BJ120)),""))</f>
        <v>Elder Goddess</v>
      </c>
      <c r="BK121" s="1" t="str">
        <f>IF(IFERROR(INDEX($A$9:$X$304,$AS121,COLUMNS($AV$9:BK120)),"")=0,"",IFERROR(INDEX($A$9:$X$304,$AS121,COLUMNS($AV$9:BK120)),""))</f>
        <v/>
      </c>
      <c r="BL121" s="1" t="str">
        <f>IF(IFERROR(INDEX($A$9:$X$304,$AS121,COLUMNS($AV$9:BL120)),"")=0,"",IFERROR(INDEX($A$9:$X$304,$AS121,COLUMNS($AV$9:BL120)),""))</f>
        <v>Jean Paul van Eeden</v>
      </c>
      <c r="BM121" s="1" t="str">
        <f>IF(IFERROR(INDEX($A$9:$X$304,$AS121,COLUMNS($AV$9:BM120)),"")=0,"",IFERROR(INDEX($A$9:$X$304,$AS121,COLUMNS($AV$9:BM120)),""))</f>
        <v>Pantheon: Helena vs Zaltessa</v>
      </c>
      <c r="BN121" s="3" t="b">
        <f>IF(IFERROR(INDEX($A$9:$X$304,$AS121,COLUMNS($AV$9:BN120)),"")=0,"",IFERROR(INDEX($A$9:$X$304,$AS121,COLUMNS($AV$9:BN120)),""))</f>
        <v>0</v>
      </c>
      <c r="BO121" s="3" t="b">
        <f>IF(IFERROR(INDEX($A$9:$X$304,$AS121,COLUMNS($AV$9:BO120)),"")=0,"",IFERROR(INDEX($A$9:$X$304,$AS121,COLUMNS($AV$9:BO120)),""))</f>
        <v>0</v>
      </c>
      <c r="BP121" s="3" t="b">
        <f>IF(IFERROR(INDEX($A$9:$X$304,$AS121,COLUMNS($AV$9:BP120)),"")=0,"",IFERROR(INDEX($A$9:$X$304,$AS121,COLUMNS($AV$9:BP120)),""))</f>
        <v>0</v>
      </c>
      <c r="BQ121" s="3" t="b">
        <f>IF(IFERROR(INDEX($A$9:$X$304,$AS121,COLUMNS($AV$9:BQ120)),"")=0,"",IFERROR(INDEX($A$9:$X$304,$AS121,COLUMNS($AV$9:BQ120)),""))</f>
        <v>0</v>
      </c>
      <c r="BR121" s="3" t="str">
        <f>IF(IFERROR(INDEX($A$9:$X$304,$AS121,COLUMNS($AV$9:BR120)),"")=0,"",IFERROR(INDEX($A$9:$X$304,$AS121,COLUMNS($AV$9:BR120)),""))</f>
        <v>https://www.epiccardgame.com/wp-content/uploads/2017/11/PNH-EN-01-helena.jpg</v>
      </c>
      <c r="BS121" s="3" t="str">
        <f>IF(IFERROR(INDEX($A$9:$X$304,$AS121,COLUMNS($AV$9:BS120)),"")=0,"",IFERROR(INDEX($A$9:$X$304,$AS121,COLUMNS($AV$9:BS120)),""))</f>
        <v/>
      </c>
      <c r="BT121" s="3"/>
      <c r="BU121" s="15"/>
      <c r="BV121" t="s">
        <v>142</v>
      </c>
    </row>
    <row r="122" spans="1:74" ht="225" customHeight="1" x14ac:dyDescent="0.25">
      <c r="A122" t="s">
        <v>438</v>
      </c>
      <c r="B122">
        <v>1</v>
      </c>
      <c r="C122" t="s">
        <v>616</v>
      </c>
      <c r="E122" t="s">
        <v>619</v>
      </c>
      <c r="H122" t="s">
        <v>627</v>
      </c>
      <c r="I122" t="s">
        <v>842</v>
      </c>
      <c r="O122" t="s">
        <v>1093</v>
      </c>
      <c r="P122" t="s">
        <v>1112</v>
      </c>
      <c r="Q122" t="s">
        <v>1148</v>
      </c>
      <c r="R122" t="s">
        <v>1175</v>
      </c>
      <c r="S122" t="b">
        <v>1</v>
      </c>
      <c r="T122" t="b">
        <v>1</v>
      </c>
      <c r="U122" t="b">
        <v>0</v>
      </c>
      <c r="V122" t="b">
        <v>0</v>
      </c>
      <c r="W122" s="2" t="s">
        <v>1297</v>
      </c>
      <c r="X122" s="2"/>
      <c r="Y122" s="24">
        <v>114</v>
      </c>
      <c r="Z122">
        <f t="shared" si="20"/>
        <v>114</v>
      </c>
      <c r="AA122">
        <f t="shared" si="21"/>
        <v>114</v>
      </c>
      <c r="AB122">
        <f t="shared" si="22"/>
        <v>114</v>
      </c>
      <c r="AC122">
        <f t="shared" si="23"/>
        <v>0</v>
      </c>
      <c r="AD122">
        <f t="shared" si="24"/>
        <v>114</v>
      </c>
      <c r="AE122">
        <f t="shared" si="25"/>
        <v>0</v>
      </c>
      <c r="AF122">
        <f t="shared" si="26"/>
        <v>0</v>
      </c>
      <c r="AG122">
        <f t="shared" si="27"/>
        <v>114</v>
      </c>
      <c r="AH122">
        <f t="shared" si="28"/>
        <v>114</v>
      </c>
      <c r="AI122">
        <f t="shared" si="29"/>
        <v>0</v>
      </c>
      <c r="AJ122">
        <f t="shared" si="30"/>
        <v>0</v>
      </c>
      <c r="AK122">
        <f t="shared" si="31"/>
        <v>0</v>
      </c>
      <c r="AL122">
        <f t="shared" si="32"/>
        <v>0</v>
      </c>
      <c r="AM122">
        <f t="shared" si="33"/>
        <v>0</v>
      </c>
      <c r="AN122">
        <f t="shared" si="34"/>
        <v>114</v>
      </c>
      <c r="AO122">
        <f t="shared" si="35"/>
        <v>114</v>
      </c>
      <c r="AP122">
        <f t="shared" si="36"/>
        <v>114</v>
      </c>
      <c r="AQ122">
        <f t="shared" si="37"/>
        <v>114</v>
      </c>
      <c r="AR122" s="6">
        <f t="shared" si="38"/>
        <v>114</v>
      </c>
      <c r="AS122">
        <f t="shared" si="39"/>
        <v>114</v>
      </c>
      <c r="AV122" s="1" t="str">
        <f>IF(IFERROR(INDEX($A$9:$W$304,$AS122,COLUMNS($AV$9:AV121)),"")=0,"",IFERROR(INDEX($A$9:$W$304,$AS122,COLUMNS($AV$9:AV121)),""))</f>
        <v>Helion's Fury</v>
      </c>
      <c r="AW122" s="1">
        <f>IFERROR(INDEX($A$9:$W$304,$AS122,COLUMNS($AV$9:AW121)),"")</f>
        <v>1</v>
      </c>
      <c r="AX122" s="1" t="str">
        <f>IF(IFERROR(INDEX($A$9:$X$304,$AS122,COLUMNS($AV$9:AX121)),"")=0,"",IFERROR(INDEX($A$9:$X$304,$AS122,COLUMNS($AV$9:AX121)),""))</f>
        <v>SAGE</v>
      </c>
      <c r="AY122" s="1" t="str">
        <f>IF(IFERROR(INDEX($A$9:$X$304,$AS122,COLUMNS($AV$9:AY121)),"")=0,"",IFERROR(INDEX($A$9:$X$304,$AS122,COLUMNS($AV$9:AY121)),""))</f>
        <v/>
      </c>
      <c r="AZ122" s="1" t="str">
        <f>IF(IFERROR(INDEX($A$9:$X$304,$AS122,COLUMNS($AV$9:AZ121)),"")=0,"",IFERROR(INDEX($A$9:$X$304,$AS122,COLUMNS($AV$9:AZ121)),""))</f>
        <v>EVENT</v>
      </c>
      <c r="BA122" s="1" t="str">
        <f>IF(IFERROR(INDEX($A$9:$X$304,$AS122,COLUMNS($AV$9:BA121)),"")=0,"",IFERROR(INDEX($A$9:$X$304,$AS122,COLUMNS($AV$9:BA121)),""))</f>
        <v/>
      </c>
      <c r="BB122" s="1" t="str">
        <f>IF(IFERROR(INDEX($A$9:$X$304,$AS122,COLUMNS($AV$9:BB121)),"")=0,"",IFERROR(INDEX($A$9:$X$304,$AS122,COLUMNS($AV$9:BB121)),""))</f>
        <v/>
      </c>
      <c r="BC122" s="1" t="str">
        <f>IF(IFERROR(INDEX($A$9:$X$304,$AS122,COLUMNS($AV$9:BC121)),"")=0,"",IFERROR(INDEX($A$9:$X$304,$AS122,COLUMNS($AV$9:BC121)),""))</f>
        <v>Draw two cards.</v>
      </c>
      <c r="BD122" s="1" t="str">
        <f>IF(IFERROR(INDEX($A$9:$X$304,$AS122,COLUMNS($AV$9:BD121)),"")=0,"",IFERROR(INDEX($A$9:$X$304,$AS122,COLUMNS($AV$9:BD121)),""))</f>
        <v>If it is your turn, return up to two target champions to their owner's hands and draw a card.</v>
      </c>
      <c r="BE122" s="1" t="str">
        <f>IF(IFERROR(INDEX($A$9:$X$304,$AS122,COLUMNS($AV$9:BE121)),"")=0,"",IFERROR(INDEX($A$9:$X$304,$AS122,COLUMNS($AV$9:BE121)),""))</f>
        <v/>
      </c>
      <c r="BF122" s="1" t="str">
        <f>IF(IFERROR(INDEX($A$9:$X$304,$AS122,COLUMNS($AV$9:BF121)),"")=0,"",IFERROR(INDEX($A$9:$X$304,$AS122,COLUMNS($AV$9:BF121)),""))</f>
        <v/>
      </c>
      <c r="BG122" s="1" t="str">
        <f>IF(IFERROR(INDEX($A$9:$X$304,$AS122,COLUMNS($AV$9:BG121)),"")=0,"",IFERROR(INDEX($A$9:$X$304,$AS122,COLUMNS($AV$9:BG121)),""))</f>
        <v/>
      </c>
      <c r="BH122" s="1" t="str">
        <f>IF(IFERROR(INDEX($A$9:$X$304,$AS122,COLUMNS($AV$9:BH121)),"")=0,"",IFERROR(INDEX($A$9:$X$304,$AS122,COLUMNS($AV$9:BH121)),""))</f>
        <v/>
      </c>
      <c r="BI122" s="1" t="str">
        <f>IF(IFERROR(INDEX($A$9:$X$304,$AS122,COLUMNS($AV$9:BI121)),"")=0,"",IFERROR(INDEX($A$9:$X$304,$AS122,COLUMNS($AV$9:BI121)),""))</f>
        <v/>
      </c>
      <c r="BJ122" s="1" t="str">
        <f>IF(IFERROR(INDEX($A$9:$X$304,$AS122,COLUMNS($AV$9:BJ121)),"")=0,"",IFERROR(INDEX($A$9:$X$304,$AS122,COLUMNS($AV$9:BJ121)),""))</f>
        <v>TYRANT</v>
      </c>
      <c r="BK122" s="1" t="str">
        <f>IF(IFERROR(INDEX($A$9:$X$304,$AS122,COLUMNS($AV$9:BK121)),"")=0,"",IFERROR(INDEX($A$9:$X$304,$AS122,COLUMNS($AV$9:BK121)),""))</f>
        <v>Common</v>
      </c>
      <c r="BL122" s="1" t="str">
        <f>IF(IFERROR(INDEX($A$9:$X$304,$AS122,COLUMNS($AV$9:BL121)),"")=0,"",IFERROR(INDEX($A$9:$X$304,$AS122,COLUMNS($AV$9:BL121)),""))</f>
        <v>Dylan Safford</v>
      </c>
      <c r="BM122" s="1" t="str">
        <f>IF(IFERROR(INDEX($A$9:$X$304,$AS122,COLUMNS($AV$9:BM121)),"")=0,"",IFERROR(INDEX($A$9:$X$304,$AS122,COLUMNS($AV$9:BM121)),""))</f>
        <v>Tyrants: Helion's Deceit</v>
      </c>
      <c r="BN122" s="3" t="b">
        <f>IF(IFERROR(INDEX($A$9:$X$304,$AS122,COLUMNS($AV$9:BN121)),"")=0,"",IFERROR(INDEX($A$9:$X$304,$AS122,COLUMNS($AV$9:BN121)),""))</f>
        <v>1</v>
      </c>
      <c r="BO122" s="3" t="b">
        <f>IF(IFERROR(INDEX($A$9:$X$304,$AS122,COLUMNS($AV$9:BO121)),"")=0,"",IFERROR(INDEX($A$9:$X$304,$AS122,COLUMNS($AV$9:BO121)),""))</f>
        <v>1</v>
      </c>
      <c r="BP122" s="3" t="b">
        <f>IF(IFERROR(INDEX($A$9:$X$304,$AS122,COLUMNS($AV$9:BP121)),"")=0,"",IFERROR(INDEX($A$9:$X$304,$AS122,COLUMNS($AV$9:BP121)),""))</f>
        <v>0</v>
      </c>
      <c r="BQ122" s="3" t="b">
        <f>IF(IFERROR(INDEX($A$9:$X$304,$AS122,COLUMNS($AV$9:BQ121)),"")=0,"",IFERROR(INDEX($A$9:$X$304,$AS122,COLUMNS($AV$9:BQ121)),""))</f>
        <v>0</v>
      </c>
      <c r="BR122" s="3" t="str">
        <f>IF(IFERROR(INDEX($A$9:$X$304,$AS122,COLUMNS($AV$9:BR121)),"")=0,"",IFERROR(INDEX($A$9:$X$304,$AS122,COLUMNS($AV$9:BR121)),""))</f>
        <v>http://www.epiccardgame.com/wp-content/uploads/2016/03/helions_fury-214x300.jpg</v>
      </c>
      <c r="BS122" s="3" t="str">
        <f>IF(IFERROR(INDEX($A$9:$X$304,$AS122,COLUMNS($AV$9:BS121)),"")=0,"",IFERROR(INDEX($A$9:$X$304,$AS122,COLUMNS($AV$9:BS121)),""))</f>
        <v/>
      </c>
      <c r="BT122" s="3"/>
      <c r="BU122" s="15"/>
      <c r="BV122" t="s">
        <v>143</v>
      </c>
    </row>
    <row r="123" spans="1:74" ht="225" customHeight="1" x14ac:dyDescent="0.25">
      <c r="A123" t="s">
        <v>439</v>
      </c>
      <c r="B123">
        <v>1</v>
      </c>
      <c r="C123" t="s">
        <v>616</v>
      </c>
      <c r="E123" t="s">
        <v>620</v>
      </c>
      <c r="F123">
        <v>8</v>
      </c>
      <c r="G123">
        <v>8</v>
      </c>
      <c r="H123" t="s">
        <v>21</v>
      </c>
      <c r="I123" t="s">
        <v>843</v>
      </c>
      <c r="J123" t="s">
        <v>994</v>
      </c>
      <c r="O123" t="s">
        <v>1094</v>
      </c>
      <c r="P123" t="s">
        <v>1113</v>
      </c>
      <c r="Q123" t="s">
        <v>1148</v>
      </c>
      <c r="R123" t="s">
        <v>1175</v>
      </c>
      <c r="S123" t="b">
        <v>1</v>
      </c>
      <c r="T123" t="b">
        <v>0</v>
      </c>
      <c r="U123" t="b">
        <v>0</v>
      </c>
      <c r="V123" t="b">
        <v>0</v>
      </c>
      <c r="W123" s="2" t="s">
        <v>1298</v>
      </c>
      <c r="X123" s="2"/>
      <c r="Y123" s="24">
        <v>115</v>
      </c>
      <c r="Z123">
        <f t="shared" si="20"/>
        <v>115</v>
      </c>
      <c r="AA123">
        <f t="shared" si="21"/>
        <v>115</v>
      </c>
      <c r="AB123">
        <f t="shared" si="22"/>
        <v>115</v>
      </c>
      <c r="AC123">
        <f t="shared" si="23"/>
        <v>0</v>
      </c>
      <c r="AD123">
        <f t="shared" si="24"/>
        <v>115</v>
      </c>
      <c r="AE123">
        <f t="shared" si="25"/>
        <v>115</v>
      </c>
      <c r="AF123">
        <f t="shared" si="26"/>
        <v>115</v>
      </c>
      <c r="AG123">
        <f t="shared" si="27"/>
        <v>115</v>
      </c>
      <c r="AH123">
        <f t="shared" si="28"/>
        <v>115</v>
      </c>
      <c r="AI123">
        <f t="shared" si="29"/>
        <v>115</v>
      </c>
      <c r="AJ123">
        <f t="shared" si="30"/>
        <v>0</v>
      </c>
      <c r="AK123">
        <f t="shared" si="31"/>
        <v>0</v>
      </c>
      <c r="AL123">
        <f t="shared" si="32"/>
        <v>0</v>
      </c>
      <c r="AM123">
        <f t="shared" si="33"/>
        <v>0</v>
      </c>
      <c r="AN123">
        <f t="shared" si="34"/>
        <v>115</v>
      </c>
      <c r="AO123">
        <f t="shared" si="35"/>
        <v>115</v>
      </c>
      <c r="AP123">
        <f t="shared" si="36"/>
        <v>115</v>
      </c>
      <c r="AQ123">
        <f t="shared" si="37"/>
        <v>115</v>
      </c>
      <c r="AR123" s="6">
        <f t="shared" si="38"/>
        <v>115</v>
      </c>
      <c r="AS123">
        <f t="shared" si="39"/>
        <v>115</v>
      </c>
      <c r="AV123" s="1" t="str">
        <f>IF(IFERROR(INDEX($A$9:$W$304,$AS123,COLUMNS($AV$9:AV122)),"")=0,"",IFERROR(INDEX($A$9:$W$304,$AS123,COLUMNS($AV$9:AV122)),""))</f>
        <v>Helion, the Dominator</v>
      </c>
      <c r="AW123" s="1">
        <f>IFERROR(INDEX($A$9:$W$304,$AS123,COLUMNS($AV$9:AW122)),"")</f>
        <v>1</v>
      </c>
      <c r="AX123" s="1" t="str">
        <f>IF(IFERROR(INDEX($A$9:$X$304,$AS123,COLUMNS($AV$9:AX122)),"")=0,"",IFERROR(INDEX($A$9:$X$304,$AS123,COLUMNS($AV$9:AX122)),""))</f>
        <v>SAGE</v>
      </c>
      <c r="AY123" s="1" t="str">
        <f>IF(IFERROR(INDEX($A$9:$X$304,$AS123,COLUMNS($AV$9:AY122)),"")=0,"",IFERROR(INDEX($A$9:$X$304,$AS123,COLUMNS($AV$9:AY122)),""))</f>
        <v/>
      </c>
      <c r="AZ123" s="1" t="str">
        <f>IF(IFERROR(INDEX($A$9:$X$304,$AS123,COLUMNS($AV$9:AZ122)),"")=0,"",IFERROR(INDEX($A$9:$X$304,$AS123,COLUMNS($AV$9:AZ122)),""))</f>
        <v>CHAMPION</v>
      </c>
      <c r="BA123" s="1">
        <f>IF(IFERROR(INDEX($A$9:$X$304,$AS123,COLUMNS($AV$9:BA122)),"")=0,"",IFERROR(INDEX($A$9:$X$304,$AS123,COLUMNS($AV$9:BA122)),""))</f>
        <v>8</v>
      </c>
      <c r="BB123" s="1">
        <f>IF(IFERROR(INDEX($A$9:$X$304,$AS123,COLUMNS($AV$9:BB122)),"")=0,"",IFERROR(INDEX($A$9:$X$304,$AS123,COLUMNS($AV$9:BB122)),""))</f>
        <v>8</v>
      </c>
      <c r="BC123" s="1" t="str">
        <f>IF(IFERROR(INDEX($A$9:$X$304,$AS123,COLUMNS($AV$9:BC122)),"")=0,"",IFERROR(INDEX($A$9:$X$304,$AS123,COLUMNS($AV$9:BC122)),""))</f>
        <v>Ambush</v>
      </c>
      <c r="BD123" s="1" t="str">
        <f>IF(IFERROR(INDEX($A$9:$X$304,$AS123,COLUMNS($AV$9:BD122)),"")=0,"",IFERROR(INDEX($A$9:$X$304,$AS123,COLUMNS($AV$9:BD122)),""))</f>
        <v>Loyalty 2 → Gain control of target champion this turn. It gains blitz this turn.</v>
      </c>
      <c r="BE123" s="1" t="str">
        <f>IF(IFERROR(INDEX($A$9:$X$304,$AS123,COLUMNS($AV$9:BE122)),"")=0,"",IFERROR(INDEX($A$9:$X$304,$AS123,COLUMNS($AV$9:BE122)),""))</f>
        <v>{expend}: Deal 2 damage to each of up to two targets.</v>
      </c>
      <c r="BF123" s="1" t="str">
        <f>IF(IFERROR(INDEX($A$9:$X$304,$AS123,COLUMNS($AV$9:BF122)),"")=0,"",IFERROR(INDEX($A$9:$X$304,$AS123,COLUMNS($AV$9:BF122)),""))</f>
        <v/>
      </c>
      <c r="BG123" s="1" t="str">
        <f>IF(IFERROR(INDEX($A$9:$X$304,$AS123,COLUMNS($AV$9:BG122)),"")=0,"",IFERROR(INDEX($A$9:$X$304,$AS123,COLUMNS($AV$9:BG122)),""))</f>
        <v/>
      </c>
      <c r="BH123" s="1" t="str">
        <f>IF(IFERROR(INDEX($A$9:$X$304,$AS123,COLUMNS($AV$9:BH122)),"")=0,"",IFERROR(INDEX($A$9:$X$304,$AS123,COLUMNS($AV$9:BH122)),""))</f>
        <v/>
      </c>
      <c r="BI123" s="1" t="str">
        <f>IF(IFERROR(INDEX($A$9:$X$304,$AS123,COLUMNS($AV$9:BI122)),"")=0,"",IFERROR(INDEX($A$9:$X$304,$AS123,COLUMNS($AV$9:BI122)),""))</f>
        <v/>
      </c>
      <c r="BJ123" s="1" t="str">
        <f>IF(IFERROR(INDEX($A$9:$X$304,$AS123,COLUMNS($AV$9:BJ122)),"")=0,"",IFERROR(INDEX($A$9:$X$304,$AS123,COLUMNS($AV$9:BJ122)),""))</f>
        <v>HUMAN TYRANT</v>
      </c>
      <c r="BK123" s="1" t="str">
        <f>IF(IFERROR(INDEX($A$9:$X$304,$AS123,COLUMNS($AV$9:BK122)),"")=0,"",IFERROR(INDEX($A$9:$X$304,$AS123,COLUMNS($AV$9:BK122)),""))</f>
        <v>Rare</v>
      </c>
      <c r="BL123" s="1" t="str">
        <f>IF(IFERROR(INDEX($A$9:$X$304,$AS123,COLUMNS($AV$9:BL122)),"")=0,"",IFERROR(INDEX($A$9:$X$304,$AS123,COLUMNS($AV$9:BL122)),""))</f>
        <v>Dylan Safford</v>
      </c>
      <c r="BM123" s="1" t="str">
        <f>IF(IFERROR(INDEX($A$9:$X$304,$AS123,COLUMNS($AV$9:BM122)),"")=0,"",IFERROR(INDEX($A$9:$X$304,$AS123,COLUMNS($AV$9:BM122)),""))</f>
        <v>Tyrants: Helion's Deceit</v>
      </c>
      <c r="BN123" s="3" t="b">
        <f>IF(IFERROR(INDEX($A$9:$X$304,$AS123,COLUMNS($AV$9:BN122)),"")=0,"",IFERROR(INDEX($A$9:$X$304,$AS123,COLUMNS($AV$9:BN122)),""))</f>
        <v>1</v>
      </c>
      <c r="BO123" s="3" t="b">
        <f>IF(IFERROR(INDEX($A$9:$X$304,$AS123,COLUMNS($AV$9:BO122)),"")=0,"",IFERROR(INDEX($A$9:$X$304,$AS123,COLUMNS($AV$9:BO122)),""))</f>
        <v>0</v>
      </c>
      <c r="BP123" s="3" t="b">
        <f>IF(IFERROR(INDEX($A$9:$X$304,$AS123,COLUMNS($AV$9:BP122)),"")=0,"",IFERROR(INDEX($A$9:$X$304,$AS123,COLUMNS($AV$9:BP122)),""))</f>
        <v>0</v>
      </c>
      <c r="BQ123" s="3" t="b">
        <f>IF(IFERROR(INDEX($A$9:$X$304,$AS123,COLUMNS($AV$9:BQ122)),"")=0,"",IFERROR(INDEX($A$9:$X$304,$AS123,COLUMNS($AV$9:BQ122)),""))</f>
        <v>0</v>
      </c>
      <c r="BR123" s="3" t="str">
        <f>IF(IFERROR(INDEX($A$9:$X$304,$AS123,COLUMNS($AV$9:BR122)),"")=0,"",IFERROR(INDEX($A$9:$X$304,$AS123,COLUMNS($AV$9:BR122)),""))</f>
        <v>http://www.epiccardgame.com/wp-content/uploads/2016/03/helion_the_dominator-214x300.jpg</v>
      </c>
      <c r="BS123" s="3" t="str">
        <f>IF(IFERROR(INDEX($A$9:$X$304,$AS123,COLUMNS($AV$9:BS122)),"")=0,"",IFERROR(INDEX($A$9:$X$304,$AS123,COLUMNS($AV$9:BS122)),""))</f>
        <v/>
      </c>
      <c r="BT123" s="3"/>
      <c r="BU123" s="15"/>
      <c r="BV123" t="s">
        <v>144</v>
      </c>
    </row>
    <row r="124" spans="1:74" ht="225.2" customHeight="1" x14ac:dyDescent="0.25">
      <c r="A124" t="s">
        <v>440</v>
      </c>
      <c r="B124">
        <v>1</v>
      </c>
      <c r="C124" t="s">
        <v>617</v>
      </c>
      <c r="E124" t="s">
        <v>620</v>
      </c>
      <c r="F124">
        <v>7</v>
      </c>
      <c r="G124">
        <v>5</v>
      </c>
      <c r="H124" t="s">
        <v>684</v>
      </c>
      <c r="I124" t="s">
        <v>844</v>
      </c>
      <c r="O124" t="s">
        <v>1064</v>
      </c>
      <c r="P124" t="s">
        <v>1112</v>
      </c>
      <c r="Q124" t="s">
        <v>1115</v>
      </c>
      <c r="R124" t="s">
        <v>1174</v>
      </c>
      <c r="S124" t="b">
        <v>1</v>
      </c>
      <c r="T124" t="b">
        <v>0</v>
      </c>
      <c r="U124" t="b">
        <v>0</v>
      </c>
      <c r="V124" t="b">
        <v>0</v>
      </c>
      <c r="W124" s="2" t="s">
        <v>1299</v>
      </c>
      <c r="X124" s="2"/>
      <c r="Y124" s="24">
        <v>116</v>
      </c>
      <c r="Z124">
        <f t="shared" si="20"/>
        <v>116</v>
      </c>
      <c r="AA124">
        <f t="shared" si="21"/>
        <v>116</v>
      </c>
      <c r="AB124">
        <f t="shared" si="22"/>
        <v>116</v>
      </c>
      <c r="AC124">
        <f t="shared" si="23"/>
        <v>0</v>
      </c>
      <c r="AD124">
        <f t="shared" si="24"/>
        <v>116</v>
      </c>
      <c r="AE124">
        <f t="shared" si="25"/>
        <v>116</v>
      </c>
      <c r="AF124">
        <f t="shared" si="26"/>
        <v>116</v>
      </c>
      <c r="AG124">
        <f t="shared" si="27"/>
        <v>116</v>
      </c>
      <c r="AH124">
        <f t="shared" si="28"/>
        <v>116</v>
      </c>
      <c r="AI124">
        <f t="shared" si="29"/>
        <v>0</v>
      </c>
      <c r="AJ124">
        <f t="shared" si="30"/>
        <v>0</v>
      </c>
      <c r="AK124">
        <f t="shared" si="31"/>
        <v>0</v>
      </c>
      <c r="AL124">
        <f t="shared" si="32"/>
        <v>0</v>
      </c>
      <c r="AM124">
        <f t="shared" si="33"/>
        <v>0</v>
      </c>
      <c r="AN124">
        <f t="shared" si="34"/>
        <v>116</v>
      </c>
      <c r="AO124">
        <f t="shared" si="35"/>
        <v>116</v>
      </c>
      <c r="AP124">
        <f t="shared" si="36"/>
        <v>116</v>
      </c>
      <c r="AQ124">
        <f t="shared" si="37"/>
        <v>116</v>
      </c>
      <c r="AR124" s="6">
        <f t="shared" si="38"/>
        <v>116</v>
      </c>
      <c r="AS124">
        <f t="shared" si="39"/>
        <v>116</v>
      </c>
      <c r="AV124" s="1" t="str">
        <f>IF(IFERROR(INDEX($A$9:$W$304,$AS124,COLUMNS($AV$9:AV123)),"")=0,"",IFERROR(INDEX($A$9:$W$304,$AS124,COLUMNS($AV$9:AV123)),""))</f>
        <v>Herald of Angeline</v>
      </c>
      <c r="AW124" s="1">
        <f>IFERROR(INDEX($A$9:$W$304,$AS124,COLUMNS($AV$9:AW123)),"")</f>
        <v>1</v>
      </c>
      <c r="AX124" s="1" t="str">
        <f>IF(IFERROR(INDEX($A$9:$X$304,$AS124,COLUMNS($AV$9:AX123)),"")=0,"",IFERROR(INDEX($A$9:$X$304,$AS124,COLUMNS($AV$9:AX123)),""))</f>
        <v>GOOD</v>
      </c>
      <c r="AY124" s="1" t="str">
        <f>IF(IFERROR(INDEX($A$9:$X$304,$AS124,COLUMNS($AV$9:AY123)),"")=0,"",IFERROR(INDEX($A$9:$X$304,$AS124,COLUMNS($AV$9:AY123)),""))</f>
        <v/>
      </c>
      <c r="AZ124" s="1" t="str">
        <f>IF(IFERROR(INDEX($A$9:$X$304,$AS124,COLUMNS($AV$9:AZ123)),"")=0,"",IFERROR(INDEX($A$9:$X$304,$AS124,COLUMNS($AV$9:AZ123)),""))</f>
        <v>CHAMPION</v>
      </c>
      <c r="BA124" s="1">
        <f>IF(IFERROR(INDEX($A$9:$X$304,$AS124,COLUMNS($AV$9:BA123)),"")=0,"",IFERROR(INDEX($A$9:$X$304,$AS124,COLUMNS($AV$9:BA123)),""))</f>
        <v>7</v>
      </c>
      <c r="BB124" s="1">
        <f>IF(IFERROR(INDEX($A$9:$X$304,$AS124,COLUMNS($AV$9:BB123)),"")=0,"",IFERROR(INDEX($A$9:$X$304,$AS124,COLUMNS($AV$9:BB123)),""))</f>
        <v>5</v>
      </c>
      <c r="BC124" s="1" t="str">
        <f>IF(IFERROR(INDEX($A$9:$X$304,$AS124,COLUMNS($AV$9:BC123)),"")=0,"",IFERROR(INDEX($A$9:$X$304,$AS124,COLUMNS($AV$9:BC123)),""))</f>
        <v>Airborne ◆ Righteous</v>
      </c>
      <c r="BD124" s="1" t="str">
        <f>IF(IFERROR(INDEX($A$9:$X$304,$AS124,COLUMNS($AV$9:BD123)),"")=0,"",IFERROR(INDEX($A$9:$X$304,$AS124,COLUMNS($AV$9:BD123)),""))</f>
        <v>Tribute → Reveal the top three cards of your deck. You may choose a good card among them and put it into your hand. Banish the rest.</v>
      </c>
      <c r="BE124" s="1" t="str">
        <f>IF(IFERROR(INDEX($A$9:$X$304,$AS124,COLUMNS($AV$9:BE123)),"")=0,"",IFERROR(INDEX($A$9:$X$304,$AS124,COLUMNS($AV$9:BE123)),""))</f>
        <v/>
      </c>
      <c r="BF124" s="1" t="str">
        <f>IF(IFERROR(INDEX($A$9:$X$304,$AS124,COLUMNS($AV$9:BF123)),"")=0,"",IFERROR(INDEX($A$9:$X$304,$AS124,COLUMNS($AV$9:BF123)),""))</f>
        <v/>
      </c>
      <c r="BG124" s="1" t="str">
        <f>IF(IFERROR(INDEX($A$9:$X$304,$AS124,COLUMNS($AV$9:BG123)),"")=0,"",IFERROR(INDEX($A$9:$X$304,$AS124,COLUMNS($AV$9:BG123)),""))</f>
        <v/>
      </c>
      <c r="BH124" s="1" t="str">
        <f>IF(IFERROR(INDEX($A$9:$X$304,$AS124,COLUMNS($AV$9:BH123)),"")=0,"",IFERROR(INDEX($A$9:$X$304,$AS124,COLUMNS($AV$9:BH123)),""))</f>
        <v/>
      </c>
      <c r="BI124" s="1" t="str">
        <f>IF(IFERROR(INDEX($A$9:$X$304,$AS124,COLUMNS($AV$9:BI123)),"")=0,"",IFERROR(INDEX($A$9:$X$304,$AS124,COLUMNS($AV$9:BI123)),""))</f>
        <v/>
      </c>
      <c r="BJ124" s="1" t="str">
        <f>IF(IFERROR(INDEX($A$9:$X$304,$AS124,COLUMNS($AV$9:BJ123)),"")=0,"",IFERROR(INDEX($A$9:$X$304,$AS124,COLUMNS($AV$9:BJ123)),""))</f>
        <v>ANGEL</v>
      </c>
      <c r="BK124" s="1" t="str">
        <f>IF(IFERROR(INDEX($A$9:$X$304,$AS124,COLUMNS($AV$9:BK123)),"")=0,"",IFERROR(INDEX($A$9:$X$304,$AS124,COLUMNS($AV$9:BK123)),""))</f>
        <v>Common</v>
      </c>
      <c r="BL124" s="1" t="str">
        <f>IF(IFERROR(INDEX($A$9:$X$304,$AS124,COLUMNS($AV$9:BL123)),"")=0,"",IFERROR(INDEX($A$9:$X$304,$AS124,COLUMNS($AV$9:BL123)),""))</f>
        <v>Helder Almeida</v>
      </c>
      <c r="BM124" s="1" t="str">
        <f>IF(IFERROR(INDEX($A$9:$X$304,$AS124,COLUMNS($AV$9:BM123)),"")=0,"",IFERROR(INDEX($A$9:$X$304,$AS124,COLUMNS($AV$9:BM123)),""))</f>
        <v>Pantheon: Furios vs Maligus</v>
      </c>
      <c r="BN124" s="3" t="b">
        <f>IF(IFERROR(INDEX($A$9:$X$304,$AS124,COLUMNS($AV$9:BN123)),"")=0,"",IFERROR(INDEX($A$9:$X$304,$AS124,COLUMNS($AV$9:BN123)),""))</f>
        <v>1</v>
      </c>
      <c r="BO124" s="3" t="b">
        <f>IF(IFERROR(INDEX($A$9:$X$304,$AS124,COLUMNS($AV$9:BO123)),"")=0,"",IFERROR(INDEX($A$9:$X$304,$AS124,COLUMNS($AV$9:BO123)),""))</f>
        <v>0</v>
      </c>
      <c r="BP124" s="3" t="b">
        <f>IF(IFERROR(INDEX($A$9:$X$304,$AS124,COLUMNS($AV$9:BP123)),"")=0,"",IFERROR(INDEX($A$9:$X$304,$AS124,COLUMNS($AV$9:BP123)),""))</f>
        <v>0</v>
      </c>
      <c r="BQ124" s="3" t="b">
        <f>IF(IFERROR(INDEX($A$9:$X$304,$AS124,COLUMNS($AV$9:BQ123)),"")=0,"",IFERROR(INDEX($A$9:$X$304,$AS124,COLUMNS($AV$9:BQ123)),""))</f>
        <v>0</v>
      </c>
      <c r="BR124" s="3" t="str">
        <f>IF(IFERROR(INDEX($A$9:$X$304,$AS124,COLUMNS($AV$9:BR123)),"")=0,"",IFERROR(INDEX($A$9:$X$304,$AS124,COLUMNS($AV$9:BR123)),""))</f>
        <v>https://www.epiccardgame.com/wp-content/uploads/2017/11/PNF-EN-07-herald-of-angeline.jpg</v>
      </c>
      <c r="BS124" s="3" t="str">
        <f>IF(IFERROR(INDEX($A$9:$X$304,$AS124,COLUMNS($AV$9:BS123)),"")=0,"",IFERROR(INDEX($A$9:$X$304,$AS124,COLUMNS($AV$9:BS123)),""))</f>
        <v/>
      </c>
      <c r="BT124" s="3"/>
      <c r="BU124" s="15"/>
      <c r="BV124" t="s">
        <v>145</v>
      </c>
    </row>
    <row r="125" spans="1:74" ht="225.2" customHeight="1" x14ac:dyDescent="0.25">
      <c r="A125" t="s">
        <v>441</v>
      </c>
      <c r="B125">
        <v>1</v>
      </c>
      <c r="C125" t="s">
        <v>615</v>
      </c>
      <c r="E125" t="s">
        <v>620</v>
      </c>
      <c r="F125">
        <v>8</v>
      </c>
      <c r="G125">
        <v>6</v>
      </c>
      <c r="H125" t="s">
        <v>685</v>
      </c>
      <c r="I125" t="s">
        <v>845</v>
      </c>
      <c r="O125" t="s">
        <v>1095</v>
      </c>
      <c r="P125" t="s">
        <v>1112</v>
      </c>
      <c r="Q125" t="s">
        <v>1117</v>
      </c>
      <c r="R125" t="s">
        <v>1170</v>
      </c>
      <c r="S125" t="b">
        <v>1</v>
      </c>
      <c r="T125" t="b">
        <v>0</v>
      </c>
      <c r="U125" t="b">
        <v>0</v>
      </c>
      <c r="V125" t="b">
        <v>0</v>
      </c>
      <c r="W125" s="2" t="s">
        <v>1300</v>
      </c>
      <c r="X125" s="2"/>
      <c r="Y125" s="24">
        <v>117</v>
      </c>
      <c r="Z125">
        <f t="shared" si="20"/>
        <v>117</v>
      </c>
      <c r="AA125">
        <f t="shared" si="21"/>
        <v>117</v>
      </c>
      <c r="AB125">
        <f t="shared" si="22"/>
        <v>117</v>
      </c>
      <c r="AC125">
        <f t="shared" si="23"/>
        <v>0</v>
      </c>
      <c r="AD125">
        <f t="shared" si="24"/>
        <v>117</v>
      </c>
      <c r="AE125">
        <f t="shared" si="25"/>
        <v>117</v>
      </c>
      <c r="AF125">
        <f t="shared" si="26"/>
        <v>117</v>
      </c>
      <c r="AG125">
        <f t="shared" si="27"/>
        <v>117</v>
      </c>
      <c r="AH125">
        <f t="shared" si="28"/>
        <v>117</v>
      </c>
      <c r="AI125">
        <f t="shared" si="29"/>
        <v>0</v>
      </c>
      <c r="AJ125">
        <f t="shared" si="30"/>
        <v>0</v>
      </c>
      <c r="AK125">
        <f t="shared" si="31"/>
        <v>0</v>
      </c>
      <c r="AL125">
        <f t="shared" si="32"/>
        <v>0</v>
      </c>
      <c r="AM125">
        <f t="shared" si="33"/>
        <v>0</v>
      </c>
      <c r="AN125">
        <f t="shared" si="34"/>
        <v>117</v>
      </c>
      <c r="AO125">
        <f t="shared" si="35"/>
        <v>117</v>
      </c>
      <c r="AP125">
        <f t="shared" si="36"/>
        <v>117</v>
      </c>
      <c r="AQ125">
        <f t="shared" si="37"/>
        <v>117</v>
      </c>
      <c r="AR125" s="6">
        <f t="shared" si="38"/>
        <v>117</v>
      </c>
      <c r="AS125">
        <f t="shared" si="39"/>
        <v>117</v>
      </c>
      <c r="AV125" s="1" t="str">
        <f>IF(IFERROR(INDEX($A$9:$W$304,$AS125,COLUMNS($AV$9:AV124)),"")=0,"",IFERROR(INDEX($A$9:$W$304,$AS125,COLUMNS($AV$9:AV124)),""))</f>
        <v>Herald of Lashnok</v>
      </c>
      <c r="AW125" s="1">
        <f>IFERROR(INDEX($A$9:$W$304,$AS125,COLUMNS($AV$9:AW124)),"")</f>
        <v>1</v>
      </c>
      <c r="AX125" s="1" t="str">
        <f>IF(IFERROR(INDEX($A$9:$X$304,$AS125,COLUMNS($AV$9:AX124)),"")=0,"",IFERROR(INDEX($A$9:$X$304,$AS125,COLUMNS($AV$9:AX124)),""))</f>
        <v>WILD</v>
      </c>
      <c r="AY125" s="1" t="str">
        <f>IF(IFERROR(INDEX($A$9:$X$304,$AS125,COLUMNS($AV$9:AY124)),"")=0,"",IFERROR(INDEX($A$9:$X$304,$AS125,COLUMNS($AV$9:AY124)),""))</f>
        <v/>
      </c>
      <c r="AZ125" s="1" t="str">
        <f>IF(IFERROR(INDEX($A$9:$X$304,$AS125,COLUMNS($AV$9:AZ124)),"")=0,"",IFERROR(INDEX($A$9:$X$304,$AS125,COLUMNS($AV$9:AZ124)),""))</f>
        <v>CHAMPION</v>
      </c>
      <c r="BA125" s="1">
        <f>IF(IFERROR(INDEX($A$9:$X$304,$AS125,COLUMNS($AV$9:BA124)),"")=0,"",IFERROR(INDEX($A$9:$X$304,$AS125,COLUMNS($AV$9:BA124)),""))</f>
        <v>8</v>
      </c>
      <c r="BB125" s="1">
        <f>IF(IFERROR(INDEX($A$9:$X$304,$AS125,COLUMNS($AV$9:BB124)),"")=0,"",IFERROR(INDEX($A$9:$X$304,$AS125,COLUMNS($AV$9:BB124)),""))</f>
        <v>6</v>
      </c>
      <c r="BC125" s="1" t="str">
        <f>IF(IFERROR(INDEX($A$9:$X$304,$AS125,COLUMNS($AV$9:BC124)),"")=0,"",IFERROR(INDEX($A$9:$X$304,$AS125,COLUMNS($AV$9:BC124)),""))</f>
        <v>Blitz ◆ Breakthrough</v>
      </c>
      <c r="BD125" s="1" t="str">
        <f>IF(IFERROR(INDEX($A$9:$X$304,$AS125,COLUMNS($AV$9:BD124)),"")=0,"",IFERROR(INDEX($A$9:$X$304,$AS125,COLUMNS($AV$9:BD124)),""))</f>
        <v>Tribute → Reveal the top three cards of your deck. You may choose a wild card among them and put it into your hand. Banish the rest.</v>
      </c>
      <c r="BE125" s="1" t="str">
        <f>IF(IFERROR(INDEX($A$9:$X$304,$AS125,COLUMNS($AV$9:BE124)),"")=0,"",IFERROR(INDEX($A$9:$X$304,$AS125,COLUMNS($AV$9:BE124)),""))</f>
        <v/>
      </c>
      <c r="BF125" s="1" t="str">
        <f>IF(IFERROR(INDEX($A$9:$X$304,$AS125,COLUMNS($AV$9:BF124)),"")=0,"",IFERROR(INDEX($A$9:$X$304,$AS125,COLUMNS($AV$9:BF124)),""))</f>
        <v/>
      </c>
      <c r="BG125" s="1" t="str">
        <f>IF(IFERROR(INDEX($A$9:$X$304,$AS125,COLUMNS($AV$9:BG124)),"")=0,"",IFERROR(INDEX($A$9:$X$304,$AS125,COLUMNS($AV$9:BG124)),""))</f>
        <v/>
      </c>
      <c r="BH125" s="1" t="str">
        <f>IF(IFERROR(INDEX($A$9:$X$304,$AS125,COLUMNS($AV$9:BH124)),"")=0,"",IFERROR(INDEX($A$9:$X$304,$AS125,COLUMNS($AV$9:BH124)),""))</f>
        <v/>
      </c>
      <c r="BI125" s="1" t="str">
        <f>IF(IFERROR(INDEX($A$9:$X$304,$AS125,COLUMNS($AV$9:BI124)),"")=0,"",IFERROR(INDEX($A$9:$X$304,$AS125,COLUMNS($AV$9:BI124)),""))</f>
        <v/>
      </c>
      <c r="BJ125" s="1" t="str">
        <f>IF(IFERROR(INDEX($A$9:$X$304,$AS125,COLUMNS($AV$9:BJ124)),"")=0,"",IFERROR(INDEX($A$9:$X$304,$AS125,COLUMNS($AV$9:BJ124)),""))</f>
        <v>BEASTMAN</v>
      </c>
      <c r="BK125" s="1" t="str">
        <f>IF(IFERROR(INDEX($A$9:$X$304,$AS125,COLUMNS($AV$9:BK124)),"")=0,"",IFERROR(INDEX($A$9:$X$304,$AS125,COLUMNS($AV$9:BK124)),""))</f>
        <v>Common</v>
      </c>
      <c r="BL125" s="1" t="str">
        <f>IF(IFERROR(INDEX($A$9:$X$304,$AS125,COLUMNS($AV$9:BL124)),"")=0,"",IFERROR(INDEX($A$9:$X$304,$AS125,COLUMNS($AV$9:BL124)),""))</f>
        <v>Antonis Papantoniou</v>
      </c>
      <c r="BM125" s="1" t="str">
        <f>IF(IFERROR(INDEX($A$9:$X$304,$AS125,COLUMNS($AV$9:BM124)),"")=0,"",IFERROR(INDEX($A$9:$X$304,$AS125,COLUMNS($AV$9:BM124)),""))</f>
        <v>Pantheon: Helena vs Zaltessa</v>
      </c>
      <c r="BN125" s="3" t="b">
        <f>IF(IFERROR(INDEX($A$9:$X$304,$AS125,COLUMNS($AV$9:BN124)),"")=0,"",IFERROR(INDEX($A$9:$X$304,$AS125,COLUMNS($AV$9:BN124)),""))</f>
        <v>1</v>
      </c>
      <c r="BO125" s="3" t="b">
        <f>IF(IFERROR(INDEX($A$9:$X$304,$AS125,COLUMNS($AV$9:BO124)),"")=0,"",IFERROR(INDEX($A$9:$X$304,$AS125,COLUMNS($AV$9:BO124)),""))</f>
        <v>0</v>
      </c>
      <c r="BP125" s="3" t="b">
        <f>IF(IFERROR(INDEX($A$9:$X$304,$AS125,COLUMNS($AV$9:BP124)),"")=0,"",IFERROR(INDEX($A$9:$X$304,$AS125,COLUMNS($AV$9:BP124)),""))</f>
        <v>0</v>
      </c>
      <c r="BQ125" s="3" t="b">
        <f>IF(IFERROR(INDEX($A$9:$X$304,$AS125,COLUMNS($AV$9:BQ124)),"")=0,"",IFERROR(INDEX($A$9:$X$304,$AS125,COLUMNS($AV$9:BQ124)),""))</f>
        <v>0</v>
      </c>
      <c r="BR125" s="3" t="str">
        <f>IF(IFERROR(INDEX($A$9:$X$304,$AS125,COLUMNS($AV$9:BR124)),"")=0,"",IFERROR(INDEX($A$9:$X$304,$AS125,COLUMNS($AV$9:BR124)),""))</f>
        <v>https://www.epiccardgame.com/wp-content/uploads/2017/11/PNH-EN-12-herald-of-lashnok.jpg</v>
      </c>
      <c r="BS125" s="3" t="str">
        <f>IF(IFERROR(INDEX($A$9:$X$304,$AS125,COLUMNS($AV$9:BS124)),"")=0,"",IFERROR(INDEX($A$9:$X$304,$AS125,COLUMNS($AV$9:BS124)),""))</f>
        <v/>
      </c>
      <c r="BT125" s="3"/>
      <c r="BU125" s="15"/>
      <c r="BV125" t="s">
        <v>146</v>
      </c>
    </row>
    <row r="126" spans="1:74" ht="225.2" customHeight="1" x14ac:dyDescent="0.25">
      <c r="A126" t="s">
        <v>442</v>
      </c>
      <c r="B126">
        <v>1</v>
      </c>
      <c r="C126" t="s">
        <v>618</v>
      </c>
      <c r="E126" t="s">
        <v>620</v>
      </c>
      <c r="F126">
        <v>9</v>
      </c>
      <c r="G126">
        <v>7</v>
      </c>
      <c r="H126" t="s">
        <v>25</v>
      </c>
      <c r="I126" t="s">
        <v>846</v>
      </c>
      <c r="O126" t="s">
        <v>1078</v>
      </c>
      <c r="P126" t="s">
        <v>1112</v>
      </c>
      <c r="Q126" t="s">
        <v>1149</v>
      </c>
      <c r="R126" t="s">
        <v>1173</v>
      </c>
      <c r="S126" t="b">
        <v>1</v>
      </c>
      <c r="T126" t="b">
        <v>0</v>
      </c>
      <c r="U126" t="b">
        <v>0</v>
      </c>
      <c r="V126" t="b">
        <v>0</v>
      </c>
      <c r="W126" s="2" t="s">
        <v>1301</v>
      </c>
      <c r="X126" s="2"/>
      <c r="Y126" s="24">
        <v>118</v>
      </c>
      <c r="Z126">
        <f t="shared" si="20"/>
        <v>118</v>
      </c>
      <c r="AA126">
        <f t="shared" si="21"/>
        <v>118</v>
      </c>
      <c r="AB126">
        <f t="shared" si="22"/>
        <v>118</v>
      </c>
      <c r="AC126">
        <f t="shared" si="23"/>
        <v>0</v>
      </c>
      <c r="AD126">
        <f t="shared" si="24"/>
        <v>118</v>
      </c>
      <c r="AE126">
        <f t="shared" si="25"/>
        <v>118</v>
      </c>
      <c r="AF126">
        <f t="shared" si="26"/>
        <v>118</v>
      </c>
      <c r="AG126">
        <f t="shared" si="27"/>
        <v>118</v>
      </c>
      <c r="AH126">
        <f t="shared" si="28"/>
        <v>118</v>
      </c>
      <c r="AI126">
        <f t="shared" si="29"/>
        <v>0</v>
      </c>
      <c r="AJ126">
        <f t="shared" si="30"/>
        <v>0</v>
      </c>
      <c r="AK126">
        <f t="shared" si="31"/>
        <v>0</v>
      </c>
      <c r="AL126">
        <f t="shared" si="32"/>
        <v>0</v>
      </c>
      <c r="AM126">
        <f t="shared" si="33"/>
        <v>0</v>
      </c>
      <c r="AN126">
        <f t="shared" si="34"/>
        <v>118</v>
      </c>
      <c r="AO126">
        <f t="shared" si="35"/>
        <v>118</v>
      </c>
      <c r="AP126">
        <f t="shared" si="36"/>
        <v>118</v>
      </c>
      <c r="AQ126">
        <f t="shared" si="37"/>
        <v>118</v>
      </c>
      <c r="AR126" s="6">
        <f t="shared" si="38"/>
        <v>118</v>
      </c>
      <c r="AS126">
        <f t="shared" si="39"/>
        <v>118</v>
      </c>
      <c r="AV126" s="1" t="str">
        <f>IF(IFERROR(INDEX($A$9:$W$304,$AS126,COLUMNS($AV$9:AV125)),"")=0,"",IFERROR(INDEX($A$9:$W$304,$AS126,COLUMNS($AV$9:AV125)),""))</f>
        <v>Herald of Scara</v>
      </c>
      <c r="AW126" s="1">
        <f>IFERROR(INDEX($A$9:$W$304,$AS126,COLUMNS($AV$9:AW125)),"")</f>
        <v>1</v>
      </c>
      <c r="AX126" s="1" t="str">
        <f>IF(IFERROR(INDEX($A$9:$X$304,$AS126,COLUMNS($AV$9:AX125)),"")=0,"",IFERROR(INDEX($A$9:$X$304,$AS126,COLUMNS($AV$9:AX125)),""))</f>
        <v>EVIL</v>
      </c>
      <c r="AY126" s="1" t="str">
        <f>IF(IFERROR(INDEX($A$9:$X$304,$AS126,COLUMNS($AV$9:AY125)),"")=0,"",IFERROR(INDEX($A$9:$X$304,$AS126,COLUMNS($AV$9:AY125)),""))</f>
        <v/>
      </c>
      <c r="AZ126" s="1" t="str">
        <f>IF(IFERROR(INDEX($A$9:$X$304,$AS126,COLUMNS($AV$9:AZ125)),"")=0,"",IFERROR(INDEX($A$9:$X$304,$AS126,COLUMNS($AV$9:AZ125)),""))</f>
        <v>CHAMPION</v>
      </c>
      <c r="BA126" s="1">
        <f>IF(IFERROR(INDEX($A$9:$X$304,$AS126,COLUMNS($AV$9:BA125)),"")=0,"",IFERROR(INDEX($A$9:$X$304,$AS126,COLUMNS($AV$9:BA125)),""))</f>
        <v>9</v>
      </c>
      <c r="BB126" s="1">
        <f>IF(IFERROR(INDEX($A$9:$X$304,$AS126,COLUMNS($AV$9:BB125)),"")=0,"",IFERROR(INDEX($A$9:$X$304,$AS126,COLUMNS($AV$9:BB125)),""))</f>
        <v>7</v>
      </c>
      <c r="BC126" s="1" t="str">
        <f>IF(IFERROR(INDEX($A$9:$X$304,$AS126,COLUMNS($AV$9:BC125)),"")=0,"",IFERROR(INDEX($A$9:$X$304,$AS126,COLUMNS($AV$9:BC125)),""))</f>
        <v>Airborne</v>
      </c>
      <c r="BD126" s="1" t="str">
        <f>IF(IFERROR(INDEX($A$9:$X$304,$AS126,COLUMNS($AV$9:BD125)),"")=0,"",IFERROR(INDEX($A$9:$X$304,$AS126,COLUMNS($AV$9:BD125)),""))</f>
        <v>Tribute → Reveal the top three cards of your deck. You may choose an evil card among them and put it into your hand. Banish the rest.</v>
      </c>
      <c r="BE126" s="1" t="str">
        <f>IF(IFERROR(INDEX($A$9:$X$304,$AS126,COLUMNS($AV$9:BE125)),"")=0,"",IFERROR(INDEX($A$9:$X$304,$AS126,COLUMNS($AV$9:BE125)),""))</f>
        <v/>
      </c>
      <c r="BF126" s="1" t="str">
        <f>IF(IFERROR(INDEX($A$9:$X$304,$AS126,COLUMNS($AV$9:BF125)),"")=0,"",IFERROR(INDEX($A$9:$X$304,$AS126,COLUMNS($AV$9:BF125)),""))</f>
        <v/>
      </c>
      <c r="BG126" s="1" t="str">
        <f>IF(IFERROR(INDEX($A$9:$X$304,$AS126,COLUMNS($AV$9:BG125)),"")=0,"",IFERROR(INDEX($A$9:$X$304,$AS126,COLUMNS($AV$9:BG125)),""))</f>
        <v/>
      </c>
      <c r="BH126" s="1" t="str">
        <f>IF(IFERROR(INDEX($A$9:$X$304,$AS126,COLUMNS($AV$9:BH125)),"")=0,"",IFERROR(INDEX($A$9:$X$304,$AS126,COLUMNS($AV$9:BH125)),""))</f>
        <v/>
      </c>
      <c r="BI126" s="1" t="str">
        <f>IF(IFERROR(INDEX($A$9:$X$304,$AS126,COLUMNS($AV$9:BI125)),"")=0,"",IFERROR(INDEX($A$9:$X$304,$AS126,COLUMNS($AV$9:BI125)),""))</f>
        <v/>
      </c>
      <c r="BJ126" s="1" t="str">
        <f>IF(IFERROR(INDEX($A$9:$X$304,$AS126,COLUMNS($AV$9:BJ125)),"")=0,"",IFERROR(INDEX($A$9:$X$304,$AS126,COLUMNS($AV$9:BJ125)),""))</f>
        <v>DEMON</v>
      </c>
      <c r="BK126" s="1" t="str">
        <f>IF(IFERROR(INDEX($A$9:$X$304,$AS126,COLUMNS($AV$9:BK125)),"")=0,"",IFERROR(INDEX($A$9:$X$304,$AS126,COLUMNS($AV$9:BK125)),""))</f>
        <v>Common</v>
      </c>
      <c r="BL126" s="1" t="str">
        <f>IF(IFERROR(INDEX($A$9:$X$304,$AS126,COLUMNS($AV$9:BL125)),"")=0,"",IFERROR(INDEX($A$9:$X$304,$AS126,COLUMNS($AV$9:BL125)),""))</f>
        <v>Takashi Tan</v>
      </c>
      <c r="BM126" s="1" t="str">
        <f>IF(IFERROR(INDEX($A$9:$X$304,$AS126,COLUMNS($AV$9:BM125)),"")=0,"",IFERROR(INDEX($A$9:$X$304,$AS126,COLUMNS($AV$9:BM125)),""))</f>
        <v>Pantheon: Angeline vs Scara</v>
      </c>
      <c r="BN126" s="3" t="b">
        <f>IF(IFERROR(INDEX($A$9:$X$304,$AS126,COLUMNS($AV$9:BN125)),"")=0,"",IFERROR(INDEX($A$9:$X$304,$AS126,COLUMNS($AV$9:BN125)),""))</f>
        <v>1</v>
      </c>
      <c r="BO126" s="3" t="b">
        <f>IF(IFERROR(INDEX($A$9:$X$304,$AS126,COLUMNS($AV$9:BO125)),"")=0,"",IFERROR(INDEX($A$9:$X$304,$AS126,COLUMNS($AV$9:BO125)),""))</f>
        <v>0</v>
      </c>
      <c r="BP126" s="3" t="b">
        <f>IF(IFERROR(INDEX($A$9:$X$304,$AS126,COLUMNS($AV$9:BP125)),"")=0,"",IFERROR(INDEX($A$9:$X$304,$AS126,COLUMNS($AV$9:BP125)),""))</f>
        <v>0</v>
      </c>
      <c r="BQ126" s="3" t="b">
        <f>IF(IFERROR(INDEX($A$9:$X$304,$AS126,COLUMNS($AV$9:BQ125)),"")=0,"",IFERROR(INDEX($A$9:$X$304,$AS126,COLUMNS($AV$9:BQ125)),""))</f>
        <v>0</v>
      </c>
      <c r="BR126" s="3" t="str">
        <f>IF(IFERROR(INDEX($A$9:$X$304,$AS126,COLUMNS($AV$9:BR125)),"")=0,"",IFERROR(INDEX($A$9:$X$304,$AS126,COLUMNS($AV$9:BR125)),""))</f>
        <v>https://www.epiccardgame.com/wp-content/uploads/2017/11/PNA-EN-11-herald-of-scara.jpg</v>
      </c>
      <c r="BS126" s="3" t="str">
        <f>IF(IFERROR(INDEX($A$9:$X$304,$AS126,COLUMNS($AV$9:BS125)),"")=0,"",IFERROR(INDEX($A$9:$X$304,$AS126,COLUMNS($AV$9:BS125)),""))</f>
        <v/>
      </c>
      <c r="BT126" s="3"/>
      <c r="BU126" s="15"/>
      <c r="BV126" t="s">
        <v>147</v>
      </c>
    </row>
    <row r="127" spans="1:74" ht="225.2" customHeight="1" x14ac:dyDescent="0.25">
      <c r="A127" t="s">
        <v>443</v>
      </c>
      <c r="B127">
        <v>1</v>
      </c>
      <c r="C127" t="s">
        <v>617</v>
      </c>
      <c r="E127" t="s">
        <v>620</v>
      </c>
      <c r="F127">
        <v>0</v>
      </c>
      <c r="G127">
        <v>1</v>
      </c>
      <c r="H127" t="s">
        <v>28</v>
      </c>
      <c r="I127" t="s">
        <v>674</v>
      </c>
      <c r="J127" t="s">
        <v>995</v>
      </c>
      <c r="O127" t="s">
        <v>1063</v>
      </c>
      <c r="P127" t="s">
        <v>1112</v>
      </c>
      <c r="Q127" t="s">
        <v>1118</v>
      </c>
      <c r="R127" t="s">
        <v>1171</v>
      </c>
      <c r="S127" t="b">
        <v>1</v>
      </c>
      <c r="T127" t="b">
        <v>0</v>
      </c>
      <c r="U127" t="b">
        <v>0</v>
      </c>
      <c r="V127" t="b">
        <v>0</v>
      </c>
      <c r="W127" s="2" t="s">
        <v>1302</v>
      </c>
      <c r="X127" s="2"/>
      <c r="Y127" s="24">
        <v>119</v>
      </c>
      <c r="Z127">
        <f t="shared" si="20"/>
        <v>119</v>
      </c>
      <c r="AA127">
        <f t="shared" si="21"/>
        <v>119</v>
      </c>
      <c r="AB127">
        <f t="shared" si="22"/>
        <v>119</v>
      </c>
      <c r="AC127">
        <f t="shared" si="23"/>
        <v>0</v>
      </c>
      <c r="AD127">
        <f t="shared" si="24"/>
        <v>119</v>
      </c>
      <c r="AE127">
        <f t="shared" si="25"/>
        <v>119</v>
      </c>
      <c r="AF127">
        <f t="shared" si="26"/>
        <v>119</v>
      </c>
      <c r="AG127">
        <f t="shared" si="27"/>
        <v>119</v>
      </c>
      <c r="AH127">
        <f t="shared" si="28"/>
        <v>119</v>
      </c>
      <c r="AI127">
        <f t="shared" si="29"/>
        <v>119</v>
      </c>
      <c r="AJ127">
        <f t="shared" si="30"/>
        <v>0</v>
      </c>
      <c r="AK127">
        <f t="shared" si="31"/>
        <v>0</v>
      </c>
      <c r="AL127">
        <f t="shared" si="32"/>
        <v>0</v>
      </c>
      <c r="AM127">
        <f t="shared" si="33"/>
        <v>0</v>
      </c>
      <c r="AN127">
        <f t="shared" si="34"/>
        <v>119</v>
      </c>
      <c r="AO127">
        <f t="shared" si="35"/>
        <v>119</v>
      </c>
      <c r="AP127">
        <f t="shared" si="36"/>
        <v>119</v>
      </c>
      <c r="AQ127">
        <f t="shared" si="37"/>
        <v>119</v>
      </c>
      <c r="AR127" s="6">
        <f t="shared" si="38"/>
        <v>119</v>
      </c>
      <c r="AS127">
        <f t="shared" si="39"/>
        <v>119</v>
      </c>
      <c r="AV127" s="1" t="str">
        <f>IF(IFERROR(INDEX($A$9:$W$304,$AS127,COLUMNS($AV$9:AV126)),"")=0,"",IFERROR(INDEX($A$9:$W$304,$AS127,COLUMNS($AV$9:AV126)),""))</f>
        <v>High King</v>
      </c>
      <c r="AW127" s="1">
        <f>IFERROR(INDEX($A$9:$W$304,$AS127,COLUMNS($AV$9:AW126)),"")</f>
        <v>1</v>
      </c>
      <c r="AX127" s="1" t="str">
        <f>IF(IFERROR(INDEX($A$9:$X$304,$AS127,COLUMNS($AV$9:AX126)),"")=0,"",IFERROR(INDEX($A$9:$X$304,$AS127,COLUMNS($AV$9:AX126)),""))</f>
        <v>GOOD</v>
      </c>
      <c r="AY127" s="1" t="str">
        <f>IF(IFERROR(INDEX($A$9:$X$304,$AS127,COLUMNS($AV$9:AY126)),"")=0,"",IFERROR(INDEX($A$9:$X$304,$AS127,COLUMNS($AV$9:AY126)),""))</f>
        <v/>
      </c>
      <c r="AZ127" s="1" t="str">
        <f>IF(IFERROR(INDEX($A$9:$X$304,$AS127,COLUMNS($AV$9:AZ126)),"")=0,"",IFERROR(INDEX($A$9:$X$304,$AS127,COLUMNS($AV$9:AZ126)),""))</f>
        <v>CHAMPION</v>
      </c>
      <c r="BA127" s="1" t="str">
        <f>IF(IFERROR(INDEX($A$9:$X$304,$AS127,COLUMNS($AV$9:BA126)),"")=0,"",IFERROR(INDEX($A$9:$X$304,$AS127,COLUMNS($AV$9:BA126)),""))</f>
        <v/>
      </c>
      <c r="BB127" s="1">
        <f>IF(IFERROR(INDEX($A$9:$X$304,$AS127,COLUMNS($AV$9:BB126)),"")=0,"",IFERROR(INDEX($A$9:$X$304,$AS127,COLUMNS($AV$9:BB126)),""))</f>
        <v>1</v>
      </c>
      <c r="BC127" s="1" t="str">
        <f>IF(IFERROR(INDEX($A$9:$X$304,$AS127,COLUMNS($AV$9:BC126)),"")=0,"",IFERROR(INDEX($A$9:$X$304,$AS127,COLUMNS($AV$9:BC126)),""))</f>
        <v>Unbanishable</v>
      </c>
      <c r="BD127" s="1" t="str">
        <f>IF(IFERROR(INDEX($A$9:$X$304,$AS127,COLUMNS($AV$9:BD126)),"")=0,"",IFERROR(INDEX($A$9:$X$304,$AS127,COLUMNS($AV$9:BD126)),""))</f>
        <v>Loyalty 2 → Blitz</v>
      </c>
      <c r="BE127" s="1" t="str">
        <f>IF(IFERROR(INDEX($A$9:$X$304,$AS127,COLUMNS($AV$9:BE126)),"")=0,"",IFERROR(INDEX($A$9:$X$304,$AS127,COLUMNS($AV$9:BE126)),""))</f>
        <v>{expend}: Banish target champion.</v>
      </c>
      <c r="BF127" s="1" t="str">
        <f>IF(IFERROR(INDEX($A$9:$X$304,$AS127,COLUMNS($AV$9:BF126)),"")=0,"",IFERROR(INDEX($A$9:$X$304,$AS127,COLUMNS($AV$9:BF126)),""))</f>
        <v/>
      </c>
      <c r="BG127" s="1" t="str">
        <f>IF(IFERROR(INDEX($A$9:$X$304,$AS127,COLUMNS($AV$9:BG126)),"")=0,"",IFERROR(INDEX($A$9:$X$304,$AS127,COLUMNS($AV$9:BG126)),""))</f>
        <v/>
      </c>
      <c r="BH127" s="1" t="str">
        <f>IF(IFERROR(INDEX($A$9:$X$304,$AS127,COLUMNS($AV$9:BH126)),"")=0,"",IFERROR(INDEX($A$9:$X$304,$AS127,COLUMNS($AV$9:BH126)),""))</f>
        <v/>
      </c>
      <c r="BI127" s="1" t="str">
        <f>IF(IFERROR(INDEX($A$9:$X$304,$AS127,COLUMNS($AV$9:BI126)),"")=0,"",IFERROR(INDEX($A$9:$X$304,$AS127,COLUMNS($AV$9:BI126)),""))</f>
        <v/>
      </c>
      <c r="BJ127" s="1" t="str">
        <f>IF(IFERROR(INDEX($A$9:$X$304,$AS127,COLUMNS($AV$9:BJ126)),"")=0,"",IFERROR(INDEX($A$9:$X$304,$AS127,COLUMNS($AV$9:BJ126)),""))</f>
        <v>HUMAN</v>
      </c>
      <c r="BK127" s="1" t="str">
        <f>IF(IFERROR(INDEX($A$9:$X$304,$AS127,COLUMNS($AV$9:BK126)),"")=0,"",IFERROR(INDEX($A$9:$X$304,$AS127,COLUMNS($AV$9:BK126)),""))</f>
        <v>Common</v>
      </c>
      <c r="BL127" s="1" t="str">
        <f>IF(IFERROR(INDEX($A$9:$X$304,$AS127,COLUMNS($AV$9:BL126)),"")=0,"",IFERROR(INDEX($A$9:$X$304,$AS127,COLUMNS($AV$9:BL126)),""))</f>
        <v>L.Sean</v>
      </c>
      <c r="BM127" s="1" t="str">
        <f>IF(IFERROR(INDEX($A$9:$X$304,$AS127,COLUMNS($AV$9:BM126)),"")=0,"",IFERROR(INDEX($A$9:$X$304,$AS127,COLUMNS($AV$9:BM126)),""))</f>
        <v>Base Set</v>
      </c>
      <c r="BN127" s="3" t="b">
        <f>IF(IFERROR(INDEX($A$9:$X$304,$AS127,COLUMNS($AV$9:BN126)),"")=0,"",IFERROR(INDEX($A$9:$X$304,$AS127,COLUMNS($AV$9:BN126)),""))</f>
        <v>1</v>
      </c>
      <c r="BO127" s="3" t="b">
        <f>IF(IFERROR(INDEX($A$9:$X$304,$AS127,COLUMNS($AV$9:BO126)),"")=0,"",IFERROR(INDEX($A$9:$X$304,$AS127,COLUMNS($AV$9:BO126)),""))</f>
        <v>0</v>
      </c>
      <c r="BP127" s="3" t="b">
        <f>IF(IFERROR(INDEX($A$9:$X$304,$AS127,COLUMNS($AV$9:BP126)),"")=0,"",IFERROR(INDEX($A$9:$X$304,$AS127,COLUMNS($AV$9:BP126)),""))</f>
        <v>0</v>
      </c>
      <c r="BQ127" s="3" t="b">
        <f>IF(IFERROR(INDEX($A$9:$X$304,$AS127,COLUMNS($AV$9:BQ126)),"")=0,"",IFERROR(INDEX($A$9:$X$304,$AS127,COLUMNS($AV$9:BQ126)),""))</f>
        <v>0</v>
      </c>
      <c r="BR127" s="3" t="str">
        <f>IF(IFERROR(INDEX($A$9:$X$304,$AS127,COLUMNS($AV$9:BR126)),"")=0,"",IFERROR(INDEX($A$9:$X$304,$AS127,COLUMNS($AV$9:BR126)),""))</f>
        <v>http://www.epiccardgame.com/wp-content/uploads/2015/09/high_king-215x300.jpg</v>
      </c>
      <c r="BS127" s="3" t="str">
        <f>IF(IFERROR(INDEX($A$9:$X$304,$AS127,COLUMNS($AV$9:BS126)),"")=0,"",IFERROR(INDEX($A$9:$X$304,$AS127,COLUMNS($AV$9:BS126)),""))</f>
        <v/>
      </c>
      <c r="BT127" s="3"/>
      <c r="BU127" s="15"/>
      <c r="BV127" t="s">
        <v>148</v>
      </c>
    </row>
    <row r="128" spans="1:74" ht="225.2" customHeight="1" x14ac:dyDescent="0.25">
      <c r="A128" t="s">
        <v>444</v>
      </c>
      <c r="B128">
        <v>0</v>
      </c>
      <c r="C128" t="s">
        <v>615</v>
      </c>
      <c r="E128" t="s">
        <v>620</v>
      </c>
      <c r="F128">
        <v>8</v>
      </c>
      <c r="G128">
        <v>8</v>
      </c>
      <c r="H128" t="s">
        <v>686</v>
      </c>
      <c r="O128" t="s">
        <v>1089</v>
      </c>
      <c r="P128" t="s">
        <v>1112</v>
      </c>
      <c r="Q128" t="s">
        <v>1127</v>
      </c>
      <c r="R128" t="s">
        <v>1169</v>
      </c>
      <c r="S128" t="b">
        <v>0</v>
      </c>
      <c r="T128" t="b">
        <v>0</v>
      </c>
      <c r="U128" t="b">
        <v>0</v>
      </c>
      <c r="V128" t="b">
        <v>0</v>
      </c>
      <c r="W128" s="2" t="s">
        <v>1303</v>
      </c>
      <c r="X128" s="2"/>
      <c r="Y128" s="24">
        <v>120</v>
      </c>
      <c r="Z128">
        <f t="shared" si="20"/>
        <v>120</v>
      </c>
      <c r="AA128">
        <f t="shared" si="21"/>
        <v>120</v>
      </c>
      <c r="AB128">
        <f t="shared" si="22"/>
        <v>120</v>
      </c>
      <c r="AC128">
        <f t="shared" si="23"/>
        <v>0</v>
      </c>
      <c r="AD128">
        <f t="shared" si="24"/>
        <v>120</v>
      </c>
      <c r="AE128">
        <f t="shared" si="25"/>
        <v>120</v>
      </c>
      <c r="AF128">
        <f t="shared" si="26"/>
        <v>120</v>
      </c>
      <c r="AG128">
        <f t="shared" si="27"/>
        <v>120</v>
      </c>
      <c r="AH128">
        <f t="shared" si="28"/>
        <v>0</v>
      </c>
      <c r="AI128">
        <f t="shared" si="29"/>
        <v>0</v>
      </c>
      <c r="AJ128">
        <f t="shared" si="30"/>
        <v>0</v>
      </c>
      <c r="AK128">
        <f t="shared" si="31"/>
        <v>0</v>
      </c>
      <c r="AL128">
        <f t="shared" si="32"/>
        <v>0</v>
      </c>
      <c r="AM128">
        <f t="shared" si="33"/>
        <v>0</v>
      </c>
      <c r="AN128">
        <f t="shared" si="34"/>
        <v>120</v>
      </c>
      <c r="AO128">
        <f t="shared" si="35"/>
        <v>120</v>
      </c>
      <c r="AP128">
        <f t="shared" si="36"/>
        <v>120</v>
      </c>
      <c r="AQ128">
        <f t="shared" si="37"/>
        <v>120</v>
      </c>
      <c r="AR128" s="6">
        <f t="shared" si="38"/>
        <v>120</v>
      </c>
      <c r="AS128">
        <f t="shared" si="39"/>
        <v>120</v>
      </c>
      <c r="AV128" s="1" t="str">
        <f>IF(IFERROR(INDEX($A$9:$W$304,$AS128,COLUMNS($AV$9:AV127)),"")=0,"",IFERROR(INDEX($A$9:$W$304,$AS128,COLUMNS($AV$9:AV127)),""))</f>
        <v>Hill Giant</v>
      </c>
      <c r="AW128" s="1">
        <f>IFERROR(INDEX($A$9:$W$304,$AS128,COLUMNS($AV$9:AW127)),"")</f>
        <v>0</v>
      </c>
      <c r="AX128" s="1" t="str">
        <f>IF(IFERROR(INDEX($A$9:$X$304,$AS128,COLUMNS($AV$9:AX127)),"")=0,"",IFERROR(INDEX($A$9:$X$304,$AS128,COLUMNS($AV$9:AX127)),""))</f>
        <v>WILD</v>
      </c>
      <c r="AY128" s="1" t="str">
        <f>IF(IFERROR(INDEX($A$9:$X$304,$AS128,COLUMNS($AV$9:AY127)),"")=0,"",IFERROR(INDEX($A$9:$X$304,$AS128,COLUMNS($AV$9:AY127)),""))</f>
        <v/>
      </c>
      <c r="AZ128" s="1" t="str">
        <f>IF(IFERROR(INDEX($A$9:$X$304,$AS128,COLUMNS($AV$9:AZ127)),"")=0,"",IFERROR(INDEX($A$9:$X$304,$AS128,COLUMNS($AV$9:AZ127)),""))</f>
        <v>CHAMPION</v>
      </c>
      <c r="BA128" s="1">
        <f>IF(IFERROR(INDEX($A$9:$X$304,$AS128,COLUMNS($AV$9:BA127)),"")=0,"",IFERROR(INDEX($A$9:$X$304,$AS128,COLUMNS($AV$9:BA127)),""))</f>
        <v>8</v>
      </c>
      <c r="BB128" s="1">
        <f>IF(IFERROR(INDEX($A$9:$X$304,$AS128,COLUMNS($AV$9:BB127)),"")=0,"",IFERROR(INDEX($A$9:$X$304,$AS128,COLUMNS($AV$9:BB127)),""))</f>
        <v>8</v>
      </c>
      <c r="BC128" s="1" t="str">
        <f>IF(IFERROR(INDEX($A$9:$X$304,$AS128,COLUMNS($AV$9:BC127)),"")=0,"",IFERROR(INDEX($A$9:$X$304,$AS128,COLUMNS($AV$9:BC127)),""))</f>
        <v>Small for a giant . I said he was small for a giant .</v>
      </c>
      <c r="BD128" s="1" t="str">
        <f>IF(IFERROR(INDEX($A$9:$X$304,$AS128,COLUMNS($AV$9:BD127)),"")=0,"",IFERROR(INDEX($A$9:$X$304,$AS128,COLUMNS($AV$9:BD127)),""))</f>
        <v/>
      </c>
      <c r="BE128" s="1" t="str">
        <f>IF(IFERROR(INDEX($A$9:$X$304,$AS128,COLUMNS($AV$9:BE127)),"")=0,"",IFERROR(INDEX($A$9:$X$304,$AS128,COLUMNS($AV$9:BE127)),""))</f>
        <v/>
      </c>
      <c r="BF128" s="1" t="str">
        <f>IF(IFERROR(INDEX($A$9:$X$304,$AS128,COLUMNS($AV$9:BF127)),"")=0,"",IFERROR(INDEX($A$9:$X$304,$AS128,COLUMNS($AV$9:BF127)),""))</f>
        <v/>
      </c>
      <c r="BG128" s="1" t="str">
        <f>IF(IFERROR(INDEX($A$9:$X$304,$AS128,COLUMNS($AV$9:BG127)),"")=0,"",IFERROR(INDEX($A$9:$X$304,$AS128,COLUMNS($AV$9:BG127)),""))</f>
        <v/>
      </c>
      <c r="BH128" s="1" t="str">
        <f>IF(IFERROR(INDEX($A$9:$X$304,$AS128,COLUMNS($AV$9:BH127)),"")=0,"",IFERROR(INDEX($A$9:$X$304,$AS128,COLUMNS($AV$9:BH127)),""))</f>
        <v/>
      </c>
      <c r="BI128" s="1" t="str">
        <f>IF(IFERROR(INDEX($A$9:$X$304,$AS128,COLUMNS($AV$9:BI127)),"")=0,"",IFERROR(INDEX($A$9:$X$304,$AS128,COLUMNS($AV$9:BI127)),""))</f>
        <v/>
      </c>
      <c r="BJ128" s="1" t="str">
        <f>IF(IFERROR(INDEX($A$9:$X$304,$AS128,COLUMNS($AV$9:BJ127)),"")=0,"",IFERROR(INDEX($A$9:$X$304,$AS128,COLUMNS($AV$9:BJ127)),""))</f>
        <v>GIANT</v>
      </c>
      <c r="BK128" s="1" t="str">
        <f>IF(IFERROR(INDEX($A$9:$X$304,$AS128,COLUMNS($AV$9:BK127)),"")=0,"",IFERROR(INDEX($A$9:$X$304,$AS128,COLUMNS($AV$9:BK127)),""))</f>
        <v>Common</v>
      </c>
      <c r="BL128" s="1" t="str">
        <f>IF(IFERROR(INDEX($A$9:$X$304,$AS128,COLUMNS($AV$9:BL127)),"")=0,"",IFERROR(INDEX($A$9:$X$304,$AS128,COLUMNS($AV$9:BL127)),""))</f>
        <v>Johnny Morrow</v>
      </c>
      <c r="BM128" s="1" t="str">
        <f>IF(IFERROR(INDEX($A$9:$X$304,$AS128,COLUMNS($AV$9:BM127)),"")=0,"",IFERROR(INDEX($A$9:$X$304,$AS128,COLUMNS($AV$9:BM127)),""))</f>
        <v>Kickstarter Promo</v>
      </c>
      <c r="BN128" s="3" t="b">
        <f>IF(IFERROR(INDEX($A$9:$X$304,$AS128,COLUMNS($AV$9:BN127)),"")=0,"",IFERROR(INDEX($A$9:$X$304,$AS128,COLUMNS($AV$9:BN127)),""))</f>
        <v>0</v>
      </c>
      <c r="BO128" s="3" t="b">
        <f>IF(IFERROR(INDEX($A$9:$X$304,$AS128,COLUMNS($AV$9:BO127)),"")=0,"",IFERROR(INDEX($A$9:$X$304,$AS128,COLUMNS($AV$9:BO127)),""))</f>
        <v>0</v>
      </c>
      <c r="BP128" s="3" t="b">
        <f>IF(IFERROR(INDEX($A$9:$X$304,$AS128,COLUMNS($AV$9:BP127)),"")=0,"",IFERROR(INDEX($A$9:$X$304,$AS128,COLUMNS($AV$9:BP127)),""))</f>
        <v>0</v>
      </c>
      <c r="BQ128" s="3" t="b">
        <f>IF(IFERROR(INDEX($A$9:$X$304,$AS128,COLUMNS($AV$9:BQ127)),"")=0,"",IFERROR(INDEX($A$9:$X$304,$AS128,COLUMNS($AV$9:BQ127)),""))</f>
        <v>0</v>
      </c>
      <c r="BR128" s="3" t="str">
        <f>IF(IFERROR(INDEX($A$9:$X$304,$AS128,COLUMNS($AV$9:BR127)),"")=0,"",IFERROR(INDEX($A$9:$X$304,$AS128,COLUMNS($AV$9:BR127)),""))</f>
        <v>http://www.epiccardgame.com/wp-content/uploads/2015/09/hill_giant-215x300.jpg</v>
      </c>
      <c r="BS128" s="3" t="str">
        <f>IF(IFERROR(INDEX($A$9:$X$304,$AS128,COLUMNS($AV$9:BS127)),"")=0,"",IFERROR(INDEX($A$9:$X$304,$AS128,COLUMNS($AV$9:BS127)),""))</f>
        <v/>
      </c>
      <c r="BT128" s="3"/>
      <c r="BU128" s="15"/>
      <c r="BV128" t="s">
        <v>149</v>
      </c>
    </row>
    <row r="129" spans="1:74" ht="225" customHeight="1" x14ac:dyDescent="0.25">
      <c r="A129" t="s">
        <v>445</v>
      </c>
      <c r="B129">
        <v>0</v>
      </c>
      <c r="C129" t="s">
        <v>617</v>
      </c>
      <c r="E129" t="s">
        <v>622</v>
      </c>
      <c r="F129">
        <v>1</v>
      </c>
      <c r="G129">
        <v>1</v>
      </c>
      <c r="H129" t="s">
        <v>687</v>
      </c>
      <c r="O129" t="s">
        <v>1096</v>
      </c>
      <c r="Q129" t="s">
        <v>1124</v>
      </c>
      <c r="S129" t="b">
        <v>0</v>
      </c>
      <c r="T129" t="b">
        <v>0</v>
      </c>
      <c r="U129" t="b">
        <v>0</v>
      </c>
      <c r="V129" t="b">
        <v>0</v>
      </c>
      <c r="W129" s="2" t="s">
        <v>1304</v>
      </c>
      <c r="X129" s="2"/>
      <c r="Y129" s="24">
        <v>121</v>
      </c>
      <c r="Z129">
        <f t="shared" si="20"/>
        <v>121</v>
      </c>
      <c r="AA129">
        <f t="shared" si="21"/>
        <v>121</v>
      </c>
      <c r="AB129">
        <f t="shared" si="22"/>
        <v>121</v>
      </c>
      <c r="AC129">
        <f t="shared" si="23"/>
        <v>0</v>
      </c>
      <c r="AD129">
        <f t="shared" si="24"/>
        <v>121</v>
      </c>
      <c r="AE129">
        <f t="shared" si="25"/>
        <v>121</v>
      </c>
      <c r="AF129">
        <f t="shared" si="26"/>
        <v>121</v>
      </c>
      <c r="AG129">
        <f t="shared" si="27"/>
        <v>121</v>
      </c>
      <c r="AH129">
        <f t="shared" si="28"/>
        <v>0</v>
      </c>
      <c r="AI129">
        <f t="shared" si="29"/>
        <v>0</v>
      </c>
      <c r="AJ129">
        <f t="shared" si="30"/>
        <v>0</v>
      </c>
      <c r="AK129">
        <f t="shared" si="31"/>
        <v>0</v>
      </c>
      <c r="AL129">
        <f t="shared" si="32"/>
        <v>0</v>
      </c>
      <c r="AM129">
        <f t="shared" si="33"/>
        <v>0</v>
      </c>
      <c r="AN129">
        <f t="shared" si="34"/>
        <v>121</v>
      </c>
      <c r="AO129">
        <f t="shared" si="35"/>
        <v>0</v>
      </c>
      <c r="AP129">
        <f t="shared" si="36"/>
        <v>121</v>
      </c>
      <c r="AQ129">
        <f t="shared" si="37"/>
        <v>0</v>
      </c>
      <c r="AR129" s="6">
        <f t="shared" si="38"/>
        <v>121</v>
      </c>
      <c r="AS129">
        <f t="shared" si="39"/>
        <v>121</v>
      </c>
      <c r="AV129" s="1" t="str">
        <f>IF(IFERROR(INDEX($A$9:$W$304,$AS129,COLUMNS($AV$9:AV128)),"")=0,"",IFERROR(INDEX($A$9:$W$304,$AS129,COLUMNS($AV$9:AV128)),""))</f>
        <v>Human Token</v>
      </c>
      <c r="AW129" s="1">
        <f>IFERROR(INDEX($A$9:$W$304,$AS129,COLUMNS($AV$9:AW128)),"")</f>
        <v>0</v>
      </c>
      <c r="AX129" s="1" t="str">
        <f>IF(IFERROR(INDEX($A$9:$X$304,$AS129,COLUMNS($AV$9:AX128)),"")=0,"",IFERROR(INDEX($A$9:$X$304,$AS129,COLUMNS($AV$9:AX128)),""))</f>
        <v>GOOD</v>
      </c>
      <c r="AY129" s="1" t="str">
        <f>IF(IFERROR(INDEX($A$9:$X$304,$AS129,COLUMNS($AV$9:AY128)),"")=0,"",IFERROR(INDEX($A$9:$X$304,$AS129,COLUMNS($AV$9:AY128)),""))</f>
        <v/>
      </c>
      <c r="AZ129" s="1" t="str">
        <f>IF(IFERROR(INDEX($A$9:$X$304,$AS129,COLUMNS($AV$9:AZ128)),"")=0,"",IFERROR(INDEX($A$9:$X$304,$AS129,COLUMNS($AV$9:AZ128)),""))</f>
        <v>TOKEN CHAMPION</v>
      </c>
      <c r="BA129" s="1">
        <f>IF(IFERROR(INDEX($A$9:$X$304,$AS129,COLUMNS($AV$9:BA128)),"")=0,"",IFERROR(INDEX($A$9:$X$304,$AS129,COLUMNS($AV$9:BA128)),""))</f>
        <v>1</v>
      </c>
      <c r="BB129" s="1">
        <f>IF(IFERROR(INDEX($A$9:$X$304,$AS129,COLUMNS($AV$9:BB128)),"")=0,"",IFERROR(INDEX($A$9:$X$304,$AS129,COLUMNS($AV$9:BB128)),""))</f>
        <v>1</v>
      </c>
      <c r="BC129" s="1" t="str">
        <f>IF(IFERROR(INDEX($A$9:$X$304,$AS129,COLUMNS($AV$9:BC128)),"")=0,"",IFERROR(INDEX($A$9:$X$304,$AS129,COLUMNS($AV$9:BC128)),""))</f>
        <v>They are the talons of the Silver Wing's claw.</v>
      </c>
      <c r="BD129" s="1" t="str">
        <f>IF(IFERROR(INDEX($A$9:$X$304,$AS129,COLUMNS($AV$9:BD128)),"")=0,"",IFERROR(INDEX($A$9:$X$304,$AS129,COLUMNS($AV$9:BD128)),""))</f>
        <v/>
      </c>
      <c r="BE129" s="1" t="str">
        <f>IF(IFERROR(INDEX($A$9:$X$304,$AS129,COLUMNS($AV$9:BE128)),"")=0,"",IFERROR(INDEX($A$9:$X$304,$AS129,COLUMNS($AV$9:BE128)),""))</f>
        <v/>
      </c>
      <c r="BF129" s="1" t="str">
        <f>IF(IFERROR(INDEX($A$9:$X$304,$AS129,COLUMNS($AV$9:BF128)),"")=0,"",IFERROR(INDEX($A$9:$X$304,$AS129,COLUMNS($AV$9:BF128)),""))</f>
        <v/>
      </c>
      <c r="BG129" s="1" t="str">
        <f>IF(IFERROR(INDEX($A$9:$X$304,$AS129,COLUMNS($AV$9:BG128)),"")=0,"",IFERROR(INDEX($A$9:$X$304,$AS129,COLUMNS($AV$9:BG128)),""))</f>
        <v/>
      </c>
      <c r="BH129" s="1" t="str">
        <f>IF(IFERROR(INDEX($A$9:$X$304,$AS129,COLUMNS($AV$9:BH128)),"")=0,"",IFERROR(INDEX($A$9:$X$304,$AS129,COLUMNS($AV$9:BH128)),""))</f>
        <v/>
      </c>
      <c r="BI129" s="1" t="str">
        <f>IF(IFERROR(INDEX($A$9:$X$304,$AS129,COLUMNS($AV$9:BI128)),"")=0,"",IFERROR(INDEX($A$9:$X$304,$AS129,COLUMNS($AV$9:BI128)),""))</f>
        <v/>
      </c>
      <c r="BJ129" s="1" t="str">
        <f>IF(IFERROR(INDEX($A$9:$X$304,$AS129,COLUMNS($AV$9:BJ128)),"")=0,"",IFERROR(INDEX($A$9:$X$304,$AS129,COLUMNS($AV$9:BJ128)),""))</f>
        <v>HUMAN TOKEN</v>
      </c>
      <c r="BK129" s="1" t="str">
        <f>IF(IFERROR(INDEX($A$9:$X$304,$AS129,COLUMNS($AV$9:BK128)),"")=0,"",IFERROR(INDEX($A$9:$X$304,$AS129,COLUMNS($AV$9:BK128)),""))</f>
        <v/>
      </c>
      <c r="BL129" s="1" t="str">
        <f>IF(IFERROR(INDEX($A$9:$X$304,$AS129,COLUMNS($AV$9:BL128)),"")=0,"",IFERROR(INDEX($A$9:$X$304,$AS129,COLUMNS($AV$9:BL128)),""))</f>
        <v>Souveraine</v>
      </c>
      <c r="BM129" s="1" t="str">
        <f>IF(IFERROR(INDEX($A$9:$X$304,$AS129,COLUMNS($AV$9:BM128)),"")=0,"",IFERROR(INDEX($A$9:$X$304,$AS129,COLUMNS($AV$9:BM128)),""))</f>
        <v/>
      </c>
      <c r="BN129" s="3" t="b">
        <f>IF(IFERROR(INDEX($A$9:$X$304,$AS129,COLUMNS($AV$9:BN128)),"")=0,"",IFERROR(INDEX($A$9:$X$304,$AS129,COLUMNS($AV$9:BN128)),""))</f>
        <v>0</v>
      </c>
      <c r="BO129" s="3" t="b">
        <f>IF(IFERROR(INDEX($A$9:$X$304,$AS129,COLUMNS($AV$9:BO128)),"")=0,"",IFERROR(INDEX($A$9:$X$304,$AS129,COLUMNS($AV$9:BO128)),""))</f>
        <v>0</v>
      </c>
      <c r="BP129" s="3" t="b">
        <f>IF(IFERROR(INDEX($A$9:$X$304,$AS129,COLUMNS($AV$9:BP128)),"")=0,"",IFERROR(INDEX($A$9:$X$304,$AS129,COLUMNS($AV$9:BP128)),""))</f>
        <v>0</v>
      </c>
      <c r="BQ129" s="3" t="b">
        <f>IF(IFERROR(INDEX($A$9:$X$304,$AS129,COLUMNS($AV$9:BQ128)),"")=0,"",IFERROR(INDEX($A$9:$X$304,$AS129,COLUMNS($AV$9:BQ128)),""))</f>
        <v>0</v>
      </c>
      <c r="BR129" s="3" t="str">
        <f>IF(IFERROR(INDEX($A$9:$X$304,$AS129,COLUMNS($AV$9:BR128)),"")=0,"",IFERROR(INDEX($A$9:$X$304,$AS129,COLUMNS($AV$9:BR128)),""))</f>
        <v>https://www.epiccardgame.com/wp-content/uploads/2017/11/PNG-EN-18-human-token-back.jpg</v>
      </c>
      <c r="BS129" s="3" t="str">
        <f>IF(IFERROR(INDEX($A$9:$X$304,$AS129,COLUMNS($AV$9:BS128)),"")=0,"",IFERROR(INDEX($A$9:$X$304,$AS129,COLUMNS($AV$9:BS128)),""))</f>
        <v/>
      </c>
      <c r="BT129" s="3"/>
      <c r="BU129" s="15"/>
      <c r="BV129" t="s">
        <v>150</v>
      </c>
    </row>
    <row r="130" spans="1:74" ht="225.2" customHeight="1" x14ac:dyDescent="0.25">
      <c r="A130" t="s">
        <v>446</v>
      </c>
      <c r="B130">
        <v>1</v>
      </c>
      <c r="C130" t="s">
        <v>615</v>
      </c>
      <c r="E130" t="s">
        <v>619</v>
      </c>
      <c r="H130" t="s">
        <v>688</v>
      </c>
      <c r="I130" t="s">
        <v>847</v>
      </c>
      <c r="O130" t="s">
        <v>1062</v>
      </c>
      <c r="P130" t="s">
        <v>1112</v>
      </c>
      <c r="Q130" t="s">
        <v>1116</v>
      </c>
      <c r="R130" t="s">
        <v>1180</v>
      </c>
      <c r="S130" t="b">
        <v>1</v>
      </c>
      <c r="T130" t="b">
        <v>0</v>
      </c>
      <c r="U130" t="b">
        <v>0</v>
      </c>
      <c r="V130" t="b">
        <v>0</v>
      </c>
      <c r="W130" s="2" t="s">
        <v>1305</v>
      </c>
      <c r="X130" s="2"/>
      <c r="Y130" s="24">
        <v>122</v>
      </c>
      <c r="Z130">
        <f t="shared" si="20"/>
        <v>122</v>
      </c>
      <c r="AA130">
        <f t="shared" si="21"/>
        <v>122</v>
      </c>
      <c r="AB130">
        <f t="shared" si="22"/>
        <v>122</v>
      </c>
      <c r="AC130">
        <f t="shared" si="23"/>
        <v>0</v>
      </c>
      <c r="AD130">
        <f t="shared" si="24"/>
        <v>122</v>
      </c>
      <c r="AE130">
        <f t="shared" si="25"/>
        <v>0</v>
      </c>
      <c r="AF130">
        <f t="shared" si="26"/>
        <v>0</v>
      </c>
      <c r="AG130">
        <f t="shared" si="27"/>
        <v>122</v>
      </c>
      <c r="AH130">
        <f t="shared" si="28"/>
        <v>122</v>
      </c>
      <c r="AI130">
        <f t="shared" si="29"/>
        <v>0</v>
      </c>
      <c r="AJ130">
        <f t="shared" si="30"/>
        <v>0</v>
      </c>
      <c r="AK130">
        <f t="shared" si="31"/>
        <v>0</v>
      </c>
      <c r="AL130">
        <f t="shared" si="32"/>
        <v>0</v>
      </c>
      <c r="AM130">
        <f t="shared" si="33"/>
        <v>0</v>
      </c>
      <c r="AN130">
        <f t="shared" si="34"/>
        <v>122</v>
      </c>
      <c r="AO130">
        <f t="shared" si="35"/>
        <v>122</v>
      </c>
      <c r="AP130">
        <f t="shared" si="36"/>
        <v>122</v>
      </c>
      <c r="AQ130">
        <f t="shared" si="37"/>
        <v>122</v>
      </c>
      <c r="AR130" s="6">
        <f t="shared" si="38"/>
        <v>122</v>
      </c>
      <c r="AS130">
        <f t="shared" si="39"/>
        <v>122</v>
      </c>
      <c r="AV130" s="1" t="str">
        <f>IF(IFERROR(INDEX($A$9:$W$304,$AS130,COLUMNS($AV$9:AV129)),"")=0,"",IFERROR(INDEX($A$9:$W$304,$AS130,COLUMNS($AV$9:AV129)),""))</f>
        <v>Hunting Pack</v>
      </c>
      <c r="AW130" s="1">
        <f>IFERROR(INDEX($A$9:$W$304,$AS130,COLUMNS($AV$9:AW129)),"")</f>
        <v>1</v>
      </c>
      <c r="AX130" s="1" t="str">
        <f>IF(IFERROR(INDEX($A$9:$X$304,$AS130,COLUMNS($AV$9:AX129)),"")=0,"",IFERROR(INDEX($A$9:$X$304,$AS130,COLUMNS($AV$9:AX129)),""))</f>
        <v>WILD</v>
      </c>
      <c r="AY130" s="1" t="str">
        <f>IF(IFERROR(INDEX($A$9:$X$304,$AS130,COLUMNS($AV$9:AY129)),"")=0,"",IFERROR(INDEX($A$9:$X$304,$AS130,COLUMNS($AV$9:AY129)),""))</f>
        <v/>
      </c>
      <c r="AZ130" s="1" t="str">
        <f>IF(IFERROR(INDEX($A$9:$X$304,$AS130,COLUMNS($AV$9:AZ129)),"")=0,"",IFERROR(INDEX($A$9:$X$304,$AS130,COLUMNS($AV$9:AZ129)),""))</f>
        <v>EVENT</v>
      </c>
      <c r="BA130" s="1" t="str">
        <f>IF(IFERROR(INDEX($A$9:$X$304,$AS130,COLUMNS($AV$9:BA129)),"")=0,"",IFERROR(INDEX($A$9:$X$304,$AS130,COLUMNS($AV$9:BA129)),""))</f>
        <v/>
      </c>
      <c r="BB130" s="1" t="str">
        <f>IF(IFERROR(INDEX($A$9:$X$304,$AS130,COLUMNS($AV$9:BB129)),"")=0,"",IFERROR(INDEX($A$9:$X$304,$AS130,COLUMNS($AV$9:BB129)),""))</f>
        <v/>
      </c>
      <c r="BC130" s="1" t="str">
        <f>IF(IFERROR(INDEX($A$9:$X$304,$AS130,COLUMNS($AV$9:BC129)),"")=0,"",IFERROR(INDEX($A$9:$X$304,$AS130,COLUMNS($AV$9:BC129)),""))</f>
        <v>Put three wolf tokens into play.</v>
      </c>
      <c r="BD130" s="1" t="str">
        <f>IF(IFERROR(INDEX($A$9:$X$304,$AS130,COLUMNS($AV$9:BD129)),"")=0,"",IFERROR(INDEX($A$9:$X$304,$AS130,COLUMNS($AV$9:BD129)),""))</f>
        <v>Target a champion. You may deal 2 damage to it for each wolf you have in play.</v>
      </c>
      <c r="BE130" s="1" t="str">
        <f>IF(IFERROR(INDEX($A$9:$X$304,$AS130,COLUMNS($AV$9:BE129)),"")=0,"",IFERROR(INDEX($A$9:$X$304,$AS130,COLUMNS($AV$9:BE129)),""))</f>
        <v/>
      </c>
      <c r="BF130" s="1" t="str">
        <f>IF(IFERROR(INDEX($A$9:$X$304,$AS130,COLUMNS($AV$9:BF129)),"")=0,"",IFERROR(INDEX($A$9:$X$304,$AS130,COLUMNS($AV$9:BF129)),""))</f>
        <v/>
      </c>
      <c r="BG130" s="1" t="str">
        <f>IF(IFERROR(INDEX($A$9:$X$304,$AS130,COLUMNS($AV$9:BG129)),"")=0,"",IFERROR(INDEX($A$9:$X$304,$AS130,COLUMNS($AV$9:BG129)),""))</f>
        <v/>
      </c>
      <c r="BH130" s="1" t="str">
        <f>IF(IFERROR(INDEX($A$9:$X$304,$AS130,COLUMNS($AV$9:BH129)),"")=0,"",IFERROR(INDEX($A$9:$X$304,$AS130,COLUMNS($AV$9:BH129)),""))</f>
        <v/>
      </c>
      <c r="BI130" s="1" t="str">
        <f>IF(IFERROR(INDEX($A$9:$X$304,$AS130,COLUMNS($AV$9:BI129)),"")=0,"",IFERROR(INDEX($A$9:$X$304,$AS130,COLUMNS($AV$9:BI129)),""))</f>
        <v/>
      </c>
      <c r="BJ130" s="1" t="str">
        <f>IF(IFERROR(INDEX($A$9:$X$304,$AS130,COLUMNS($AV$9:BJ129)),"")=0,"",IFERROR(INDEX($A$9:$X$304,$AS130,COLUMNS($AV$9:BJ129)),""))</f>
        <v>None</v>
      </c>
      <c r="BK130" s="1" t="str">
        <f>IF(IFERROR(INDEX($A$9:$X$304,$AS130,COLUMNS($AV$9:BK129)),"")=0,"",IFERROR(INDEX($A$9:$X$304,$AS130,COLUMNS($AV$9:BK129)),""))</f>
        <v>Common</v>
      </c>
      <c r="BL130" s="1" t="str">
        <f>IF(IFERROR(INDEX($A$9:$X$304,$AS130,COLUMNS($AV$9:BL129)),"")=0,"",IFERROR(INDEX($A$9:$X$304,$AS130,COLUMNS($AV$9:BL129)),""))</f>
        <v>Apsara</v>
      </c>
      <c r="BM130" s="1" t="str">
        <f>IF(IFERROR(INDEX($A$9:$X$304,$AS130,COLUMNS($AV$9:BM129)),"")=0,"",IFERROR(INDEX($A$9:$X$304,$AS130,COLUMNS($AV$9:BM129)),""))</f>
        <v>Uprising: Flames of Scarros</v>
      </c>
      <c r="BN130" s="3" t="b">
        <f>IF(IFERROR(INDEX($A$9:$X$304,$AS130,COLUMNS($AV$9:BN129)),"")=0,"",IFERROR(INDEX($A$9:$X$304,$AS130,COLUMNS($AV$9:BN129)),""))</f>
        <v>1</v>
      </c>
      <c r="BO130" s="3" t="b">
        <f>IF(IFERROR(INDEX($A$9:$X$304,$AS130,COLUMNS($AV$9:BO129)),"")=0,"",IFERROR(INDEX($A$9:$X$304,$AS130,COLUMNS($AV$9:BO129)),""))</f>
        <v>0</v>
      </c>
      <c r="BP130" s="3" t="b">
        <f>IF(IFERROR(INDEX($A$9:$X$304,$AS130,COLUMNS($AV$9:BP129)),"")=0,"",IFERROR(INDEX($A$9:$X$304,$AS130,COLUMNS($AV$9:BP129)),""))</f>
        <v>0</v>
      </c>
      <c r="BQ130" s="3" t="b">
        <f>IF(IFERROR(INDEX($A$9:$X$304,$AS130,COLUMNS($AV$9:BQ129)),"")=0,"",IFERROR(INDEX($A$9:$X$304,$AS130,COLUMNS($AV$9:BQ129)),""))</f>
        <v>0</v>
      </c>
      <c r="BR130" s="3" t="str">
        <f>IF(IFERROR(INDEX($A$9:$X$304,$AS130,COLUMNS($AV$9:BR129)),"")=0,"",IFERROR(INDEX($A$9:$X$304,$AS130,COLUMNS($AV$9:BR129)),""))</f>
        <v>https://www.epiccardgame.com/wp-content/uploads/2017/11/UPS-EN-hunting-pack.jpg</v>
      </c>
      <c r="BS130" s="3" t="str">
        <f>IF(IFERROR(INDEX($A$9:$X$304,$AS130,COLUMNS($AV$9:BS129)),"")=0,"",IFERROR(INDEX($A$9:$X$304,$AS130,COLUMNS($AV$9:BS129)),""))</f>
        <v/>
      </c>
      <c r="BT130" s="3"/>
      <c r="BU130" s="15"/>
      <c r="BV130" t="s">
        <v>151</v>
      </c>
    </row>
    <row r="131" spans="1:74" ht="225.2" customHeight="1" x14ac:dyDescent="0.25">
      <c r="A131" t="s">
        <v>447</v>
      </c>
      <c r="B131">
        <v>0</v>
      </c>
      <c r="C131" t="s">
        <v>615</v>
      </c>
      <c r="E131" t="s">
        <v>620</v>
      </c>
      <c r="F131">
        <v>4</v>
      </c>
      <c r="G131">
        <v>3</v>
      </c>
      <c r="H131" t="s">
        <v>689</v>
      </c>
      <c r="I131" t="s">
        <v>848</v>
      </c>
      <c r="O131" t="s">
        <v>1066</v>
      </c>
      <c r="P131" t="s">
        <v>1113</v>
      </c>
      <c r="Q131" t="s">
        <v>1117</v>
      </c>
      <c r="R131" t="s">
        <v>1169</v>
      </c>
      <c r="S131" t="b">
        <v>0</v>
      </c>
      <c r="T131" t="b">
        <v>0</v>
      </c>
      <c r="U131" t="b">
        <v>0</v>
      </c>
      <c r="V131" t="b">
        <v>0</v>
      </c>
      <c r="W131" s="2" t="s">
        <v>1306</v>
      </c>
      <c r="X131" s="2"/>
      <c r="Y131" s="24">
        <v>123</v>
      </c>
      <c r="Z131">
        <f t="shared" si="20"/>
        <v>123</v>
      </c>
      <c r="AA131">
        <f t="shared" si="21"/>
        <v>123</v>
      </c>
      <c r="AB131">
        <f t="shared" si="22"/>
        <v>123</v>
      </c>
      <c r="AC131">
        <f t="shared" si="23"/>
        <v>0</v>
      </c>
      <c r="AD131">
        <f t="shared" si="24"/>
        <v>123</v>
      </c>
      <c r="AE131">
        <f t="shared" si="25"/>
        <v>123</v>
      </c>
      <c r="AF131">
        <f t="shared" si="26"/>
        <v>123</v>
      </c>
      <c r="AG131">
        <f t="shared" si="27"/>
        <v>123</v>
      </c>
      <c r="AH131">
        <f t="shared" si="28"/>
        <v>123</v>
      </c>
      <c r="AI131">
        <f t="shared" si="29"/>
        <v>0</v>
      </c>
      <c r="AJ131">
        <f t="shared" si="30"/>
        <v>0</v>
      </c>
      <c r="AK131">
        <f t="shared" si="31"/>
        <v>0</v>
      </c>
      <c r="AL131">
        <f t="shared" si="32"/>
        <v>0</v>
      </c>
      <c r="AM131">
        <f t="shared" si="33"/>
        <v>0</v>
      </c>
      <c r="AN131">
        <f t="shared" si="34"/>
        <v>123</v>
      </c>
      <c r="AO131">
        <f t="shared" si="35"/>
        <v>123</v>
      </c>
      <c r="AP131">
        <f t="shared" si="36"/>
        <v>123</v>
      </c>
      <c r="AQ131">
        <f t="shared" si="37"/>
        <v>123</v>
      </c>
      <c r="AR131" s="6">
        <f t="shared" si="38"/>
        <v>123</v>
      </c>
      <c r="AS131">
        <f t="shared" si="39"/>
        <v>123</v>
      </c>
      <c r="AV131" s="1" t="str">
        <f>IF(IFERROR(INDEX($A$9:$W$304,$AS131,COLUMNS($AV$9:AV130)),"")=0,"",IFERROR(INDEX($A$9:$W$304,$AS131,COLUMNS($AV$9:AV130)),""))</f>
        <v>Hunting Pterosaur</v>
      </c>
      <c r="AW131" s="1">
        <f>IFERROR(INDEX($A$9:$W$304,$AS131,COLUMNS($AV$9:AW130)),"")</f>
        <v>0</v>
      </c>
      <c r="AX131" s="1" t="str">
        <f>IF(IFERROR(INDEX($A$9:$X$304,$AS131,COLUMNS($AV$9:AX130)),"")=0,"",IFERROR(INDEX($A$9:$X$304,$AS131,COLUMNS($AV$9:AX130)),""))</f>
        <v>WILD</v>
      </c>
      <c r="AY131" s="1" t="str">
        <f>IF(IFERROR(INDEX($A$9:$X$304,$AS131,COLUMNS($AV$9:AY130)),"")=0,"",IFERROR(INDEX($A$9:$X$304,$AS131,COLUMNS($AV$9:AY130)),""))</f>
        <v/>
      </c>
      <c r="AZ131" s="1" t="str">
        <f>IF(IFERROR(INDEX($A$9:$X$304,$AS131,COLUMNS($AV$9:AZ130)),"")=0,"",IFERROR(INDEX($A$9:$X$304,$AS131,COLUMNS($AV$9:AZ130)),""))</f>
        <v>CHAMPION</v>
      </c>
      <c r="BA131" s="1">
        <f>IF(IFERROR(INDEX($A$9:$X$304,$AS131,COLUMNS($AV$9:BA130)),"")=0,"",IFERROR(INDEX($A$9:$X$304,$AS131,COLUMNS($AV$9:BA130)),""))</f>
        <v>4</v>
      </c>
      <c r="BB131" s="1">
        <f>IF(IFERROR(INDEX($A$9:$X$304,$AS131,COLUMNS($AV$9:BB130)),"")=0,"",IFERROR(INDEX($A$9:$X$304,$AS131,COLUMNS($AV$9:BB130)),""))</f>
        <v>3</v>
      </c>
      <c r="BC131" s="1" t="str">
        <f>IF(IFERROR(INDEX($A$9:$X$304,$AS131,COLUMNS($AV$9:BC130)),"")=0,"",IFERROR(INDEX($A$9:$X$304,$AS131,COLUMNS($AV$9:BC130)),""))</f>
        <v>Ambush ◆ Airborne</v>
      </c>
      <c r="BD131" s="1" t="str">
        <f>IF(IFERROR(INDEX($A$9:$X$304,$AS131,COLUMNS($AV$9:BD130)),"")=0,"",IFERROR(INDEX($A$9:$X$304,$AS131,COLUMNS($AV$9:BD130)),""))</f>
        <v>Tribute → You may break target champion with 2 {defense} or less.</v>
      </c>
      <c r="BE131" s="1" t="str">
        <f>IF(IFERROR(INDEX($A$9:$X$304,$AS131,COLUMNS($AV$9:BE130)),"")=0,"",IFERROR(INDEX($A$9:$X$304,$AS131,COLUMNS($AV$9:BE130)),""))</f>
        <v/>
      </c>
      <c r="BF131" s="1" t="str">
        <f>IF(IFERROR(INDEX($A$9:$X$304,$AS131,COLUMNS($AV$9:BF130)),"")=0,"",IFERROR(INDEX($A$9:$X$304,$AS131,COLUMNS($AV$9:BF130)),""))</f>
        <v/>
      </c>
      <c r="BG131" s="1" t="str">
        <f>IF(IFERROR(INDEX($A$9:$X$304,$AS131,COLUMNS($AV$9:BG130)),"")=0,"",IFERROR(INDEX($A$9:$X$304,$AS131,COLUMNS($AV$9:BG130)),""))</f>
        <v/>
      </c>
      <c r="BH131" s="1" t="str">
        <f>IF(IFERROR(INDEX($A$9:$X$304,$AS131,COLUMNS($AV$9:BH130)),"")=0,"",IFERROR(INDEX($A$9:$X$304,$AS131,COLUMNS($AV$9:BH130)),""))</f>
        <v/>
      </c>
      <c r="BI131" s="1" t="str">
        <f>IF(IFERROR(INDEX($A$9:$X$304,$AS131,COLUMNS($AV$9:BI130)),"")=0,"",IFERROR(INDEX($A$9:$X$304,$AS131,COLUMNS($AV$9:BI130)),""))</f>
        <v/>
      </c>
      <c r="BJ131" s="1" t="str">
        <f>IF(IFERROR(INDEX($A$9:$X$304,$AS131,COLUMNS($AV$9:BJ130)),"")=0,"",IFERROR(INDEX($A$9:$X$304,$AS131,COLUMNS($AV$9:BJ130)),""))</f>
        <v>DINOSAUR</v>
      </c>
      <c r="BK131" s="1" t="str">
        <f>IF(IFERROR(INDEX($A$9:$X$304,$AS131,COLUMNS($AV$9:BK130)),"")=0,"",IFERROR(INDEX($A$9:$X$304,$AS131,COLUMNS($AV$9:BK130)),""))</f>
        <v>Rare</v>
      </c>
      <c r="BL131" s="1" t="str">
        <f>IF(IFERROR(INDEX($A$9:$X$304,$AS131,COLUMNS($AV$9:BL130)),"")=0,"",IFERROR(INDEX($A$9:$X$304,$AS131,COLUMNS($AV$9:BL130)),""))</f>
        <v>Antonis Papantoniou</v>
      </c>
      <c r="BM131" s="1" t="str">
        <f>IF(IFERROR(INDEX($A$9:$X$304,$AS131,COLUMNS($AV$9:BM130)),"")=0,"",IFERROR(INDEX($A$9:$X$304,$AS131,COLUMNS($AV$9:BM130)),""))</f>
        <v>Kickstarter Promo</v>
      </c>
      <c r="BN131" s="3" t="b">
        <f>IF(IFERROR(INDEX($A$9:$X$304,$AS131,COLUMNS($AV$9:BN130)),"")=0,"",IFERROR(INDEX($A$9:$X$304,$AS131,COLUMNS($AV$9:BN130)),""))</f>
        <v>0</v>
      </c>
      <c r="BO131" s="3" t="b">
        <f>IF(IFERROR(INDEX($A$9:$X$304,$AS131,COLUMNS($AV$9:BO130)),"")=0,"",IFERROR(INDEX($A$9:$X$304,$AS131,COLUMNS($AV$9:BO130)),""))</f>
        <v>0</v>
      </c>
      <c r="BP131" s="3" t="b">
        <f>IF(IFERROR(INDEX($A$9:$X$304,$AS131,COLUMNS($AV$9:BP130)),"")=0,"",IFERROR(INDEX($A$9:$X$304,$AS131,COLUMNS($AV$9:BP130)),""))</f>
        <v>0</v>
      </c>
      <c r="BQ131" s="3" t="b">
        <f>IF(IFERROR(INDEX($A$9:$X$304,$AS131,COLUMNS($AV$9:BQ130)),"")=0,"",IFERROR(INDEX($A$9:$X$304,$AS131,COLUMNS($AV$9:BQ130)),""))</f>
        <v>0</v>
      </c>
      <c r="BR131" s="3" t="str">
        <f>IF(IFERROR(INDEX($A$9:$X$304,$AS131,COLUMNS($AV$9:BR130)),"")=0,"",IFERROR(INDEX($A$9:$X$304,$AS131,COLUMNS($AV$9:BR130)),""))</f>
        <v>http://www.epiccardgame.com/wp-content/uploads/2015/09/hunting_pterosaur-215x300.jpg</v>
      </c>
      <c r="BS131" s="3" t="str">
        <f>IF(IFERROR(INDEX($A$9:$X$304,$AS131,COLUMNS($AV$9:BS130)),"")=0,"",IFERROR(INDEX($A$9:$X$304,$AS131,COLUMNS($AV$9:BS130)),""))</f>
        <v/>
      </c>
      <c r="BT131" s="3"/>
      <c r="BU131" s="15"/>
      <c r="BV131" t="s">
        <v>152</v>
      </c>
    </row>
    <row r="132" spans="1:74" ht="225.2" customHeight="1" x14ac:dyDescent="0.25">
      <c r="A132" t="s">
        <v>447</v>
      </c>
      <c r="B132">
        <v>0</v>
      </c>
      <c r="C132" t="s">
        <v>615</v>
      </c>
      <c r="E132" t="s">
        <v>620</v>
      </c>
      <c r="F132">
        <v>4</v>
      </c>
      <c r="G132">
        <v>3</v>
      </c>
      <c r="H132" t="s">
        <v>689</v>
      </c>
      <c r="I132" t="s">
        <v>848</v>
      </c>
      <c r="O132" t="s">
        <v>1066</v>
      </c>
      <c r="P132" t="s">
        <v>1113</v>
      </c>
      <c r="Q132" t="s">
        <v>1150</v>
      </c>
      <c r="R132" t="s">
        <v>1170</v>
      </c>
      <c r="S132" t="b">
        <v>0</v>
      </c>
      <c r="T132" t="b">
        <v>0</v>
      </c>
      <c r="U132" t="b">
        <v>0</v>
      </c>
      <c r="V132" t="b">
        <v>0</v>
      </c>
      <c r="W132" s="2" t="s">
        <v>1307</v>
      </c>
      <c r="X132" s="2"/>
      <c r="Y132" s="24">
        <v>124</v>
      </c>
      <c r="Z132">
        <f t="shared" si="20"/>
        <v>124</v>
      </c>
      <c r="AA132">
        <f t="shared" si="21"/>
        <v>124</v>
      </c>
      <c r="AB132">
        <f t="shared" si="22"/>
        <v>124</v>
      </c>
      <c r="AC132">
        <f t="shared" si="23"/>
        <v>0</v>
      </c>
      <c r="AD132">
        <f t="shared" si="24"/>
        <v>124</v>
      </c>
      <c r="AE132">
        <f t="shared" si="25"/>
        <v>124</v>
      </c>
      <c r="AF132">
        <f t="shared" si="26"/>
        <v>124</v>
      </c>
      <c r="AG132">
        <f t="shared" si="27"/>
        <v>124</v>
      </c>
      <c r="AH132">
        <f t="shared" si="28"/>
        <v>124</v>
      </c>
      <c r="AI132">
        <f t="shared" si="29"/>
        <v>0</v>
      </c>
      <c r="AJ132">
        <f t="shared" si="30"/>
        <v>0</v>
      </c>
      <c r="AK132">
        <f t="shared" si="31"/>
        <v>0</v>
      </c>
      <c r="AL132">
        <f t="shared" si="32"/>
        <v>0</v>
      </c>
      <c r="AM132">
        <f t="shared" si="33"/>
        <v>0</v>
      </c>
      <c r="AN132">
        <f t="shared" si="34"/>
        <v>124</v>
      </c>
      <c r="AO132">
        <f t="shared" si="35"/>
        <v>124</v>
      </c>
      <c r="AP132">
        <f t="shared" si="36"/>
        <v>124</v>
      </c>
      <c r="AQ132">
        <f t="shared" si="37"/>
        <v>124</v>
      </c>
      <c r="AR132" s="6">
        <f t="shared" si="38"/>
        <v>124</v>
      </c>
      <c r="AS132">
        <f t="shared" si="39"/>
        <v>124</v>
      </c>
      <c r="AV132" s="1" t="str">
        <f>IF(IFERROR(INDEX($A$9:$W$304,$AS132,COLUMNS($AV$9:AV131)),"")=0,"",IFERROR(INDEX($A$9:$W$304,$AS132,COLUMNS($AV$9:AV131)),""))</f>
        <v>Hunting Pterosaur</v>
      </c>
      <c r="AW132" s="1">
        <f>IFERROR(INDEX($A$9:$W$304,$AS132,COLUMNS($AV$9:AW131)),"")</f>
        <v>0</v>
      </c>
      <c r="AX132" s="1" t="str">
        <f>IF(IFERROR(INDEX($A$9:$X$304,$AS132,COLUMNS($AV$9:AX131)),"")=0,"",IFERROR(INDEX($A$9:$X$304,$AS132,COLUMNS($AV$9:AX131)),""))</f>
        <v>WILD</v>
      </c>
      <c r="AY132" s="1" t="str">
        <f>IF(IFERROR(INDEX($A$9:$X$304,$AS132,COLUMNS($AV$9:AY131)),"")=0,"",IFERROR(INDEX($A$9:$X$304,$AS132,COLUMNS($AV$9:AY131)),""))</f>
        <v/>
      </c>
      <c r="AZ132" s="1" t="str">
        <f>IF(IFERROR(INDEX($A$9:$X$304,$AS132,COLUMNS($AV$9:AZ131)),"")=0,"",IFERROR(INDEX($A$9:$X$304,$AS132,COLUMNS($AV$9:AZ131)),""))</f>
        <v>CHAMPION</v>
      </c>
      <c r="BA132" s="1">
        <f>IF(IFERROR(INDEX($A$9:$X$304,$AS132,COLUMNS($AV$9:BA131)),"")=0,"",IFERROR(INDEX($A$9:$X$304,$AS132,COLUMNS($AV$9:BA131)),""))</f>
        <v>4</v>
      </c>
      <c r="BB132" s="1">
        <f>IF(IFERROR(INDEX($A$9:$X$304,$AS132,COLUMNS($AV$9:BB131)),"")=0,"",IFERROR(INDEX($A$9:$X$304,$AS132,COLUMNS($AV$9:BB131)),""))</f>
        <v>3</v>
      </c>
      <c r="BC132" s="1" t="str">
        <f>IF(IFERROR(INDEX($A$9:$X$304,$AS132,COLUMNS($AV$9:BC131)),"")=0,"",IFERROR(INDEX($A$9:$X$304,$AS132,COLUMNS($AV$9:BC131)),""))</f>
        <v>Ambush ◆ Airborne</v>
      </c>
      <c r="BD132" s="1" t="str">
        <f>IF(IFERROR(INDEX($A$9:$X$304,$AS132,COLUMNS($AV$9:BD131)),"")=0,"",IFERROR(INDEX($A$9:$X$304,$AS132,COLUMNS($AV$9:BD131)),""))</f>
        <v>Tribute → You may break target champion with 2 {defense} or less.</v>
      </c>
      <c r="BE132" s="1" t="str">
        <f>IF(IFERROR(INDEX($A$9:$X$304,$AS132,COLUMNS($AV$9:BE131)),"")=0,"",IFERROR(INDEX($A$9:$X$304,$AS132,COLUMNS($AV$9:BE131)),""))</f>
        <v/>
      </c>
      <c r="BF132" s="1" t="str">
        <f>IF(IFERROR(INDEX($A$9:$X$304,$AS132,COLUMNS($AV$9:BF131)),"")=0,"",IFERROR(INDEX($A$9:$X$304,$AS132,COLUMNS($AV$9:BF131)),""))</f>
        <v/>
      </c>
      <c r="BG132" s="1" t="str">
        <f>IF(IFERROR(INDEX($A$9:$X$304,$AS132,COLUMNS($AV$9:BG131)),"")=0,"",IFERROR(INDEX($A$9:$X$304,$AS132,COLUMNS($AV$9:BG131)),""))</f>
        <v/>
      </c>
      <c r="BH132" s="1" t="str">
        <f>IF(IFERROR(INDEX($A$9:$X$304,$AS132,COLUMNS($AV$9:BH131)),"")=0,"",IFERROR(INDEX($A$9:$X$304,$AS132,COLUMNS($AV$9:BH131)),""))</f>
        <v/>
      </c>
      <c r="BI132" s="1" t="str">
        <f>IF(IFERROR(INDEX($A$9:$X$304,$AS132,COLUMNS($AV$9:BI131)),"")=0,"",IFERROR(INDEX($A$9:$X$304,$AS132,COLUMNS($AV$9:BI131)),""))</f>
        <v/>
      </c>
      <c r="BJ132" s="1" t="str">
        <f>IF(IFERROR(INDEX($A$9:$X$304,$AS132,COLUMNS($AV$9:BJ131)),"")=0,"",IFERROR(INDEX($A$9:$X$304,$AS132,COLUMNS($AV$9:BJ131)),""))</f>
        <v>DINOSAUR</v>
      </c>
      <c r="BK132" s="1" t="str">
        <f>IF(IFERROR(INDEX($A$9:$X$304,$AS132,COLUMNS($AV$9:BK131)),"")=0,"",IFERROR(INDEX($A$9:$X$304,$AS132,COLUMNS($AV$9:BK131)),""))</f>
        <v>Rare</v>
      </c>
      <c r="BL132" s="1" t="str">
        <f>IF(IFERROR(INDEX($A$9:$X$304,$AS132,COLUMNS($AV$9:BL131)),"")=0,"",IFERROR(INDEX($A$9:$X$304,$AS132,COLUMNS($AV$9:BL131)),""))</f>
        <v>Olivier Bernard</v>
      </c>
      <c r="BM132" s="1" t="str">
        <f>IF(IFERROR(INDEX($A$9:$X$304,$AS132,COLUMNS($AV$9:BM131)),"")=0,"",IFERROR(INDEX($A$9:$X$304,$AS132,COLUMNS($AV$9:BM131)),""))</f>
        <v>Pantheon: Helena vs Zaltessa</v>
      </c>
      <c r="BN132" s="3" t="b">
        <f>IF(IFERROR(INDEX($A$9:$X$304,$AS132,COLUMNS($AV$9:BN131)),"")=0,"",IFERROR(INDEX($A$9:$X$304,$AS132,COLUMNS($AV$9:BN131)),""))</f>
        <v>0</v>
      </c>
      <c r="BO132" s="3" t="b">
        <f>IF(IFERROR(INDEX($A$9:$X$304,$AS132,COLUMNS($AV$9:BO131)),"")=0,"",IFERROR(INDEX($A$9:$X$304,$AS132,COLUMNS($AV$9:BO131)),""))</f>
        <v>0</v>
      </c>
      <c r="BP132" s="3" t="b">
        <f>IF(IFERROR(INDEX($A$9:$X$304,$AS132,COLUMNS($AV$9:BP131)),"")=0,"",IFERROR(INDEX($A$9:$X$304,$AS132,COLUMNS($AV$9:BP131)),""))</f>
        <v>0</v>
      </c>
      <c r="BQ132" s="3" t="b">
        <f>IF(IFERROR(INDEX($A$9:$X$304,$AS132,COLUMNS($AV$9:BQ131)),"")=0,"",IFERROR(INDEX($A$9:$X$304,$AS132,COLUMNS($AV$9:BQ131)),""))</f>
        <v>0</v>
      </c>
      <c r="BR132" s="3" t="str">
        <f>IF(IFERROR(INDEX($A$9:$X$304,$AS132,COLUMNS($AV$9:BR131)),"")=0,"",IFERROR(INDEX($A$9:$X$304,$AS132,COLUMNS($AV$9:BR131)),""))</f>
        <v>https://www.epiccardgame.com/wp-content/uploads/2017/11/PNH-EN-13-hunting-pterosaur.jpg</v>
      </c>
      <c r="BS132" s="3" t="str">
        <f>IF(IFERROR(INDEX($A$9:$X$304,$AS132,COLUMNS($AV$9:BS131)),"")=0,"",IFERROR(INDEX($A$9:$X$304,$AS132,COLUMNS($AV$9:BS131)),""))</f>
        <v/>
      </c>
      <c r="BT132" s="3"/>
      <c r="BU132" s="15"/>
      <c r="BV132" t="s">
        <v>153</v>
      </c>
    </row>
    <row r="133" spans="1:74" ht="225.2" customHeight="1" x14ac:dyDescent="0.25">
      <c r="A133" t="s">
        <v>448</v>
      </c>
      <c r="B133">
        <v>1</v>
      </c>
      <c r="C133" t="s">
        <v>615</v>
      </c>
      <c r="E133" t="s">
        <v>620</v>
      </c>
      <c r="F133">
        <v>5</v>
      </c>
      <c r="G133">
        <v>5</v>
      </c>
      <c r="H133" t="s">
        <v>21</v>
      </c>
      <c r="I133" t="s">
        <v>674</v>
      </c>
      <c r="J133" t="s">
        <v>996</v>
      </c>
      <c r="O133" t="s">
        <v>1066</v>
      </c>
      <c r="P133" t="s">
        <v>1112</v>
      </c>
      <c r="Q133" t="s">
        <v>1119</v>
      </c>
      <c r="R133" t="s">
        <v>1171</v>
      </c>
      <c r="S133" t="b">
        <v>1</v>
      </c>
      <c r="T133" t="b">
        <v>0</v>
      </c>
      <c r="U133" t="b">
        <v>0</v>
      </c>
      <c r="V133" t="b">
        <v>0</v>
      </c>
      <c r="W133" s="2" t="s">
        <v>1308</v>
      </c>
      <c r="X133" s="2"/>
      <c r="Y133" s="24">
        <v>125</v>
      </c>
      <c r="Z133">
        <f t="shared" si="20"/>
        <v>125</v>
      </c>
      <c r="AA133">
        <f t="shared" si="21"/>
        <v>125</v>
      </c>
      <c r="AB133">
        <f t="shared" si="22"/>
        <v>125</v>
      </c>
      <c r="AC133">
        <f t="shared" si="23"/>
        <v>0</v>
      </c>
      <c r="AD133">
        <f t="shared" si="24"/>
        <v>125</v>
      </c>
      <c r="AE133">
        <f t="shared" si="25"/>
        <v>125</v>
      </c>
      <c r="AF133">
        <f t="shared" si="26"/>
        <v>125</v>
      </c>
      <c r="AG133">
        <f t="shared" si="27"/>
        <v>125</v>
      </c>
      <c r="AH133">
        <f t="shared" si="28"/>
        <v>125</v>
      </c>
      <c r="AI133">
        <f t="shared" si="29"/>
        <v>125</v>
      </c>
      <c r="AJ133">
        <f t="shared" si="30"/>
        <v>0</v>
      </c>
      <c r="AK133">
        <f t="shared" si="31"/>
        <v>0</v>
      </c>
      <c r="AL133">
        <f t="shared" si="32"/>
        <v>0</v>
      </c>
      <c r="AM133">
        <f t="shared" si="33"/>
        <v>0</v>
      </c>
      <c r="AN133">
        <f t="shared" si="34"/>
        <v>125</v>
      </c>
      <c r="AO133">
        <f t="shared" si="35"/>
        <v>125</v>
      </c>
      <c r="AP133">
        <f t="shared" si="36"/>
        <v>125</v>
      </c>
      <c r="AQ133">
        <f t="shared" si="37"/>
        <v>125</v>
      </c>
      <c r="AR133" s="6">
        <f t="shared" si="38"/>
        <v>125</v>
      </c>
      <c r="AS133">
        <f t="shared" si="39"/>
        <v>125</v>
      </c>
      <c r="AV133" s="1" t="str">
        <f>IF(IFERROR(INDEX($A$9:$W$304,$AS133,COLUMNS($AV$9:AV132)),"")=0,"",IFERROR(INDEX($A$9:$W$304,$AS133,COLUMNS($AV$9:AV132)),""))</f>
        <v>Hunting Raptors</v>
      </c>
      <c r="AW133" s="1">
        <f>IFERROR(INDEX($A$9:$W$304,$AS133,COLUMNS($AV$9:AW132)),"")</f>
        <v>1</v>
      </c>
      <c r="AX133" s="1" t="str">
        <f>IF(IFERROR(INDEX($A$9:$X$304,$AS133,COLUMNS($AV$9:AX132)),"")=0,"",IFERROR(INDEX($A$9:$X$304,$AS133,COLUMNS($AV$9:AX132)),""))</f>
        <v>WILD</v>
      </c>
      <c r="AY133" s="1" t="str">
        <f>IF(IFERROR(INDEX($A$9:$X$304,$AS133,COLUMNS($AV$9:AY132)),"")=0,"",IFERROR(INDEX($A$9:$X$304,$AS133,COLUMNS($AV$9:AY132)),""))</f>
        <v/>
      </c>
      <c r="AZ133" s="1" t="str">
        <f>IF(IFERROR(INDEX($A$9:$X$304,$AS133,COLUMNS($AV$9:AZ132)),"")=0,"",IFERROR(INDEX($A$9:$X$304,$AS133,COLUMNS($AV$9:AZ132)),""))</f>
        <v>CHAMPION</v>
      </c>
      <c r="BA133" s="1">
        <f>IF(IFERROR(INDEX($A$9:$X$304,$AS133,COLUMNS($AV$9:BA132)),"")=0,"",IFERROR(INDEX($A$9:$X$304,$AS133,COLUMNS($AV$9:BA132)),""))</f>
        <v>5</v>
      </c>
      <c r="BB133" s="1">
        <f>IF(IFERROR(INDEX($A$9:$X$304,$AS133,COLUMNS($AV$9:BB132)),"")=0,"",IFERROR(INDEX($A$9:$X$304,$AS133,COLUMNS($AV$9:BB132)),""))</f>
        <v>5</v>
      </c>
      <c r="BC133" s="1" t="str">
        <f>IF(IFERROR(INDEX($A$9:$X$304,$AS133,COLUMNS($AV$9:BC132)),"")=0,"",IFERROR(INDEX($A$9:$X$304,$AS133,COLUMNS($AV$9:BC132)),""))</f>
        <v>Ambush</v>
      </c>
      <c r="BD133" s="1" t="str">
        <f>IF(IFERROR(INDEX($A$9:$X$304,$AS133,COLUMNS($AV$9:BD132)),"")=0,"",IFERROR(INDEX($A$9:$X$304,$AS133,COLUMNS($AV$9:BD132)),""))</f>
        <v>Loyalty 2 → Blitz</v>
      </c>
      <c r="BE133" s="1" t="str">
        <f>IF(IFERROR(INDEX($A$9:$X$304,$AS133,COLUMNS($AV$9:BE132)),"")=0,"",IFERROR(INDEX($A$9:$X$304,$AS133,COLUMNS($AV$9:BE132)),""))</f>
        <v>{expend}: Deal 4 damage to a target.</v>
      </c>
      <c r="BF133" s="1" t="str">
        <f>IF(IFERROR(INDEX($A$9:$X$304,$AS133,COLUMNS($AV$9:BF132)),"")=0,"",IFERROR(INDEX($A$9:$X$304,$AS133,COLUMNS($AV$9:BF132)),""))</f>
        <v/>
      </c>
      <c r="BG133" s="1" t="str">
        <f>IF(IFERROR(INDEX($A$9:$X$304,$AS133,COLUMNS($AV$9:BG132)),"")=0,"",IFERROR(INDEX($A$9:$X$304,$AS133,COLUMNS($AV$9:BG132)),""))</f>
        <v/>
      </c>
      <c r="BH133" s="1" t="str">
        <f>IF(IFERROR(INDEX($A$9:$X$304,$AS133,COLUMNS($AV$9:BH132)),"")=0,"",IFERROR(INDEX($A$9:$X$304,$AS133,COLUMNS($AV$9:BH132)),""))</f>
        <v/>
      </c>
      <c r="BI133" s="1" t="str">
        <f>IF(IFERROR(INDEX($A$9:$X$304,$AS133,COLUMNS($AV$9:BI132)),"")=0,"",IFERROR(INDEX($A$9:$X$304,$AS133,COLUMNS($AV$9:BI132)),""))</f>
        <v/>
      </c>
      <c r="BJ133" s="1" t="str">
        <f>IF(IFERROR(INDEX($A$9:$X$304,$AS133,COLUMNS($AV$9:BJ132)),"")=0,"",IFERROR(INDEX($A$9:$X$304,$AS133,COLUMNS($AV$9:BJ132)),""))</f>
        <v>DINOSAUR</v>
      </c>
      <c r="BK133" s="1" t="str">
        <f>IF(IFERROR(INDEX($A$9:$X$304,$AS133,COLUMNS($AV$9:BK132)),"")=0,"",IFERROR(INDEX($A$9:$X$304,$AS133,COLUMNS($AV$9:BK132)),""))</f>
        <v>Common</v>
      </c>
      <c r="BL133" s="1" t="str">
        <f>IF(IFERROR(INDEX($A$9:$X$304,$AS133,COLUMNS($AV$9:BL132)),"")=0,"",IFERROR(INDEX($A$9:$X$304,$AS133,COLUMNS($AV$9:BL132)),""))</f>
        <v>Sarah McCulloch</v>
      </c>
      <c r="BM133" s="1" t="str">
        <f>IF(IFERROR(INDEX($A$9:$X$304,$AS133,COLUMNS($AV$9:BM132)),"")=0,"",IFERROR(INDEX($A$9:$X$304,$AS133,COLUMNS($AV$9:BM132)),""))</f>
        <v>Base Set</v>
      </c>
      <c r="BN133" s="3" t="b">
        <f>IF(IFERROR(INDEX($A$9:$X$304,$AS133,COLUMNS($AV$9:BN132)),"")=0,"",IFERROR(INDEX($A$9:$X$304,$AS133,COLUMNS($AV$9:BN132)),""))</f>
        <v>1</v>
      </c>
      <c r="BO133" s="3" t="b">
        <f>IF(IFERROR(INDEX($A$9:$X$304,$AS133,COLUMNS($AV$9:BO132)),"")=0,"",IFERROR(INDEX($A$9:$X$304,$AS133,COLUMNS($AV$9:BO132)),""))</f>
        <v>0</v>
      </c>
      <c r="BP133" s="3" t="b">
        <f>IF(IFERROR(INDEX($A$9:$X$304,$AS133,COLUMNS($AV$9:BP132)),"")=0,"",IFERROR(INDEX($A$9:$X$304,$AS133,COLUMNS($AV$9:BP132)),""))</f>
        <v>0</v>
      </c>
      <c r="BQ133" s="3" t="b">
        <f>IF(IFERROR(INDEX($A$9:$X$304,$AS133,COLUMNS($AV$9:BQ132)),"")=0,"",IFERROR(INDEX($A$9:$X$304,$AS133,COLUMNS($AV$9:BQ132)),""))</f>
        <v>0</v>
      </c>
      <c r="BR133" s="3" t="str">
        <f>IF(IFERROR(INDEX($A$9:$X$304,$AS133,COLUMNS($AV$9:BR132)),"")=0,"",IFERROR(INDEX($A$9:$X$304,$AS133,COLUMNS($AV$9:BR132)),""))</f>
        <v>http://www.epiccardgame.com/wp-content/uploads/2015/09/hunting_raptors-215x300.jpg</v>
      </c>
      <c r="BS133" s="3" t="str">
        <f>IF(IFERROR(INDEX($A$9:$X$304,$AS133,COLUMNS($AV$9:BS132)),"")=0,"",IFERROR(INDEX($A$9:$X$304,$AS133,COLUMNS($AV$9:BS132)),""))</f>
        <v/>
      </c>
      <c r="BT133" s="3"/>
      <c r="BU133" s="15"/>
      <c r="BV133" t="s">
        <v>154</v>
      </c>
    </row>
    <row r="134" spans="1:74" ht="225.2" customHeight="1" x14ac:dyDescent="0.25">
      <c r="A134" t="s">
        <v>449</v>
      </c>
      <c r="B134">
        <v>1</v>
      </c>
      <c r="C134" t="s">
        <v>615</v>
      </c>
      <c r="E134" t="s">
        <v>619</v>
      </c>
      <c r="H134" t="s">
        <v>627</v>
      </c>
      <c r="I134" t="s">
        <v>849</v>
      </c>
      <c r="O134" t="s">
        <v>1062</v>
      </c>
      <c r="P134" t="s">
        <v>1112</v>
      </c>
      <c r="Q134" t="s">
        <v>1135</v>
      </c>
      <c r="R134" t="s">
        <v>1171</v>
      </c>
      <c r="S134" t="b">
        <v>1</v>
      </c>
      <c r="T134" t="b">
        <v>1</v>
      </c>
      <c r="U134" t="b">
        <v>0</v>
      </c>
      <c r="V134" t="b">
        <v>0</v>
      </c>
      <c r="W134" s="2" t="s">
        <v>1309</v>
      </c>
      <c r="X134" s="2"/>
      <c r="Y134" s="24">
        <v>126</v>
      </c>
      <c r="Z134">
        <f t="shared" si="20"/>
        <v>126</v>
      </c>
      <c r="AA134">
        <f t="shared" si="21"/>
        <v>126</v>
      </c>
      <c r="AB134">
        <f t="shared" si="22"/>
        <v>126</v>
      </c>
      <c r="AC134">
        <f t="shared" si="23"/>
        <v>0</v>
      </c>
      <c r="AD134">
        <f t="shared" si="24"/>
        <v>126</v>
      </c>
      <c r="AE134">
        <f t="shared" si="25"/>
        <v>0</v>
      </c>
      <c r="AF134">
        <f t="shared" si="26"/>
        <v>0</v>
      </c>
      <c r="AG134">
        <f t="shared" si="27"/>
        <v>126</v>
      </c>
      <c r="AH134">
        <f t="shared" si="28"/>
        <v>126</v>
      </c>
      <c r="AI134">
        <f t="shared" si="29"/>
        <v>0</v>
      </c>
      <c r="AJ134">
        <f t="shared" si="30"/>
        <v>0</v>
      </c>
      <c r="AK134">
        <f t="shared" si="31"/>
        <v>0</v>
      </c>
      <c r="AL134">
        <f t="shared" si="32"/>
        <v>0</v>
      </c>
      <c r="AM134">
        <f t="shared" si="33"/>
        <v>0</v>
      </c>
      <c r="AN134">
        <f t="shared" si="34"/>
        <v>126</v>
      </c>
      <c r="AO134">
        <f t="shared" si="35"/>
        <v>126</v>
      </c>
      <c r="AP134">
        <f t="shared" si="36"/>
        <v>126</v>
      </c>
      <c r="AQ134">
        <f t="shared" si="37"/>
        <v>126</v>
      </c>
      <c r="AR134" s="6">
        <f t="shared" si="38"/>
        <v>126</v>
      </c>
      <c r="AS134">
        <f t="shared" si="39"/>
        <v>126</v>
      </c>
      <c r="AV134" s="1" t="str">
        <f>IF(IFERROR(INDEX($A$9:$W$304,$AS134,COLUMNS($AV$9:AV133)),"")=0,"",IFERROR(INDEX($A$9:$W$304,$AS134,COLUMNS($AV$9:AV133)),""))</f>
        <v>Hurricane</v>
      </c>
      <c r="AW134" s="1">
        <f>IFERROR(INDEX($A$9:$W$304,$AS134,COLUMNS($AV$9:AW133)),"")</f>
        <v>1</v>
      </c>
      <c r="AX134" s="1" t="str">
        <f>IF(IFERROR(INDEX($A$9:$X$304,$AS134,COLUMNS($AV$9:AX133)),"")=0,"",IFERROR(INDEX($A$9:$X$304,$AS134,COLUMNS($AV$9:AX133)),""))</f>
        <v>WILD</v>
      </c>
      <c r="AY134" s="1" t="str">
        <f>IF(IFERROR(INDEX($A$9:$X$304,$AS134,COLUMNS($AV$9:AY133)),"")=0,"",IFERROR(INDEX($A$9:$X$304,$AS134,COLUMNS($AV$9:AY133)),""))</f>
        <v/>
      </c>
      <c r="AZ134" s="1" t="str">
        <f>IF(IFERROR(INDEX($A$9:$X$304,$AS134,COLUMNS($AV$9:AZ133)),"")=0,"",IFERROR(INDEX($A$9:$X$304,$AS134,COLUMNS($AV$9:AZ133)),""))</f>
        <v>EVENT</v>
      </c>
      <c r="BA134" s="1" t="str">
        <f>IF(IFERROR(INDEX($A$9:$X$304,$AS134,COLUMNS($AV$9:BA133)),"")=0,"",IFERROR(INDEX($A$9:$X$304,$AS134,COLUMNS($AV$9:BA133)),""))</f>
        <v/>
      </c>
      <c r="BB134" s="1" t="str">
        <f>IF(IFERROR(INDEX($A$9:$X$304,$AS134,COLUMNS($AV$9:BB133)),"")=0,"",IFERROR(INDEX($A$9:$X$304,$AS134,COLUMNS($AV$9:BB133)),""))</f>
        <v/>
      </c>
      <c r="BC134" s="1" t="str">
        <f>IF(IFERROR(INDEX($A$9:$X$304,$AS134,COLUMNS($AV$9:BC133)),"")=0,"",IFERROR(INDEX($A$9:$X$304,$AS134,COLUMNS($AV$9:BC133)),""))</f>
        <v>Draw two cards.</v>
      </c>
      <c r="BD134" s="1" t="str">
        <f>IF(IFERROR(INDEX($A$9:$X$304,$AS134,COLUMNS($AV$9:BD133)),"")=0,"",IFERROR(INDEX($A$9:$X$304,$AS134,COLUMNS($AV$9:BD133)),""))</f>
        <v>Deal 9 damage to each champion.</v>
      </c>
      <c r="BE134" s="1" t="str">
        <f>IF(IFERROR(INDEX($A$9:$X$304,$AS134,COLUMNS($AV$9:BE133)),"")=0,"",IFERROR(INDEX($A$9:$X$304,$AS134,COLUMNS($AV$9:BE133)),""))</f>
        <v/>
      </c>
      <c r="BF134" s="1" t="str">
        <f>IF(IFERROR(INDEX($A$9:$X$304,$AS134,COLUMNS($AV$9:BF133)),"")=0,"",IFERROR(INDEX($A$9:$X$304,$AS134,COLUMNS($AV$9:BF133)),""))</f>
        <v/>
      </c>
      <c r="BG134" s="1" t="str">
        <f>IF(IFERROR(INDEX($A$9:$X$304,$AS134,COLUMNS($AV$9:BG133)),"")=0,"",IFERROR(INDEX($A$9:$X$304,$AS134,COLUMNS($AV$9:BG133)),""))</f>
        <v/>
      </c>
      <c r="BH134" s="1" t="str">
        <f>IF(IFERROR(INDEX($A$9:$X$304,$AS134,COLUMNS($AV$9:BH133)),"")=0,"",IFERROR(INDEX($A$9:$X$304,$AS134,COLUMNS($AV$9:BH133)),""))</f>
        <v/>
      </c>
      <c r="BI134" s="1" t="str">
        <f>IF(IFERROR(INDEX($A$9:$X$304,$AS134,COLUMNS($AV$9:BI133)),"")=0,"",IFERROR(INDEX($A$9:$X$304,$AS134,COLUMNS($AV$9:BI133)),""))</f>
        <v/>
      </c>
      <c r="BJ134" s="1" t="str">
        <f>IF(IFERROR(INDEX($A$9:$X$304,$AS134,COLUMNS($AV$9:BJ133)),"")=0,"",IFERROR(INDEX($A$9:$X$304,$AS134,COLUMNS($AV$9:BJ133)),""))</f>
        <v>None</v>
      </c>
      <c r="BK134" s="1" t="str">
        <f>IF(IFERROR(INDEX($A$9:$X$304,$AS134,COLUMNS($AV$9:BK133)),"")=0,"",IFERROR(INDEX($A$9:$X$304,$AS134,COLUMNS($AV$9:BK133)),""))</f>
        <v>Common</v>
      </c>
      <c r="BL134" s="1" t="str">
        <f>IF(IFERROR(INDEX($A$9:$X$304,$AS134,COLUMNS($AV$9:BL133)),"")=0,"",IFERROR(INDEX($A$9:$X$304,$AS134,COLUMNS($AV$9:BL133)),""))</f>
        <v>Trevor Smith</v>
      </c>
      <c r="BM134" s="1" t="str">
        <f>IF(IFERROR(INDEX($A$9:$X$304,$AS134,COLUMNS($AV$9:BM133)),"")=0,"",IFERROR(INDEX($A$9:$X$304,$AS134,COLUMNS($AV$9:BM133)),""))</f>
        <v>Base Set</v>
      </c>
      <c r="BN134" s="3" t="b">
        <f>IF(IFERROR(INDEX($A$9:$X$304,$AS134,COLUMNS($AV$9:BN133)),"")=0,"",IFERROR(INDEX($A$9:$X$304,$AS134,COLUMNS($AV$9:BN133)),""))</f>
        <v>1</v>
      </c>
      <c r="BO134" s="3" t="b">
        <f>IF(IFERROR(INDEX($A$9:$X$304,$AS134,COLUMNS($AV$9:BO133)),"")=0,"",IFERROR(INDEX($A$9:$X$304,$AS134,COLUMNS($AV$9:BO133)),""))</f>
        <v>1</v>
      </c>
      <c r="BP134" s="3" t="b">
        <f>IF(IFERROR(INDEX($A$9:$X$304,$AS134,COLUMNS($AV$9:BP133)),"")=0,"",IFERROR(INDEX($A$9:$X$304,$AS134,COLUMNS($AV$9:BP133)),""))</f>
        <v>0</v>
      </c>
      <c r="BQ134" s="3" t="b">
        <f>IF(IFERROR(INDEX($A$9:$X$304,$AS134,COLUMNS($AV$9:BQ133)),"")=0,"",IFERROR(INDEX($A$9:$X$304,$AS134,COLUMNS($AV$9:BQ133)),""))</f>
        <v>0</v>
      </c>
      <c r="BR134" s="3" t="str">
        <f>IF(IFERROR(INDEX($A$9:$X$304,$AS134,COLUMNS($AV$9:BR133)),"")=0,"",IFERROR(INDEX($A$9:$X$304,$AS134,COLUMNS($AV$9:BR133)),""))</f>
        <v>http://www.epiccardgame.com/wp-content/uploads/2015/09/hurricane-215x300.jpg</v>
      </c>
      <c r="BS134" s="3" t="str">
        <f>IF(IFERROR(INDEX($A$9:$X$304,$AS134,COLUMNS($AV$9:BS133)),"")=0,"",IFERROR(INDEX($A$9:$X$304,$AS134,COLUMNS($AV$9:BS133)),""))</f>
        <v/>
      </c>
      <c r="BT134" s="3"/>
      <c r="BU134" s="15"/>
      <c r="BV134" t="s">
        <v>155</v>
      </c>
    </row>
    <row r="135" spans="1:74" ht="225" customHeight="1" x14ac:dyDescent="0.25">
      <c r="A135" t="s">
        <v>450</v>
      </c>
      <c r="B135">
        <v>1</v>
      </c>
      <c r="C135" t="s">
        <v>616</v>
      </c>
      <c r="E135" t="s">
        <v>620</v>
      </c>
      <c r="F135">
        <v>6</v>
      </c>
      <c r="G135">
        <v>8</v>
      </c>
      <c r="H135" t="s">
        <v>690</v>
      </c>
      <c r="I135" t="s">
        <v>850</v>
      </c>
      <c r="O135" t="s">
        <v>1069</v>
      </c>
      <c r="P135" t="s">
        <v>1112</v>
      </c>
      <c r="Q135" t="s">
        <v>1118</v>
      </c>
      <c r="R135" t="s">
        <v>1171</v>
      </c>
      <c r="S135" t="b">
        <v>1</v>
      </c>
      <c r="T135" t="b">
        <v>0</v>
      </c>
      <c r="U135" t="b">
        <v>0</v>
      </c>
      <c r="V135" t="b">
        <v>0</v>
      </c>
      <c r="W135" s="2" t="s">
        <v>1310</v>
      </c>
      <c r="X135" s="2"/>
      <c r="Y135" s="24">
        <v>127</v>
      </c>
      <c r="Z135">
        <f t="shared" si="20"/>
        <v>127</v>
      </c>
      <c r="AA135">
        <f t="shared" si="21"/>
        <v>127</v>
      </c>
      <c r="AB135">
        <f t="shared" si="22"/>
        <v>127</v>
      </c>
      <c r="AC135">
        <f t="shared" si="23"/>
        <v>0</v>
      </c>
      <c r="AD135">
        <f t="shared" si="24"/>
        <v>127</v>
      </c>
      <c r="AE135">
        <f t="shared" si="25"/>
        <v>127</v>
      </c>
      <c r="AF135">
        <f t="shared" si="26"/>
        <v>127</v>
      </c>
      <c r="AG135">
        <f t="shared" si="27"/>
        <v>127</v>
      </c>
      <c r="AH135">
        <f t="shared" si="28"/>
        <v>127</v>
      </c>
      <c r="AI135">
        <f t="shared" si="29"/>
        <v>0</v>
      </c>
      <c r="AJ135">
        <f t="shared" si="30"/>
        <v>0</v>
      </c>
      <c r="AK135">
        <f t="shared" si="31"/>
        <v>0</v>
      </c>
      <c r="AL135">
        <f t="shared" si="32"/>
        <v>0</v>
      </c>
      <c r="AM135">
        <f t="shared" si="33"/>
        <v>0</v>
      </c>
      <c r="AN135">
        <f t="shared" si="34"/>
        <v>127</v>
      </c>
      <c r="AO135">
        <f t="shared" si="35"/>
        <v>127</v>
      </c>
      <c r="AP135">
        <f t="shared" si="36"/>
        <v>127</v>
      </c>
      <c r="AQ135">
        <f t="shared" si="37"/>
        <v>127</v>
      </c>
      <c r="AR135" s="6">
        <f t="shared" si="38"/>
        <v>127</v>
      </c>
      <c r="AS135">
        <f t="shared" si="39"/>
        <v>127</v>
      </c>
      <c r="AV135" s="1" t="str">
        <f>IF(IFERROR(INDEX($A$9:$W$304,$AS135,COLUMNS($AV$9:AV134)),"")=0,"",IFERROR(INDEX($A$9:$W$304,$AS135,COLUMNS($AV$9:AV134)),""))</f>
        <v>Ice Drake</v>
      </c>
      <c r="AW135" s="1">
        <f>IFERROR(INDEX($A$9:$W$304,$AS135,COLUMNS($AV$9:AW134)),"")</f>
        <v>1</v>
      </c>
      <c r="AX135" s="1" t="str">
        <f>IF(IFERROR(INDEX($A$9:$X$304,$AS135,COLUMNS($AV$9:AX134)),"")=0,"",IFERROR(INDEX($A$9:$X$304,$AS135,COLUMNS($AV$9:AX134)),""))</f>
        <v>SAGE</v>
      </c>
      <c r="AY135" s="1" t="str">
        <f>IF(IFERROR(INDEX($A$9:$X$304,$AS135,COLUMNS($AV$9:AY134)),"")=0,"",IFERROR(INDEX($A$9:$X$304,$AS135,COLUMNS($AV$9:AY134)),""))</f>
        <v/>
      </c>
      <c r="AZ135" s="1" t="str">
        <f>IF(IFERROR(INDEX($A$9:$X$304,$AS135,COLUMNS($AV$9:AZ134)),"")=0,"",IFERROR(INDEX($A$9:$X$304,$AS135,COLUMNS($AV$9:AZ134)),""))</f>
        <v>CHAMPION</v>
      </c>
      <c r="BA135" s="1">
        <f>IF(IFERROR(INDEX($A$9:$X$304,$AS135,COLUMNS($AV$9:BA134)),"")=0,"",IFERROR(INDEX($A$9:$X$304,$AS135,COLUMNS($AV$9:BA134)),""))</f>
        <v>6</v>
      </c>
      <c r="BB135" s="1">
        <f>IF(IFERROR(INDEX($A$9:$X$304,$AS135,COLUMNS($AV$9:BB134)),"")=0,"",IFERROR(INDEX($A$9:$X$304,$AS135,COLUMNS($AV$9:BB134)),""))</f>
        <v>8</v>
      </c>
      <c r="BC135" s="1" t="str">
        <f>IF(IFERROR(INDEX($A$9:$X$304,$AS135,COLUMNS($AV$9:BC134)),"")=0,"",IFERROR(INDEX($A$9:$X$304,$AS135,COLUMNS($AV$9:BC134)),""))</f>
        <v>Airborne ◆ Ambush</v>
      </c>
      <c r="BD135" s="1" t="str">
        <f>IF(IFERROR(INDEX($A$9:$X$304,$AS135,COLUMNS($AV$9:BD134)),"")=0,"",IFERROR(INDEX($A$9:$X$304,$AS135,COLUMNS($AV$9:BD134)),""))</f>
        <v>Loyalty 2 → Expend all champions target player controls.</v>
      </c>
      <c r="BE135" s="1" t="str">
        <f>IF(IFERROR(INDEX($A$9:$X$304,$AS135,COLUMNS($AV$9:BE134)),"")=0,"",IFERROR(INDEX($A$9:$X$304,$AS135,COLUMNS($AV$9:BE134)),""))</f>
        <v/>
      </c>
      <c r="BF135" s="1" t="str">
        <f>IF(IFERROR(INDEX($A$9:$X$304,$AS135,COLUMNS($AV$9:BF134)),"")=0,"",IFERROR(INDEX($A$9:$X$304,$AS135,COLUMNS($AV$9:BF134)),""))</f>
        <v/>
      </c>
      <c r="BG135" s="1" t="str">
        <f>IF(IFERROR(INDEX($A$9:$X$304,$AS135,COLUMNS($AV$9:BG134)),"")=0,"",IFERROR(INDEX($A$9:$X$304,$AS135,COLUMNS($AV$9:BG134)),""))</f>
        <v/>
      </c>
      <c r="BH135" s="1" t="str">
        <f>IF(IFERROR(INDEX($A$9:$X$304,$AS135,COLUMNS($AV$9:BH134)),"")=0,"",IFERROR(INDEX($A$9:$X$304,$AS135,COLUMNS($AV$9:BH134)),""))</f>
        <v/>
      </c>
      <c r="BI135" s="1" t="str">
        <f>IF(IFERROR(INDEX($A$9:$X$304,$AS135,COLUMNS($AV$9:BI134)),"")=0,"",IFERROR(INDEX($A$9:$X$304,$AS135,COLUMNS($AV$9:BI134)),""))</f>
        <v/>
      </c>
      <c r="BJ135" s="1" t="str">
        <f>IF(IFERROR(INDEX($A$9:$X$304,$AS135,COLUMNS($AV$9:BJ134)),"")=0,"",IFERROR(INDEX($A$9:$X$304,$AS135,COLUMNS($AV$9:BJ134)),""))</f>
        <v>DRAGON</v>
      </c>
      <c r="BK135" s="1" t="str">
        <f>IF(IFERROR(INDEX($A$9:$X$304,$AS135,COLUMNS($AV$9:BK134)),"")=0,"",IFERROR(INDEX($A$9:$X$304,$AS135,COLUMNS($AV$9:BK134)),""))</f>
        <v>Common</v>
      </c>
      <c r="BL135" s="1" t="str">
        <f>IF(IFERROR(INDEX($A$9:$X$304,$AS135,COLUMNS($AV$9:BL134)),"")=0,"",IFERROR(INDEX($A$9:$X$304,$AS135,COLUMNS($AV$9:BL134)),""))</f>
        <v>L.Sean</v>
      </c>
      <c r="BM135" s="1" t="str">
        <f>IF(IFERROR(INDEX($A$9:$X$304,$AS135,COLUMNS($AV$9:BM134)),"")=0,"",IFERROR(INDEX($A$9:$X$304,$AS135,COLUMNS($AV$9:BM134)),""))</f>
        <v>Base Set</v>
      </c>
      <c r="BN135" s="3" t="b">
        <f>IF(IFERROR(INDEX($A$9:$X$304,$AS135,COLUMNS($AV$9:BN134)),"")=0,"",IFERROR(INDEX($A$9:$X$304,$AS135,COLUMNS($AV$9:BN134)),""))</f>
        <v>1</v>
      </c>
      <c r="BO135" s="3" t="b">
        <f>IF(IFERROR(INDEX($A$9:$X$304,$AS135,COLUMNS($AV$9:BO134)),"")=0,"",IFERROR(INDEX($A$9:$X$304,$AS135,COLUMNS($AV$9:BO134)),""))</f>
        <v>0</v>
      </c>
      <c r="BP135" s="3" t="b">
        <f>IF(IFERROR(INDEX($A$9:$X$304,$AS135,COLUMNS($AV$9:BP134)),"")=0,"",IFERROR(INDEX($A$9:$X$304,$AS135,COLUMNS($AV$9:BP134)),""))</f>
        <v>0</v>
      </c>
      <c r="BQ135" s="3" t="b">
        <f>IF(IFERROR(INDEX($A$9:$X$304,$AS135,COLUMNS($AV$9:BQ134)),"")=0,"",IFERROR(INDEX($A$9:$X$304,$AS135,COLUMNS($AV$9:BQ134)),""))</f>
        <v>0</v>
      </c>
      <c r="BR135" s="3" t="str">
        <f>IF(IFERROR(INDEX($A$9:$X$304,$AS135,COLUMNS($AV$9:BR134)),"")=0,"",IFERROR(INDEX($A$9:$X$304,$AS135,COLUMNS($AV$9:BR134)),""))</f>
        <v>http://www.epiccardgame.com/wp-content/uploads/2015/09/ice_drake-215x300.jpg</v>
      </c>
      <c r="BS135" s="3" t="str">
        <f>IF(IFERROR(INDEX($A$9:$X$304,$AS135,COLUMNS($AV$9:BS134)),"")=0,"",IFERROR(INDEX($A$9:$X$304,$AS135,COLUMNS($AV$9:BS134)),""))</f>
        <v/>
      </c>
      <c r="BT135" s="3"/>
      <c r="BU135" s="15"/>
      <c r="BV135" t="s">
        <v>156</v>
      </c>
    </row>
    <row r="136" spans="1:74" ht="225.2" customHeight="1" x14ac:dyDescent="0.25">
      <c r="A136" t="s">
        <v>451</v>
      </c>
      <c r="B136">
        <v>1</v>
      </c>
      <c r="C136" t="s">
        <v>618</v>
      </c>
      <c r="E136" t="s">
        <v>620</v>
      </c>
      <c r="F136">
        <v>9</v>
      </c>
      <c r="G136">
        <v>9</v>
      </c>
      <c r="H136" t="s">
        <v>691</v>
      </c>
      <c r="O136" t="s">
        <v>1078</v>
      </c>
      <c r="P136" t="s">
        <v>1112</v>
      </c>
      <c r="Q136" t="s">
        <v>1151</v>
      </c>
      <c r="R136" t="s">
        <v>1171</v>
      </c>
      <c r="S136" t="b">
        <v>1</v>
      </c>
      <c r="T136" t="b">
        <v>0</v>
      </c>
      <c r="U136" t="b">
        <v>0</v>
      </c>
      <c r="V136" t="b">
        <v>0</v>
      </c>
      <c r="W136" s="2" t="s">
        <v>1311</v>
      </c>
      <c r="X136" s="2"/>
      <c r="Y136" s="24">
        <v>128</v>
      </c>
      <c r="Z136">
        <f t="shared" si="20"/>
        <v>128</v>
      </c>
      <c r="AA136">
        <f t="shared" si="21"/>
        <v>128</v>
      </c>
      <c r="AB136">
        <f t="shared" si="22"/>
        <v>128</v>
      </c>
      <c r="AC136">
        <f t="shared" si="23"/>
        <v>0</v>
      </c>
      <c r="AD136">
        <f t="shared" si="24"/>
        <v>128</v>
      </c>
      <c r="AE136">
        <f t="shared" si="25"/>
        <v>128</v>
      </c>
      <c r="AF136">
        <f t="shared" si="26"/>
        <v>128</v>
      </c>
      <c r="AG136">
        <f t="shared" si="27"/>
        <v>128</v>
      </c>
      <c r="AH136">
        <f t="shared" si="28"/>
        <v>0</v>
      </c>
      <c r="AI136">
        <f t="shared" si="29"/>
        <v>0</v>
      </c>
      <c r="AJ136">
        <f t="shared" si="30"/>
        <v>0</v>
      </c>
      <c r="AK136">
        <f t="shared" si="31"/>
        <v>0</v>
      </c>
      <c r="AL136">
        <f t="shared" si="32"/>
        <v>0</v>
      </c>
      <c r="AM136">
        <f t="shared" si="33"/>
        <v>0</v>
      </c>
      <c r="AN136">
        <f t="shared" si="34"/>
        <v>128</v>
      </c>
      <c r="AO136">
        <f t="shared" si="35"/>
        <v>128</v>
      </c>
      <c r="AP136">
        <f t="shared" si="36"/>
        <v>128</v>
      </c>
      <c r="AQ136">
        <f t="shared" si="37"/>
        <v>128</v>
      </c>
      <c r="AR136" s="6">
        <f t="shared" si="38"/>
        <v>128</v>
      </c>
      <c r="AS136">
        <f t="shared" si="39"/>
        <v>128</v>
      </c>
      <c r="AV136" s="1" t="str">
        <f>IF(IFERROR(INDEX($A$9:$W$304,$AS136,COLUMNS($AV$9:AV135)),"")=0,"",IFERROR(INDEX($A$9:$W$304,$AS136,COLUMNS($AV$9:AV135)),""))</f>
        <v>Infernal Gatekeeper</v>
      </c>
      <c r="AW136" s="1">
        <f>IFERROR(INDEX($A$9:$W$304,$AS136,COLUMNS($AV$9:AW135)),"")</f>
        <v>1</v>
      </c>
      <c r="AX136" s="1" t="str">
        <f>IF(IFERROR(INDEX($A$9:$X$304,$AS136,COLUMNS($AV$9:AX135)),"")=0,"",IFERROR(INDEX($A$9:$X$304,$AS136,COLUMNS($AV$9:AX135)),""))</f>
        <v>EVIL</v>
      </c>
      <c r="AY136" s="1" t="str">
        <f>IF(IFERROR(INDEX($A$9:$X$304,$AS136,COLUMNS($AV$9:AY135)),"")=0,"",IFERROR(INDEX($A$9:$X$304,$AS136,COLUMNS($AV$9:AY135)),""))</f>
        <v/>
      </c>
      <c r="AZ136" s="1" t="str">
        <f>IF(IFERROR(INDEX($A$9:$X$304,$AS136,COLUMNS($AV$9:AZ135)),"")=0,"",IFERROR(INDEX($A$9:$X$304,$AS136,COLUMNS($AV$9:AZ135)),""))</f>
        <v>CHAMPION</v>
      </c>
      <c r="BA136" s="1">
        <f>IF(IFERROR(INDEX($A$9:$X$304,$AS136,COLUMNS($AV$9:BA135)),"")=0,"",IFERROR(INDEX($A$9:$X$304,$AS136,COLUMNS($AV$9:BA135)),""))</f>
        <v>9</v>
      </c>
      <c r="BB136" s="1">
        <f>IF(IFERROR(INDEX($A$9:$X$304,$AS136,COLUMNS($AV$9:BB135)),"")=0,"",IFERROR(INDEX($A$9:$X$304,$AS136,COLUMNS($AV$9:BB135)),""))</f>
        <v>9</v>
      </c>
      <c r="BC136" s="1" t="str">
        <f>IF(IFERROR(INDEX($A$9:$X$304,$AS136,COLUMNS($AV$9:BC135)),"")=0,"",IFERROR(INDEX($A$9:$X$304,$AS136,COLUMNS($AV$9:BC135)),""))</f>
        <v>Tribute and/or {evil} → You may pay 1 health. If you do, put a demon token into play.</v>
      </c>
      <c r="BD136" s="1" t="str">
        <f>IF(IFERROR(INDEX($A$9:$X$304,$AS136,COLUMNS($AV$9:BD135)),"")=0,"",IFERROR(INDEX($A$9:$X$304,$AS136,COLUMNS($AV$9:BD135)),""))</f>
        <v/>
      </c>
      <c r="BE136" s="1" t="str">
        <f>IF(IFERROR(INDEX($A$9:$X$304,$AS136,COLUMNS($AV$9:BE135)),"")=0,"",IFERROR(INDEX($A$9:$X$304,$AS136,COLUMNS($AV$9:BE135)),""))</f>
        <v/>
      </c>
      <c r="BF136" s="1" t="str">
        <f>IF(IFERROR(INDEX($A$9:$X$304,$AS136,COLUMNS($AV$9:BF135)),"")=0,"",IFERROR(INDEX($A$9:$X$304,$AS136,COLUMNS($AV$9:BF135)),""))</f>
        <v/>
      </c>
      <c r="BG136" s="1" t="str">
        <f>IF(IFERROR(INDEX($A$9:$X$304,$AS136,COLUMNS($AV$9:BG135)),"")=0,"",IFERROR(INDEX($A$9:$X$304,$AS136,COLUMNS($AV$9:BG135)),""))</f>
        <v/>
      </c>
      <c r="BH136" s="1" t="str">
        <f>IF(IFERROR(INDEX($A$9:$X$304,$AS136,COLUMNS($AV$9:BH135)),"")=0,"",IFERROR(INDEX($A$9:$X$304,$AS136,COLUMNS($AV$9:BH135)),""))</f>
        <v/>
      </c>
      <c r="BI136" s="1" t="str">
        <f>IF(IFERROR(INDEX($A$9:$X$304,$AS136,COLUMNS($AV$9:BI135)),"")=0,"",IFERROR(INDEX($A$9:$X$304,$AS136,COLUMNS($AV$9:BI135)),""))</f>
        <v/>
      </c>
      <c r="BJ136" s="1" t="str">
        <f>IF(IFERROR(INDEX($A$9:$X$304,$AS136,COLUMNS($AV$9:BJ135)),"")=0,"",IFERROR(INDEX($A$9:$X$304,$AS136,COLUMNS($AV$9:BJ135)),""))</f>
        <v>DEMON</v>
      </c>
      <c r="BK136" s="1" t="str">
        <f>IF(IFERROR(INDEX($A$9:$X$304,$AS136,COLUMNS($AV$9:BK135)),"")=0,"",IFERROR(INDEX($A$9:$X$304,$AS136,COLUMNS($AV$9:BK135)),""))</f>
        <v>Common</v>
      </c>
      <c r="BL136" s="1" t="str">
        <f>IF(IFERROR(INDEX($A$9:$X$304,$AS136,COLUMNS($AV$9:BL135)),"")=0,"",IFERROR(INDEX($A$9:$X$304,$AS136,COLUMNS($AV$9:BL135)),""))</f>
        <v>Daniel Dussault</v>
      </c>
      <c r="BM136" s="1" t="str">
        <f>IF(IFERROR(INDEX($A$9:$X$304,$AS136,COLUMNS($AV$9:BM135)),"")=0,"",IFERROR(INDEX($A$9:$X$304,$AS136,COLUMNS($AV$9:BM135)),""))</f>
        <v>Base Set</v>
      </c>
      <c r="BN136" s="3" t="b">
        <f>IF(IFERROR(INDEX($A$9:$X$304,$AS136,COLUMNS($AV$9:BN135)),"")=0,"",IFERROR(INDEX($A$9:$X$304,$AS136,COLUMNS($AV$9:BN135)),""))</f>
        <v>1</v>
      </c>
      <c r="BO136" s="3" t="b">
        <f>IF(IFERROR(INDEX($A$9:$X$304,$AS136,COLUMNS($AV$9:BO135)),"")=0,"",IFERROR(INDEX($A$9:$X$304,$AS136,COLUMNS($AV$9:BO135)),""))</f>
        <v>0</v>
      </c>
      <c r="BP136" s="3" t="b">
        <f>IF(IFERROR(INDEX($A$9:$X$304,$AS136,COLUMNS($AV$9:BP135)),"")=0,"",IFERROR(INDEX($A$9:$X$304,$AS136,COLUMNS($AV$9:BP135)),""))</f>
        <v>0</v>
      </c>
      <c r="BQ136" s="3" t="b">
        <f>IF(IFERROR(INDEX($A$9:$X$304,$AS136,COLUMNS($AV$9:BQ135)),"")=0,"",IFERROR(INDEX($A$9:$X$304,$AS136,COLUMNS($AV$9:BQ135)),""))</f>
        <v>0</v>
      </c>
      <c r="BR136" s="3" t="str">
        <f>IF(IFERROR(INDEX($A$9:$X$304,$AS136,COLUMNS($AV$9:BR135)),"")=0,"",IFERROR(INDEX($A$9:$X$304,$AS136,COLUMNS($AV$9:BR135)),""))</f>
        <v>http://www.epiccardgame.com/wp-content/uploads/2015/09/infernal_gatekeeper-215x300.jpg</v>
      </c>
      <c r="BS136" s="3" t="str">
        <f>IF(IFERROR(INDEX($A$9:$X$304,$AS136,COLUMNS($AV$9:BS135)),"")=0,"",IFERROR(INDEX($A$9:$X$304,$AS136,COLUMNS($AV$9:BS135)),""))</f>
        <v/>
      </c>
      <c r="BT136" s="3"/>
      <c r="BU136" s="15"/>
      <c r="BV136" t="s">
        <v>157</v>
      </c>
    </row>
    <row r="137" spans="1:74" ht="225.2" customHeight="1" x14ac:dyDescent="0.25">
      <c r="A137" t="s">
        <v>452</v>
      </c>
      <c r="B137">
        <v>1</v>
      </c>
      <c r="C137" t="s">
        <v>617</v>
      </c>
      <c r="E137" t="s">
        <v>619</v>
      </c>
      <c r="H137" t="s">
        <v>627</v>
      </c>
      <c r="I137" t="s">
        <v>851</v>
      </c>
      <c r="O137" t="s">
        <v>1062</v>
      </c>
      <c r="P137" t="s">
        <v>1112</v>
      </c>
      <c r="Q137" t="s">
        <v>1124</v>
      </c>
      <c r="R137" t="s">
        <v>1171</v>
      </c>
      <c r="S137" t="b">
        <v>1</v>
      </c>
      <c r="T137" t="b">
        <v>1</v>
      </c>
      <c r="U137" t="b">
        <v>0</v>
      </c>
      <c r="V137" t="b">
        <v>0</v>
      </c>
      <c r="W137" s="2" t="s">
        <v>1312</v>
      </c>
      <c r="X137" s="2"/>
      <c r="Y137" s="24">
        <v>129</v>
      </c>
      <c r="Z137">
        <f t="shared" ref="Z137:Z200" si="40">IF((IFERROR(SEARCH($BU$6,A137), FALSE)),$Y137,0)</f>
        <v>129</v>
      </c>
      <c r="AA137">
        <f t="shared" ref="AA137:AA200" si="41">IF((IFERROR(SEARCH($BU$6,B137), FALSE)),$Y137,0)</f>
        <v>129</v>
      </c>
      <c r="AB137">
        <f t="shared" ref="AB137:AB200" si="42">IF((IFERROR(SEARCH($BU$6,C137), FALSE)),$Y137,0)</f>
        <v>129</v>
      </c>
      <c r="AC137">
        <f t="shared" ref="AC137:AC200" si="43">IF((IFERROR(SEARCH($BU$6,D137), FALSE)),$Y137,0)</f>
        <v>0</v>
      </c>
      <c r="AD137">
        <f t="shared" ref="AD137:AD200" si="44">IF((IFERROR(SEARCH($BU$6,E137), FALSE)),$Y137,0)</f>
        <v>129</v>
      </c>
      <c r="AE137">
        <f t="shared" ref="AE137:AE200" si="45">IF((IFERROR(SEARCH($BU$6,F137), FALSE)),$Y137,0)</f>
        <v>0</v>
      </c>
      <c r="AF137">
        <f t="shared" ref="AF137:AF200" si="46">IF((IFERROR(SEARCH($BU$6,G137), FALSE)),$Y137,0)</f>
        <v>0</v>
      </c>
      <c r="AG137">
        <f t="shared" ref="AG137:AG200" si="47">IF((IFERROR(SEARCH($BU$6,H137), FALSE)),$Y137,0)</f>
        <v>129</v>
      </c>
      <c r="AH137">
        <f t="shared" ref="AH137:AH200" si="48">IF((IFERROR(SEARCH($BU$6,I137), FALSE)),$Y137,0)</f>
        <v>129</v>
      </c>
      <c r="AI137">
        <f t="shared" ref="AI137:AI200" si="49">IF((IFERROR(SEARCH($BU$6,J137), FALSE)),$Y137,0)</f>
        <v>0</v>
      </c>
      <c r="AJ137">
        <f t="shared" ref="AJ137:AJ200" si="50">IF((IFERROR(SEARCH($BU$6,K137), FALSE)),$Y137,0)</f>
        <v>0</v>
      </c>
      <c r="AK137">
        <f t="shared" ref="AK137:AK200" si="51">IF((IFERROR(SEARCH($BU$6,L137), FALSE)),$Y137,0)</f>
        <v>0</v>
      </c>
      <c r="AL137">
        <f t="shared" ref="AL137:AL200" si="52">IF((IFERROR(SEARCH($BU$6,M137), FALSE)),$Y137,0)</f>
        <v>0</v>
      </c>
      <c r="AM137">
        <f t="shared" ref="AM137:AM200" si="53">IF((IFERROR(SEARCH($BU$6,N137), FALSE)),$Y137,0)</f>
        <v>0</v>
      </c>
      <c r="AN137">
        <f t="shared" ref="AN137:AN200" si="54">IF((IFERROR(SEARCH($BU$6,O137), FALSE)),$Y137,0)</f>
        <v>129</v>
      </c>
      <c r="AO137">
        <f t="shared" ref="AO137:AO200" si="55">IF((IFERROR(SEARCH($BU$6,P137), FALSE)),$Y137,0)</f>
        <v>129</v>
      </c>
      <c r="AP137">
        <f t="shared" ref="AP137:AP200" si="56">IF((IFERROR(SEARCH($BU$6,Q137), FALSE)),$Y137,0)</f>
        <v>129</v>
      </c>
      <c r="AQ137">
        <f t="shared" ref="AQ137:AQ200" si="57">IF((IFERROR(SEARCH($BU$6,R137), FALSE)),$Y137,0)</f>
        <v>129</v>
      </c>
      <c r="AR137" s="6">
        <f t="shared" si="38"/>
        <v>129</v>
      </c>
      <c r="AS137">
        <f t="shared" si="39"/>
        <v>129</v>
      </c>
      <c r="AV137" s="1" t="str">
        <f>IF(IFERROR(INDEX($A$9:$W$304,$AS137,COLUMNS($AV$9:AV136)),"")=0,"",IFERROR(INDEX($A$9:$W$304,$AS137,COLUMNS($AV$9:AV136)),""))</f>
        <v>Inheritance of the Meek</v>
      </c>
      <c r="AW137" s="1">
        <f>IFERROR(INDEX($A$9:$W$304,$AS137,COLUMNS($AV$9:AW136)),"")</f>
        <v>1</v>
      </c>
      <c r="AX137" s="1" t="str">
        <f>IF(IFERROR(INDEX($A$9:$X$304,$AS137,COLUMNS($AV$9:AX136)),"")=0,"",IFERROR(INDEX($A$9:$X$304,$AS137,COLUMNS($AV$9:AX136)),""))</f>
        <v>GOOD</v>
      </c>
      <c r="AY137" s="1" t="str">
        <f>IF(IFERROR(INDEX($A$9:$X$304,$AS137,COLUMNS($AV$9:AY136)),"")=0,"",IFERROR(INDEX($A$9:$X$304,$AS137,COLUMNS($AV$9:AY136)),""))</f>
        <v/>
      </c>
      <c r="AZ137" s="1" t="str">
        <f>IF(IFERROR(INDEX($A$9:$X$304,$AS137,COLUMNS($AV$9:AZ136)),"")=0,"",IFERROR(INDEX($A$9:$X$304,$AS137,COLUMNS($AV$9:AZ136)),""))</f>
        <v>EVENT</v>
      </c>
      <c r="BA137" s="1" t="str">
        <f>IF(IFERROR(INDEX($A$9:$X$304,$AS137,COLUMNS($AV$9:BA136)),"")=0,"",IFERROR(INDEX($A$9:$X$304,$AS137,COLUMNS($AV$9:BA136)),""))</f>
        <v/>
      </c>
      <c r="BB137" s="1" t="str">
        <f>IF(IFERROR(INDEX($A$9:$X$304,$AS137,COLUMNS($AV$9:BB136)),"")=0,"",IFERROR(INDEX($A$9:$X$304,$AS137,COLUMNS($AV$9:BB136)),""))</f>
        <v/>
      </c>
      <c r="BC137" s="1" t="str">
        <f>IF(IFERROR(INDEX($A$9:$X$304,$AS137,COLUMNS($AV$9:BC136)),"")=0,"",IFERROR(INDEX($A$9:$X$304,$AS137,COLUMNS($AV$9:BC136)),""))</f>
        <v>Draw two cards.</v>
      </c>
      <c r="BD137" s="1" t="str">
        <f>IF(IFERROR(INDEX($A$9:$X$304,$AS137,COLUMNS($AV$9:BD136)),"")=0,"",IFERROR(INDEX($A$9:$X$304,$AS137,COLUMNS($AV$9:BD136)),""))</f>
        <v>Banish all non-token champions. If it's an opponent's turn, they draw a card.</v>
      </c>
      <c r="BE137" s="1" t="str">
        <f>IF(IFERROR(INDEX($A$9:$X$304,$AS137,COLUMNS($AV$9:BE136)),"")=0,"",IFERROR(INDEX($A$9:$X$304,$AS137,COLUMNS($AV$9:BE136)),""))</f>
        <v/>
      </c>
      <c r="BF137" s="1" t="str">
        <f>IF(IFERROR(INDEX($A$9:$X$304,$AS137,COLUMNS($AV$9:BF136)),"")=0,"",IFERROR(INDEX($A$9:$X$304,$AS137,COLUMNS($AV$9:BF136)),""))</f>
        <v/>
      </c>
      <c r="BG137" s="1" t="str">
        <f>IF(IFERROR(INDEX($A$9:$X$304,$AS137,COLUMNS($AV$9:BG136)),"")=0,"",IFERROR(INDEX($A$9:$X$304,$AS137,COLUMNS($AV$9:BG136)),""))</f>
        <v/>
      </c>
      <c r="BH137" s="1" t="str">
        <f>IF(IFERROR(INDEX($A$9:$X$304,$AS137,COLUMNS($AV$9:BH136)),"")=0,"",IFERROR(INDEX($A$9:$X$304,$AS137,COLUMNS($AV$9:BH136)),""))</f>
        <v/>
      </c>
      <c r="BI137" s="1" t="str">
        <f>IF(IFERROR(INDEX($A$9:$X$304,$AS137,COLUMNS($AV$9:BI136)),"")=0,"",IFERROR(INDEX($A$9:$X$304,$AS137,COLUMNS($AV$9:BI136)),""))</f>
        <v/>
      </c>
      <c r="BJ137" s="1" t="str">
        <f>IF(IFERROR(INDEX($A$9:$X$304,$AS137,COLUMNS($AV$9:BJ136)),"")=0,"",IFERROR(INDEX($A$9:$X$304,$AS137,COLUMNS($AV$9:BJ136)),""))</f>
        <v>None</v>
      </c>
      <c r="BK137" s="1" t="str">
        <f>IF(IFERROR(INDEX($A$9:$X$304,$AS137,COLUMNS($AV$9:BK136)),"")=0,"",IFERROR(INDEX($A$9:$X$304,$AS137,COLUMNS($AV$9:BK136)),""))</f>
        <v>Common</v>
      </c>
      <c r="BL137" s="1" t="str">
        <f>IF(IFERROR(INDEX($A$9:$X$304,$AS137,COLUMNS($AV$9:BL136)),"")=0,"",IFERROR(INDEX($A$9:$X$304,$AS137,COLUMNS($AV$9:BL136)),""))</f>
        <v>Souveraine</v>
      </c>
      <c r="BM137" s="1" t="str">
        <f>IF(IFERROR(INDEX($A$9:$X$304,$AS137,COLUMNS($AV$9:BM136)),"")=0,"",IFERROR(INDEX($A$9:$X$304,$AS137,COLUMNS($AV$9:BM136)),""))</f>
        <v>Base Set</v>
      </c>
      <c r="BN137" s="3" t="b">
        <f>IF(IFERROR(INDEX($A$9:$X$304,$AS137,COLUMNS($AV$9:BN136)),"")=0,"",IFERROR(INDEX($A$9:$X$304,$AS137,COLUMNS($AV$9:BN136)),""))</f>
        <v>1</v>
      </c>
      <c r="BO137" s="3" t="b">
        <f>IF(IFERROR(INDEX($A$9:$X$304,$AS137,COLUMNS($AV$9:BO136)),"")=0,"",IFERROR(INDEX($A$9:$X$304,$AS137,COLUMNS($AV$9:BO136)),""))</f>
        <v>1</v>
      </c>
      <c r="BP137" s="3" t="b">
        <f>IF(IFERROR(INDEX($A$9:$X$304,$AS137,COLUMNS($AV$9:BP136)),"")=0,"",IFERROR(INDEX($A$9:$X$304,$AS137,COLUMNS($AV$9:BP136)),""))</f>
        <v>0</v>
      </c>
      <c r="BQ137" s="3" t="b">
        <f>IF(IFERROR(INDEX($A$9:$X$304,$AS137,COLUMNS($AV$9:BQ136)),"")=0,"",IFERROR(INDEX($A$9:$X$304,$AS137,COLUMNS($AV$9:BQ136)),""))</f>
        <v>0</v>
      </c>
      <c r="BR137" s="3" t="str">
        <f>IF(IFERROR(INDEX($A$9:$X$304,$AS137,COLUMNS($AV$9:BR136)),"")=0,"",IFERROR(INDEX($A$9:$X$304,$AS137,COLUMNS($AV$9:BR136)),""))</f>
        <v>http://www.epiccardgame.com/wp-content/uploads/2015/09/inheritance_of_the_meek-215x300.jpg</v>
      </c>
      <c r="BS137" s="3" t="str">
        <f>IF(IFERROR(INDEX($A$9:$X$304,$AS137,COLUMNS($AV$9:BS136)),"")=0,"",IFERROR(INDEX($A$9:$X$304,$AS137,COLUMNS($AV$9:BS136)),""))</f>
        <v/>
      </c>
      <c r="BT137" s="3"/>
      <c r="BU137" s="15"/>
      <c r="BV137" t="s">
        <v>158</v>
      </c>
    </row>
    <row r="138" spans="1:74" ht="225.2" customHeight="1" x14ac:dyDescent="0.25">
      <c r="A138" t="s">
        <v>453</v>
      </c>
      <c r="B138">
        <v>1</v>
      </c>
      <c r="C138" t="s">
        <v>618</v>
      </c>
      <c r="E138" t="s">
        <v>619</v>
      </c>
      <c r="H138" t="s">
        <v>627</v>
      </c>
      <c r="I138" t="s">
        <v>852</v>
      </c>
      <c r="O138" t="s">
        <v>1078</v>
      </c>
      <c r="P138" t="s">
        <v>1112</v>
      </c>
      <c r="Q138" t="s">
        <v>1117</v>
      </c>
      <c r="R138" t="s">
        <v>1171</v>
      </c>
      <c r="S138" t="b">
        <v>1</v>
      </c>
      <c r="T138" t="b">
        <v>1</v>
      </c>
      <c r="U138" t="b">
        <v>0</v>
      </c>
      <c r="V138" t="b">
        <v>0</v>
      </c>
      <c r="W138" s="2" t="s">
        <v>1313</v>
      </c>
      <c r="X138" s="2"/>
      <c r="Y138" s="24">
        <v>130</v>
      </c>
      <c r="Z138">
        <f t="shared" si="40"/>
        <v>130</v>
      </c>
      <c r="AA138">
        <f t="shared" si="41"/>
        <v>130</v>
      </c>
      <c r="AB138">
        <f t="shared" si="42"/>
        <v>130</v>
      </c>
      <c r="AC138">
        <f t="shared" si="43"/>
        <v>0</v>
      </c>
      <c r="AD138">
        <f t="shared" si="44"/>
        <v>130</v>
      </c>
      <c r="AE138">
        <f t="shared" si="45"/>
        <v>0</v>
      </c>
      <c r="AF138">
        <f t="shared" si="46"/>
        <v>0</v>
      </c>
      <c r="AG138">
        <f t="shared" si="47"/>
        <v>130</v>
      </c>
      <c r="AH138">
        <f t="shared" si="48"/>
        <v>130</v>
      </c>
      <c r="AI138">
        <f t="shared" si="49"/>
        <v>0</v>
      </c>
      <c r="AJ138">
        <f t="shared" si="50"/>
        <v>0</v>
      </c>
      <c r="AK138">
        <f t="shared" si="51"/>
        <v>0</v>
      </c>
      <c r="AL138">
        <f t="shared" si="52"/>
        <v>0</v>
      </c>
      <c r="AM138">
        <f t="shared" si="53"/>
        <v>0</v>
      </c>
      <c r="AN138">
        <f t="shared" si="54"/>
        <v>130</v>
      </c>
      <c r="AO138">
        <f t="shared" si="55"/>
        <v>130</v>
      </c>
      <c r="AP138">
        <f t="shared" si="56"/>
        <v>130</v>
      </c>
      <c r="AQ138">
        <f t="shared" si="57"/>
        <v>130</v>
      </c>
      <c r="AR138" s="6">
        <f t="shared" ref="AR138:AR201" si="58">IF(SUM($Z138:$AQ138)&gt;=$Y138,$Y138,"")</f>
        <v>130</v>
      </c>
      <c r="AS138">
        <f t="shared" ref="AS138:AS201" si="59">IFERROR(SMALL($AR$9:$AR$304,$Y138),"")</f>
        <v>130</v>
      </c>
      <c r="AV138" s="1" t="str">
        <f>IF(IFERROR(INDEX($A$9:$W$304,$AS138,COLUMNS($AV$9:AV137)),"")=0,"",IFERROR(INDEX($A$9:$W$304,$AS138,COLUMNS($AV$9:AV137)),""))</f>
        <v>Inner Demon</v>
      </c>
      <c r="AW138" s="1">
        <f>IFERROR(INDEX($A$9:$W$304,$AS138,COLUMNS($AV$9:AW137)),"")</f>
        <v>1</v>
      </c>
      <c r="AX138" s="1" t="str">
        <f>IF(IFERROR(INDEX($A$9:$X$304,$AS138,COLUMNS($AV$9:AX137)),"")=0,"",IFERROR(INDEX($A$9:$X$304,$AS138,COLUMNS($AV$9:AX137)),""))</f>
        <v>EVIL</v>
      </c>
      <c r="AY138" s="1" t="str">
        <f>IF(IFERROR(INDEX($A$9:$X$304,$AS138,COLUMNS($AV$9:AY137)),"")=0,"",IFERROR(INDEX($A$9:$X$304,$AS138,COLUMNS($AV$9:AY137)),""))</f>
        <v/>
      </c>
      <c r="AZ138" s="1" t="str">
        <f>IF(IFERROR(INDEX($A$9:$X$304,$AS138,COLUMNS($AV$9:AZ137)),"")=0,"",IFERROR(INDEX($A$9:$X$304,$AS138,COLUMNS($AV$9:AZ137)),""))</f>
        <v>EVENT</v>
      </c>
      <c r="BA138" s="1" t="str">
        <f>IF(IFERROR(INDEX($A$9:$X$304,$AS138,COLUMNS($AV$9:BA137)),"")=0,"",IFERROR(INDEX($A$9:$X$304,$AS138,COLUMNS($AV$9:BA137)),""))</f>
        <v/>
      </c>
      <c r="BB138" s="1" t="str">
        <f>IF(IFERROR(INDEX($A$9:$X$304,$AS138,COLUMNS($AV$9:BB137)),"")=0,"",IFERROR(INDEX($A$9:$X$304,$AS138,COLUMNS($AV$9:BB137)),""))</f>
        <v/>
      </c>
      <c r="BC138" s="1" t="str">
        <f>IF(IFERROR(INDEX($A$9:$X$304,$AS138,COLUMNS($AV$9:BC137)),"")=0,"",IFERROR(INDEX($A$9:$X$304,$AS138,COLUMNS($AV$9:BC137)),""))</f>
        <v>Draw two cards.</v>
      </c>
      <c r="BD138" s="1" t="str">
        <f>IF(IFERROR(INDEX($A$9:$X$304,$AS138,COLUMNS($AV$9:BD137)),"")=0,"",IFERROR(INDEX($A$9:$X$304,$AS138,COLUMNS($AV$9:BD137)),""))</f>
        <v>Break target champion. The player whose turn it is puts a demon token into play.</v>
      </c>
      <c r="BE138" s="1" t="str">
        <f>IF(IFERROR(INDEX($A$9:$X$304,$AS138,COLUMNS($AV$9:BE137)),"")=0,"",IFERROR(INDEX($A$9:$X$304,$AS138,COLUMNS($AV$9:BE137)),""))</f>
        <v/>
      </c>
      <c r="BF138" s="1" t="str">
        <f>IF(IFERROR(INDEX($A$9:$X$304,$AS138,COLUMNS($AV$9:BF137)),"")=0,"",IFERROR(INDEX($A$9:$X$304,$AS138,COLUMNS($AV$9:BF137)),""))</f>
        <v/>
      </c>
      <c r="BG138" s="1" t="str">
        <f>IF(IFERROR(INDEX($A$9:$X$304,$AS138,COLUMNS($AV$9:BG137)),"")=0,"",IFERROR(INDEX($A$9:$X$304,$AS138,COLUMNS($AV$9:BG137)),""))</f>
        <v/>
      </c>
      <c r="BH138" s="1" t="str">
        <f>IF(IFERROR(INDEX($A$9:$X$304,$AS138,COLUMNS($AV$9:BH137)),"")=0,"",IFERROR(INDEX($A$9:$X$304,$AS138,COLUMNS($AV$9:BH137)),""))</f>
        <v/>
      </c>
      <c r="BI138" s="1" t="str">
        <f>IF(IFERROR(INDEX($A$9:$X$304,$AS138,COLUMNS($AV$9:BI137)),"")=0,"",IFERROR(INDEX($A$9:$X$304,$AS138,COLUMNS($AV$9:BI137)),""))</f>
        <v/>
      </c>
      <c r="BJ138" s="1" t="str">
        <f>IF(IFERROR(INDEX($A$9:$X$304,$AS138,COLUMNS($AV$9:BJ137)),"")=0,"",IFERROR(INDEX($A$9:$X$304,$AS138,COLUMNS($AV$9:BJ137)),""))</f>
        <v>DEMON</v>
      </c>
      <c r="BK138" s="1" t="str">
        <f>IF(IFERROR(INDEX($A$9:$X$304,$AS138,COLUMNS($AV$9:BK137)),"")=0,"",IFERROR(INDEX($A$9:$X$304,$AS138,COLUMNS($AV$9:BK137)),""))</f>
        <v>Common</v>
      </c>
      <c r="BL138" s="1" t="str">
        <f>IF(IFERROR(INDEX($A$9:$X$304,$AS138,COLUMNS($AV$9:BL137)),"")=0,"",IFERROR(INDEX($A$9:$X$304,$AS138,COLUMNS($AV$9:BL137)),""))</f>
        <v>Antonis Papantoniou</v>
      </c>
      <c r="BM138" s="1" t="str">
        <f>IF(IFERROR(INDEX($A$9:$X$304,$AS138,COLUMNS($AV$9:BM137)),"")=0,"",IFERROR(INDEX($A$9:$X$304,$AS138,COLUMNS($AV$9:BM137)),""))</f>
        <v>Base Set</v>
      </c>
      <c r="BN138" s="3" t="b">
        <f>IF(IFERROR(INDEX($A$9:$X$304,$AS138,COLUMNS($AV$9:BN137)),"")=0,"",IFERROR(INDEX($A$9:$X$304,$AS138,COLUMNS($AV$9:BN137)),""))</f>
        <v>1</v>
      </c>
      <c r="BO138" s="3" t="b">
        <f>IF(IFERROR(INDEX($A$9:$X$304,$AS138,COLUMNS($AV$9:BO137)),"")=0,"",IFERROR(INDEX($A$9:$X$304,$AS138,COLUMNS($AV$9:BO137)),""))</f>
        <v>1</v>
      </c>
      <c r="BP138" s="3" t="b">
        <f>IF(IFERROR(INDEX($A$9:$X$304,$AS138,COLUMNS($AV$9:BP137)),"")=0,"",IFERROR(INDEX($A$9:$X$304,$AS138,COLUMNS($AV$9:BP137)),""))</f>
        <v>0</v>
      </c>
      <c r="BQ138" s="3" t="b">
        <f>IF(IFERROR(INDEX($A$9:$X$304,$AS138,COLUMNS($AV$9:BQ137)),"")=0,"",IFERROR(INDEX($A$9:$X$304,$AS138,COLUMNS($AV$9:BQ137)),""))</f>
        <v>0</v>
      </c>
      <c r="BR138" s="3" t="str">
        <f>IF(IFERROR(INDEX($A$9:$X$304,$AS138,COLUMNS($AV$9:BR137)),"")=0,"",IFERROR(INDEX($A$9:$X$304,$AS138,COLUMNS($AV$9:BR137)),""))</f>
        <v>http://www.epiccardgame.com/wp-content/uploads/2015/09/inner_demon-215x300.jpg</v>
      </c>
      <c r="BS138" s="3" t="str">
        <f>IF(IFERROR(INDEX($A$9:$X$304,$AS138,COLUMNS($AV$9:BS137)),"")=0,"",IFERROR(INDEX($A$9:$X$304,$AS138,COLUMNS($AV$9:BS137)),""))</f>
        <v/>
      </c>
      <c r="BT138" s="3"/>
      <c r="BU138" s="15"/>
      <c r="BV138" t="s">
        <v>159</v>
      </c>
    </row>
    <row r="139" spans="1:74" ht="225.2" customHeight="1" x14ac:dyDescent="0.25">
      <c r="A139" t="s">
        <v>454</v>
      </c>
      <c r="B139">
        <v>1</v>
      </c>
      <c r="C139" t="s">
        <v>617</v>
      </c>
      <c r="E139" t="s">
        <v>619</v>
      </c>
      <c r="H139" t="s">
        <v>630</v>
      </c>
      <c r="L139" t="s">
        <v>1045</v>
      </c>
      <c r="O139" t="s">
        <v>1062</v>
      </c>
      <c r="P139" t="s">
        <v>1112</v>
      </c>
      <c r="Q139" t="s">
        <v>1124</v>
      </c>
      <c r="R139" t="s">
        <v>1171</v>
      </c>
      <c r="S139" t="b">
        <v>1</v>
      </c>
      <c r="T139" t="b">
        <v>0</v>
      </c>
      <c r="U139" t="b">
        <v>0</v>
      </c>
      <c r="V139" t="b">
        <v>0</v>
      </c>
      <c r="W139" s="2" t="s">
        <v>1314</v>
      </c>
      <c r="X139" s="2"/>
      <c r="Y139" s="24">
        <v>131</v>
      </c>
      <c r="Z139">
        <f t="shared" si="40"/>
        <v>131</v>
      </c>
      <c r="AA139">
        <f t="shared" si="41"/>
        <v>131</v>
      </c>
      <c r="AB139">
        <f t="shared" si="42"/>
        <v>131</v>
      </c>
      <c r="AC139">
        <f t="shared" si="43"/>
        <v>0</v>
      </c>
      <c r="AD139">
        <f t="shared" si="44"/>
        <v>131</v>
      </c>
      <c r="AE139">
        <f t="shared" si="45"/>
        <v>0</v>
      </c>
      <c r="AF139">
        <f t="shared" si="46"/>
        <v>0</v>
      </c>
      <c r="AG139">
        <f t="shared" si="47"/>
        <v>131</v>
      </c>
      <c r="AH139">
        <f t="shared" si="48"/>
        <v>0</v>
      </c>
      <c r="AI139">
        <f t="shared" si="49"/>
        <v>0</v>
      </c>
      <c r="AJ139">
        <f t="shared" si="50"/>
        <v>0</v>
      </c>
      <c r="AK139">
        <f t="shared" si="51"/>
        <v>131</v>
      </c>
      <c r="AL139">
        <f t="shared" si="52"/>
        <v>0</v>
      </c>
      <c r="AM139">
        <f t="shared" si="53"/>
        <v>0</v>
      </c>
      <c r="AN139">
        <f t="shared" si="54"/>
        <v>131</v>
      </c>
      <c r="AO139">
        <f t="shared" si="55"/>
        <v>131</v>
      </c>
      <c r="AP139">
        <f t="shared" si="56"/>
        <v>131</v>
      </c>
      <c r="AQ139">
        <f t="shared" si="57"/>
        <v>131</v>
      </c>
      <c r="AR139" s="6">
        <f t="shared" si="58"/>
        <v>131</v>
      </c>
      <c r="AS139">
        <f t="shared" si="59"/>
        <v>131</v>
      </c>
      <c r="AV139" s="1" t="str">
        <f>IF(IFERROR(INDEX($A$9:$W$304,$AS139,COLUMNS($AV$9:AV138)),"")=0,"",IFERROR(INDEX($A$9:$W$304,$AS139,COLUMNS($AV$9:AV138)),""))</f>
        <v>Inner Peace</v>
      </c>
      <c r="AW139" s="1">
        <f>IFERROR(INDEX($A$9:$W$304,$AS139,COLUMNS($AV$9:AW138)),"")</f>
        <v>1</v>
      </c>
      <c r="AX139" s="1" t="str">
        <f>IF(IFERROR(INDEX($A$9:$X$304,$AS139,COLUMNS($AV$9:AX138)),"")=0,"",IFERROR(INDEX($A$9:$X$304,$AS139,COLUMNS($AV$9:AX138)),""))</f>
        <v>GOOD</v>
      </c>
      <c r="AY139" s="1" t="str">
        <f>IF(IFERROR(INDEX($A$9:$X$304,$AS139,COLUMNS($AV$9:AY138)),"")=0,"",IFERROR(INDEX($A$9:$X$304,$AS139,COLUMNS($AV$9:AY138)),""))</f>
        <v/>
      </c>
      <c r="AZ139" s="1" t="str">
        <f>IF(IFERROR(INDEX($A$9:$X$304,$AS139,COLUMNS($AV$9:AZ138)),"")=0,"",IFERROR(INDEX($A$9:$X$304,$AS139,COLUMNS($AV$9:AZ138)),""))</f>
        <v>EVENT</v>
      </c>
      <c r="BA139" s="1" t="str">
        <f>IF(IFERROR(INDEX($A$9:$X$304,$AS139,COLUMNS($AV$9:BA138)),"")=0,"",IFERROR(INDEX($A$9:$X$304,$AS139,COLUMNS($AV$9:BA138)),""))</f>
        <v/>
      </c>
      <c r="BB139" s="1" t="str">
        <f>IF(IFERROR(INDEX($A$9:$X$304,$AS139,COLUMNS($AV$9:BB138)),"")=0,"",IFERROR(INDEX($A$9:$X$304,$AS139,COLUMNS($AV$9:BB138)),""))</f>
        <v/>
      </c>
      <c r="BC139" s="1" t="str">
        <f>IF(IFERROR(INDEX($A$9:$X$304,$AS139,COLUMNS($AV$9:BC138)),"")=0,"",IFERROR(INDEX($A$9:$X$304,$AS139,COLUMNS($AV$9:BC138)),""))</f>
        <v>Gain 10 health.</v>
      </c>
      <c r="BD139" s="1" t="str">
        <f>IF(IFERROR(INDEX($A$9:$X$304,$AS139,COLUMNS($AV$9:BD138)),"")=0,"",IFERROR(INDEX($A$9:$X$304,$AS139,COLUMNS($AV$9:BD138)),""))</f>
        <v/>
      </c>
      <c r="BE139" s="1" t="str">
        <f>IF(IFERROR(INDEX($A$9:$X$304,$AS139,COLUMNS($AV$9:BE138)),"")=0,"",IFERROR(INDEX($A$9:$X$304,$AS139,COLUMNS($AV$9:BE138)),""))</f>
        <v/>
      </c>
      <c r="BF139" s="1" t="str">
        <f>IF(IFERROR(INDEX($A$9:$X$304,$AS139,COLUMNS($AV$9:BF138)),"")=0,"",IFERROR(INDEX($A$9:$X$304,$AS139,COLUMNS($AV$9:BF138)),""))</f>
        <v/>
      </c>
      <c r="BG139" s="1" t="str">
        <f>IF(IFERROR(INDEX($A$9:$X$304,$AS139,COLUMNS($AV$9:BG138)),"")=0,"",IFERROR(INDEX($A$9:$X$304,$AS139,COLUMNS($AV$9:BG138)),""))</f>
        <v>{good} → Recall</v>
      </c>
      <c r="BH139" s="1" t="str">
        <f>IF(IFERROR(INDEX($A$9:$X$304,$AS139,COLUMNS($AV$9:BH138)),"")=0,"",IFERROR(INDEX($A$9:$X$304,$AS139,COLUMNS($AV$9:BH138)),""))</f>
        <v/>
      </c>
      <c r="BI139" s="1" t="str">
        <f>IF(IFERROR(INDEX($A$9:$X$304,$AS139,COLUMNS($AV$9:BI138)),"")=0,"",IFERROR(INDEX($A$9:$X$304,$AS139,COLUMNS($AV$9:BI138)),""))</f>
        <v/>
      </c>
      <c r="BJ139" s="1" t="str">
        <f>IF(IFERROR(INDEX($A$9:$X$304,$AS139,COLUMNS($AV$9:BJ138)),"")=0,"",IFERROR(INDEX($A$9:$X$304,$AS139,COLUMNS($AV$9:BJ138)),""))</f>
        <v>None</v>
      </c>
      <c r="BK139" s="1" t="str">
        <f>IF(IFERROR(INDEX($A$9:$X$304,$AS139,COLUMNS($AV$9:BK138)),"")=0,"",IFERROR(INDEX($A$9:$X$304,$AS139,COLUMNS($AV$9:BK138)),""))</f>
        <v>Common</v>
      </c>
      <c r="BL139" s="1" t="str">
        <f>IF(IFERROR(INDEX($A$9:$X$304,$AS139,COLUMNS($AV$9:BL138)),"")=0,"",IFERROR(INDEX($A$9:$X$304,$AS139,COLUMNS($AV$9:BL138)),""))</f>
        <v>Souveraine</v>
      </c>
      <c r="BM139" s="1" t="str">
        <f>IF(IFERROR(INDEX($A$9:$X$304,$AS139,COLUMNS($AV$9:BM138)),"")=0,"",IFERROR(INDEX($A$9:$X$304,$AS139,COLUMNS($AV$9:BM138)),""))</f>
        <v>Base Set</v>
      </c>
      <c r="BN139" s="3" t="b">
        <f>IF(IFERROR(INDEX($A$9:$X$304,$AS139,COLUMNS($AV$9:BN138)),"")=0,"",IFERROR(INDEX($A$9:$X$304,$AS139,COLUMNS($AV$9:BN138)),""))</f>
        <v>1</v>
      </c>
      <c r="BO139" s="3" t="b">
        <f>IF(IFERROR(INDEX($A$9:$X$304,$AS139,COLUMNS($AV$9:BO138)),"")=0,"",IFERROR(INDEX($A$9:$X$304,$AS139,COLUMNS($AV$9:BO138)),""))</f>
        <v>0</v>
      </c>
      <c r="BP139" s="3" t="b">
        <f>IF(IFERROR(INDEX($A$9:$X$304,$AS139,COLUMNS($AV$9:BP138)),"")=0,"",IFERROR(INDEX($A$9:$X$304,$AS139,COLUMNS($AV$9:BP138)),""))</f>
        <v>0</v>
      </c>
      <c r="BQ139" s="3" t="b">
        <f>IF(IFERROR(INDEX($A$9:$X$304,$AS139,COLUMNS($AV$9:BQ138)),"")=0,"",IFERROR(INDEX($A$9:$X$304,$AS139,COLUMNS($AV$9:BQ138)),""))</f>
        <v>0</v>
      </c>
      <c r="BR139" s="3" t="str">
        <f>IF(IFERROR(INDEX($A$9:$X$304,$AS139,COLUMNS($AV$9:BR138)),"")=0,"",IFERROR(INDEX($A$9:$X$304,$AS139,COLUMNS($AV$9:BR138)),""))</f>
        <v>http://www.epiccardgame.com/wp-content/uploads/2015/09/inner_peace-215x300.jpg</v>
      </c>
      <c r="BS139" s="3" t="str">
        <f>IF(IFERROR(INDEX($A$9:$X$304,$AS139,COLUMNS($AV$9:BS138)),"")=0,"",IFERROR(INDEX($A$9:$X$304,$AS139,COLUMNS($AV$9:BS138)),""))</f>
        <v/>
      </c>
      <c r="BT139" s="3"/>
      <c r="BU139" s="15"/>
      <c r="BV139" t="s">
        <v>160</v>
      </c>
    </row>
    <row r="140" spans="1:74" ht="225" customHeight="1" x14ac:dyDescent="0.25">
      <c r="A140" t="s">
        <v>455</v>
      </c>
      <c r="B140">
        <v>0</v>
      </c>
      <c r="C140" t="s">
        <v>616</v>
      </c>
      <c r="E140" t="s">
        <v>619</v>
      </c>
      <c r="H140" t="s">
        <v>692</v>
      </c>
      <c r="O140" t="s">
        <v>1062</v>
      </c>
      <c r="P140" t="s">
        <v>1113</v>
      </c>
      <c r="Q140" t="s">
        <v>1127</v>
      </c>
      <c r="R140" t="s">
        <v>1169</v>
      </c>
      <c r="S140" t="b">
        <v>0</v>
      </c>
      <c r="T140" t="b">
        <v>0</v>
      </c>
      <c r="U140" t="b">
        <v>0</v>
      </c>
      <c r="V140" t="b">
        <v>0</v>
      </c>
      <c r="W140" s="2" t="s">
        <v>1315</v>
      </c>
      <c r="X140" s="2"/>
      <c r="Y140" s="24">
        <v>132</v>
      </c>
      <c r="Z140">
        <f t="shared" si="40"/>
        <v>132</v>
      </c>
      <c r="AA140">
        <f t="shared" si="41"/>
        <v>132</v>
      </c>
      <c r="AB140">
        <f t="shared" si="42"/>
        <v>132</v>
      </c>
      <c r="AC140">
        <f t="shared" si="43"/>
        <v>0</v>
      </c>
      <c r="AD140">
        <f t="shared" si="44"/>
        <v>132</v>
      </c>
      <c r="AE140">
        <f t="shared" si="45"/>
        <v>0</v>
      </c>
      <c r="AF140">
        <f t="shared" si="46"/>
        <v>0</v>
      </c>
      <c r="AG140">
        <f t="shared" si="47"/>
        <v>132</v>
      </c>
      <c r="AH140">
        <f t="shared" si="48"/>
        <v>0</v>
      </c>
      <c r="AI140">
        <f t="shared" si="49"/>
        <v>0</v>
      </c>
      <c r="AJ140">
        <f t="shared" si="50"/>
        <v>0</v>
      </c>
      <c r="AK140">
        <f t="shared" si="51"/>
        <v>0</v>
      </c>
      <c r="AL140">
        <f t="shared" si="52"/>
        <v>0</v>
      </c>
      <c r="AM140">
        <f t="shared" si="53"/>
        <v>0</v>
      </c>
      <c r="AN140">
        <f t="shared" si="54"/>
        <v>132</v>
      </c>
      <c r="AO140">
        <f t="shared" si="55"/>
        <v>132</v>
      </c>
      <c r="AP140">
        <f t="shared" si="56"/>
        <v>132</v>
      </c>
      <c r="AQ140">
        <f t="shared" si="57"/>
        <v>132</v>
      </c>
      <c r="AR140" s="6">
        <f t="shared" si="58"/>
        <v>132</v>
      </c>
      <c r="AS140">
        <f t="shared" si="59"/>
        <v>132</v>
      </c>
      <c r="AV140" s="1" t="str">
        <f>IF(IFERROR(INDEX($A$9:$W$304,$AS140,COLUMNS($AV$9:AV139)),"")=0,"",IFERROR(INDEX($A$9:$W$304,$AS140,COLUMNS($AV$9:AV139)),""))</f>
        <v>Inspiration</v>
      </c>
      <c r="AW140" s="1">
        <f>IFERROR(INDEX($A$9:$W$304,$AS140,COLUMNS($AV$9:AW139)),"")</f>
        <v>0</v>
      </c>
      <c r="AX140" s="1" t="str">
        <f>IF(IFERROR(INDEX($A$9:$X$304,$AS140,COLUMNS($AV$9:AX139)),"")=0,"",IFERROR(INDEX($A$9:$X$304,$AS140,COLUMNS($AV$9:AX139)),""))</f>
        <v>SAGE</v>
      </c>
      <c r="AY140" s="1" t="str">
        <f>IF(IFERROR(INDEX($A$9:$X$304,$AS140,COLUMNS($AV$9:AY139)),"")=0,"",IFERROR(INDEX($A$9:$X$304,$AS140,COLUMNS($AV$9:AY139)),""))</f>
        <v/>
      </c>
      <c r="AZ140" s="1" t="str">
        <f>IF(IFERROR(INDEX($A$9:$X$304,$AS140,COLUMNS($AV$9:AZ139)),"")=0,"",IFERROR(INDEX($A$9:$X$304,$AS140,COLUMNS($AV$9:AZ139)),""))</f>
        <v>EVENT</v>
      </c>
      <c r="BA140" s="1" t="str">
        <f>IF(IFERROR(INDEX($A$9:$X$304,$AS140,COLUMNS($AV$9:BA139)),"")=0,"",IFERROR(INDEX($A$9:$X$304,$AS140,COLUMNS($AV$9:BA139)),""))</f>
        <v/>
      </c>
      <c r="BB140" s="1" t="str">
        <f>IF(IFERROR(INDEX($A$9:$X$304,$AS140,COLUMNS($AV$9:BB139)),"")=0,"",IFERROR(INDEX($A$9:$X$304,$AS140,COLUMNS($AV$9:BB139)),""))</f>
        <v/>
      </c>
      <c r="BC140" s="1" t="str">
        <f>IF(IFERROR(INDEX($A$9:$X$304,$AS140,COLUMNS($AV$9:BC139)),"")=0,"",IFERROR(INDEX($A$9:$X$304,$AS140,COLUMNS($AV$9:BC139)),""))</f>
        <v>Banish two cards from your discard pile. If they are both sage, draw two cards. Otherwise, draw a card.</v>
      </c>
      <c r="BD140" s="1" t="str">
        <f>IF(IFERROR(INDEX($A$9:$X$304,$AS140,COLUMNS($AV$9:BD139)),"")=0,"",IFERROR(INDEX($A$9:$X$304,$AS140,COLUMNS($AV$9:BD139)),""))</f>
        <v/>
      </c>
      <c r="BE140" s="1" t="str">
        <f>IF(IFERROR(INDEX($A$9:$X$304,$AS140,COLUMNS($AV$9:BE139)),"")=0,"",IFERROR(INDEX($A$9:$X$304,$AS140,COLUMNS($AV$9:BE139)),""))</f>
        <v/>
      </c>
      <c r="BF140" s="1" t="str">
        <f>IF(IFERROR(INDEX($A$9:$X$304,$AS140,COLUMNS($AV$9:BF139)),"")=0,"",IFERROR(INDEX($A$9:$X$304,$AS140,COLUMNS($AV$9:BF139)),""))</f>
        <v/>
      </c>
      <c r="BG140" s="1" t="str">
        <f>IF(IFERROR(INDEX($A$9:$X$304,$AS140,COLUMNS($AV$9:BG139)),"")=0,"",IFERROR(INDEX($A$9:$X$304,$AS140,COLUMNS($AV$9:BG139)),""))</f>
        <v/>
      </c>
      <c r="BH140" s="1" t="str">
        <f>IF(IFERROR(INDEX($A$9:$X$304,$AS140,COLUMNS($AV$9:BH139)),"")=0,"",IFERROR(INDEX($A$9:$X$304,$AS140,COLUMNS($AV$9:BH139)),""))</f>
        <v/>
      </c>
      <c r="BI140" s="1" t="str">
        <f>IF(IFERROR(INDEX($A$9:$X$304,$AS140,COLUMNS($AV$9:BI139)),"")=0,"",IFERROR(INDEX($A$9:$X$304,$AS140,COLUMNS($AV$9:BI139)),""))</f>
        <v/>
      </c>
      <c r="BJ140" s="1" t="str">
        <f>IF(IFERROR(INDEX($A$9:$X$304,$AS140,COLUMNS($AV$9:BJ139)),"")=0,"",IFERROR(INDEX($A$9:$X$304,$AS140,COLUMNS($AV$9:BJ139)),""))</f>
        <v>None</v>
      </c>
      <c r="BK140" s="1" t="str">
        <f>IF(IFERROR(INDEX($A$9:$X$304,$AS140,COLUMNS($AV$9:BK139)),"")=0,"",IFERROR(INDEX($A$9:$X$304,$AS140,COLUMNS($AV$9:BK139)),""))</f>
        <v>Rare</v>
      </c>
      <c r="BL140" s="1" t="str">
        <f>IF(IFERROR(INDEX($A$9:$X$304,$AS140,COLUMNS($AV$9:BL139)),"")=0,"",IFERROR(INDEX($A$9:$X$304,$AS140,COLUMNS($AV$9:BL139)),""))</f>
        <v>Johnny Morrow</v>
      </c>
      <c r="BM140" s="1" t="str">
        <f>IF(IFERROR(INDEX($A$9:$X$304,$AS140,COLUMNS($AV$9:BM139)),"")=0,"",IFERROR(INDEX($A$9:$X$304,$AS140,COLUMNS($AV$9:BM139)),""))</f>
        <v>Kickstarter Promo</v>
      </c>
      <c r="BN140" s="3" t="b">
        <f>IF(IFERROR(INDEX($A$9:$X$304,$AS140,COLUMNS($AV$9:BN139)),"")=0,"",IFERROR(INDEX($A$9:$X$304,$AS140,COLUMNS($AV$9:BN139)),""))</f>
        <v>0</v>
      </c>
      <c r="BO140" s="3" t="b">
        <f>IF(IFERROR(INDEX($A$9:$X$304,$AS140,COLUMNS($AV$9:BO139)),"")=0,"",IFERROR(INDEX($A$9:$X$304,$AS140,COLUMNS($AV$9:BO139)),""))</f>
        <v>0</v>
      </c>
      <c r="BP140" s="3" t="b">
        <f>IF(IFERROR(INDEX($A$9:$X$304,$AS140,COLUMNS($AV$9:BP139)),"")=0,"",IFERROR(INDEX($A$9:$X$304,$AS140,COLUMNS($AV$9:BP139)),""))</f>
        <v>0</v>
      </c>
      <c r="BQ140" s="3" t="b">
        <f>IF(IFERROR(INDEX($A$9:$X$304,$AS140,COLUMNS($AV$9:BQ139)),"")=0,"",IFERROR(INDEX($A$9:$X$304,$AS140,COLUMNS($AV$9:BQ139)),""))</f>
        <v>0</v>
      </c>
      <c r="BR140" s="3" t="str">
        <f>IF(IFERROR(INDEX($A$9:$X$304,$AS140,COLUMNS($AV$9:BR139)),"")=0,"",IFERROR(INDEX($A$9:$X$304,$AS140,COLUMNS($AV$9:BR139)),""))</f>
        <v>http://www.epiccardgame.com/wp-content/uploads/2015/09/inspiration-215x300.jpg</v>
      </c>
      <c r="BS140" s="3" t="str">
        <f>IF(IFERROR(INDEX($A$9:$X$304,$AS140,COLUMNS($AV$9:BS139)),"")=0,"",IFERROR(INDEX($A$9:$X$304,$AS140,COLUMNS($AV$9:BS139)),""))</f>
        <v/>
      </c>
      <c r="BT140" s="3"/>
      <c r="BU140" s="15"/>
      <c r="BV140" t="s">
        <v>161</v>
      </c>
    </row>
    <row r="141" spans="1:74" ht="225.2" customHeight="1" x14ac:dyDescent="0.25">
      <c r="A141" t="s">
        <v>456</v>
      </c>
      <c r="B141">
        <v>1</v>
      </c>
      <c r="C141" t="s">
        <v>617</v>
      </c>
      <c r="E141" t="s">
        <v>619</v>
      </c>
      <c r="H141" t="s">
        <v>693</v>
      </c>
      <c r="I141" t="s">
        <v>853</v>
      </c>
      <c r="O141" t="s">
        <v>1062</v>
      </c>
      <c r="P141" t="s">
        <v>1112</v>
      </c>
      <c r="Q141" t="s">
        <v>1152</v>
      </c>
      <c r="R141" t="s">
        <v>1178</v>
      </c>
      <c r="S141" t="b">
        <v>1</v>
      </c>
      <c r="T141" t="b">
        <v>0</v>
      </c>
      <c r="U141" t="b">
        <v>0</v>
      </c>
      <c r="V141" t="b">
        <v>0</v>
      </c>
      <c r="W141" s="2" t="s">
        <v>1316</v>
      </c>
      <c r="X141" s="2"/>
      <c r="Y141" s="24">
        <v>133</v>
      </c>
      <c r="Z141">
        <f t="shared" si="40"/>
        <v>133</v>
      </c>
      <c r="AA141">
        <f t="shared" si="41"/>
        <v>133</v>
      </c>
      <c r="AB141">
        <f t="shared" si="42"/>
        <v>133</v>
      </c>
      <c r="AC141">
        <f t="shared" si="43"/>
        <v>0</v>
      </c>
      <c r="AD141">
        <f t="shared" si="44"/>
        <v>133</v>
      </c>
      <c r="AE141">
        <f t="shared" si="45"/>
        <v>0</v>
      </c>
      <c r="AF141">
        <f t="shared" si="46"/>
        <v>0</v>
      </c>
      <c r="AG141">
        <f t="shared" si="47"/>
        <v>133</v>
      </c>
      <c r="AH141">
        <f t="shared" si="48"/>
        <v>133</v>
      </c>
      <c r="AI141">
        <f t="shared" si="49"/>
        <v>0</v>
      </c>
      <c r="AJ141">
        <f t="shared" si="50"/>
        <v>0</v>
      </c>
      <c r="AK141">
        <f t="shared" si="51"/>
        <v>0</v>
      </c>
      <c r="AL141">
        <f t="shared" si="52"/>
        <v>0</v>
      </c>
      <c r="AM141">
        <f t="shared" si="53"/>
        <v>0</v>
      </c>
      <c r="AN141">
        <f t="shared" si="54"/>
        <v>133</v>
      </c>
      <c r="AO141">
        <f t="shared" si="55"/>
        <v>133</v>
      </c>
      <c r="AP141">
        <f t="shared" si="56"/>
        <v>133</v>
      </c>
      <c r="AQ141">
        <f t="shared" si="57"/>
        <v>133</v>
      </c>
      <c r="AR141" s="6">
        <f t="shared" si="58"/>
        <v>133</v>
      </c>
      <c r="AS141">
        <f t="shared" si="59"/>
        <v>133</v>
      </c>
      <c r="AV141" s="1" t="str">
        <f>IF(IFERROR(INDEX($A$9:$W$304,$AS141,COLUMNS($AV$9:AV140)),"")=0,"",IFERROR(INDEX($A$9:$W$304,$AS141,COLUMNS($AV$9:AV140)),""))</f>
        <v>Insurgency</v>
      </c>
      <c r="AW141" s="1">
        <f>IFERROR(INDEX($A$9:$W$304,$AS141,COLUMNS($AV$9:AW140)),"")</f>
        <v>1</v>
      </c>
      <c r="AX141" s="1" t="str">
        <f>IF(IFERROR(INDEX($A$9:$X$304,$AS141,COLUMNS($AV$9:AX140)),"")=0,"",IFERROR(INDEX($A$9:$X$304,$AS141,COLUMNS($AV$9:AX140)),""))</f>
        <v>GOOD</v>
      </c>
      <c r="AY141" s="1" t="str">
        <f>IF(IFERROR(INDEX($A$9:$X$304,$AS141,COLUMNS($AV$9:AY140)),"")=0,"",IFERROR(INDEX($A$9:$X$304,$AS141,COLUMNS($AV$9:AY140)),""))</f>
        <v/>
      </c>
      <c r="AZ141" s="1" t="str">
        <f>IF(IFERROR(INDEX($A$9:$X$304,$AS141,COLUMNS($AV$9:AZ140)),"")=0,"",IFERROR(INDEX($A$9:$X$304,$AS141,COLUMNS($AV$9:AZ140)),""))</f>
        <v>EVENT</v>
      </c>
      <c r="BA141" s="1" t="str">
        <f>IF(IFERROR(INDEX($A$9:$X$304,$AS141,COLUMNS($AV$9:BA140)),"")=0,"",IFERROR(INDEX($A$9:$X$304,$AS141,COLUMNS($AV$9:BA140)),""))</f>
        <v/>
      </c>
      <c r="BB141" s="1" t="str">
        <f>IF(IFERROR(INDEX($A$9:$X$304,$AS141,COLUMNS($AV$9:BB140)),"")=0,"",IFERROR(INDEX($A$9:$X$304,$AS141,COLUMNS($AV$9:BB140)),""))</f>
        <v/>
      </c>
      <c r="BC141" s="1" t="str">
        <f>IF(IFERROR(INDEX($A$9:$X$304,$AS141,COLUMNS($AV$9:BC140)),"")=0,"",IFERROR(INDEX($A$9:$X$304,$AS141,COLUMNS($AV$9:BC140)),""))</f>
        <v>Put four human tokens into play.</v>
      </c>
      <c r="BD141" s="1" t="str">
        <f>IF(IFERROR(INDEX($A$9:$X$304,$AS141,COLUMNS($AV$9:BD140)),"")=0,"",IFERROR(INDEX($A$9:$X$304,$AS141,COLUMNS($AV$9:BD140)),""))</f>
        <v>Your human tokens gain blitz, unbreakable, and +1 {offense} this turn.</v>
      </c>
      <c r="BE141" s="1" t="str">
        <f>IF(IFERROR(INDEX($A$9:$X$304,$AS141,COLUMNS($AV$9:BE140)),"")=0,"",IFERROR(INDEX($A$9:$X$304,$AS141,COLUMNS($AV$9:BE140)),""))</f>
        <v/>
      </c>
      <c r="BF141" s="1" t="str">
        <f>IF(IFERROR(INDEX($A$9:$X$304,$AS141,COLUMNS($AV$9:BF140)),"")=0,"",IFERROR(INDEX($A$9:$X$304,$AS141,COLUMNS($AV$9:BF140)),""))</f>
        <v/>
      </c>
      <c r="BG141" s="1" t="str">
        <f>IF(IFERROR(INDEX($A$9:$X$304,$AS141,COLUMNS($AV$9:BG140)),"")=0,"",IFERROR(INDEX($A$9:$X$304,$AS141,COLUMNS($AV$9:BG140)),""))</f>
        <v/>
      </c>
      <c r="BH141" s="1" t="str">
        <f>IF(IFERROR(INDEX($A$9:$X$304,$AS141,COLUMNS($AV$9:BH140)),"")=0,"",IFERROR(INDEX($A$9:$X$304,$AS141,COLUMNS($AV$9:BH140)),""))</f>
        <v/>
      </c>
      <c r="BI141" s="1" t="str">
        <f>IF(IFERROR(INDEX($A$9:$X$304,$AS141,COLUMNS($AV$9:BI140)),"")=0,"",IFERROR(INDEX($A$9:$X$304,$AS141,COLUMNS($AV$9:BI140)),""))</f>
        <v/>
      </c>
      <c r="BJ141" s="1" t="str">
        <f>IF(IFERROR(INDEX($A$9:$X$304,$AS141,COLUMNS($AV$9:BJ140)),"")=0,"",IFERROR(INDEX($A$9:$X$304,$AS141,COLUMNS($AV$9:BJ140)),""))</f>
        <v>None</v>
      </c>
      <c r="BK141" s="1" t="str">
        <f>IF(IFERROR(INDEX($A$9:$X$304,$AS141,COLUMNS($AV$9:BK140)),"")=0,"",IFERROR(INDEX($A$9:$X$304,$AS141,COLUMNS($AV$9:BK140)),""))</f>
        <v>Common</v>
      </c>
      <c r="BL141" s="1" t="str">
        <f>IF(IFERROR(INDEX($A$9:$X$304,$AS141,COLUMNS($AV$9:BL140)),"")=0,"",IFERROR(INDEX($A$9:$X$304,$AS141,COLUMNS($AV$9:BL140)),""))</f>
        <v>Gialer Liew</v>
      </c>
      <c r="BM141" s="1" t="str">
        <f>IF(IFERROR(INDEX($A$9:$X$304,$AS141,COLUMNS($AV$9:BM140)),"")=0,"",IFERROR(INDEX($A$9:$X$304,$AS141,COLUMNS($AV$9:BM140)),""))</f>
        <v>Tyrants: Draka's Rage</v>
      </c>
      <c r="BN141" s="3" t="b">
        <f>IF(IFERROR(INDEX($A$9:$X$304,$AS141,COLUMNS($AV$9:BN140)),"")=0,"",IFERROR(INDEX($A$9:$X$304,$AS141,COLUMNS($AV$9:BN140)),""))</f>
        <v>1</v>
      </c>
      <c r="BO141" s="3" t="b">
        <f>IF(IFERROR(INDEX($A$9:$X$304,$AS141,COLUMNS($AV$9:BO140)),"")=0,"",IFERROR(INDEX($A$9:$X$304,$AS141,COLUMNS($AV$9:BO140)),""))</f>
        <v>0</v>
      </c>
      <c r="BP141" s="3" t="b">
        <f>IF(IFERROR(INDEX($A$9:$X$304,$AS141,COLUMNS($AV$9:BP140)),"")=0,"",IFERROR(INDEX($A$9:$X$304,$AS141,COLUMNS($AV$9:BP140)),""))</f>
        <v>0</v>
      </c>
      <c r="BQ141" s="3" t="b">
        <f>IF(IFERROR(INDEX($A$9:$X$304,$AS141,COLUMNS($AV$9:BQ140)),"")=0,"",IFERROR(INDEX($A$9:$X$304,$AS141,COLUMNS($AV$9:BQ140)),""))</f>
        <v>0</v>
      </c>
      <c r="BR141" s="3" t="str">
        <f>IF(IFERROR(INDEX($A$9:$X$304,$AS141,COLUMNS($AV$9:BR140)),"")=0,"",IFERROR(INDEX($A$9:$X$304,$AS141,COLUMNS($AV$9:BR140)),""))</f>
        <v>http://www.epiccardgame.com/wp-content/uploads/2016/03/insurgency-214x300.jpg</v>
      </c>
      <c r="BS141" s="3" t="str">
        <f>IF(IFERROR(INDEX($A$9:$X$304,$AS141,COLUMNS($AV$9:BS140)),"")=0,"",IFERROR(INDEX($A$9:$X$304,$AS141,COLUMNS($AV$9:BS140)),""))</f>
        <v/>
      </c>
      <c r="BT141" s="3"/>
      <c r="BU141" s="15"/>
      <c r="BV141" t="s">
        <v>162</v>
      </c>
    </row>
    <row r="142" spans="1:74" ht="225" customHeight="1" x14ac:dyDescent="0.25">
      <c r="A142" t="s">
        <v>457</v>
      </c>
      <c r="B142">
        <v>1</v>
      </c>
      <c r="C142" t="s">
        <v>616</v>
      </c>
      <c r="E142" t="s">
        <v>620</v>
      </c>
      <c r="F142">
        <v>9</v>
      </c>
      <c r="G142">
        <v>3</v>
      </c>
      <c r="H142" t="s">
        <v>694</v>
      </c>
      <c r="I142" t="s">
        <v>854</v>
      </c>
      <c r="J142" t="s">
        <v>916</v>
      </c>
      <c r="O142" t="s">
        <v>1075</v>
      </c>
      <c r="P142" t="s">
        <v>1112</v>
      </c>
      <c r="Q142" t="s">
        <v>1116</v>
      </c>
      <c r="R142" t="s">
        <v>1171</v>
      </c>
      <c r="S142" t="b">
        <v>1</v>
      </c>
      <c r="T142" t="b">
        <v>0</v>
      </c>
      <c r="U142" t="b">
        <v>0</v>
      </c>
      <c r="V142" t="b">
        <v>0</v>
      </c>
      <c r="W142" s="2" t="s">
        <v>1317</v>
      </c>
      <c r="X142" s="2"/>
      <c r="Y142" s="24">
        <v>134</v>
      </c>
      <c r="Z142">
        <f t="shared" si="40"/>
        <v>134</v>
      </c>
      <c r="AA142">
        <f t="shared" si="41"/>
        <v>134</v>
      </c>
      <c r="AB142">
        <f t="shared" si="42"/>
        <v>134</v>
      </c>
      <c r="AC142">
        <f t="shared" si="43"/>
        <v>0</v>
      </c>
      <c r="AD142">
        <f t="shared" si="44"/>
        <v>134</v>
      </c>
      <c r="AE142">
        <f t="shared" si="45"/>
        <v>134</v>
      </c>
      <c r="AF142">
        <f t="shared" si="46"/>
        <v>134</v>
      </c>
      <c r="AG142">
        <f t="shared" si="47"/>
        <v>134</v>
      </c>
      <c r="AH142">
        <f t="shared" si="48"/>
        <v>134</v>
      </c>
      <c r="AI142">
        <f t="shared" si="49"/>
        <v>134</v>
      </c>
      <c r="AJ142">
        <f t="shared" si="50"/>
        <v>0</v>
      </c>
      <c r="AK142">
        <f t="shared" si="51"/>
        <v>0</v>
      </c>
      <c r="AL142">
        <f t="shared" si="52"/>
        <v>0</v>
      </c>
      <c r="AM142">
        <f t="shared" si="53"/>
        <v>0</v>
      </c>
      <c r="AN142">
        <f t="shared" si="54"/>
        <v>134</v>
      </c>
      <c r="AO142">
        <f t="shared" si="55"/>
        <v>134</v>
      </c>
      <c r="AP142">
        <f t="shared" si="56"/>
        <v>134</v>
      </c>
      <c r="AQ142">
        <f t="shared" si="57"/>
        <v>134</v>
      </c>
      <c r="AR142" s="6">
        <f t="shared" si="58"/>
        <v>134</v>
      </c>
      <c r="AS142">
        <f t="shared" si="59"/>
        <v>134</v>
      </c>
      <c r="AV142" s="1" t="str">
        <f>IF(IFERROR(INDEX($A$9:$W$304,$AS142,COLUMNS($AV$9:AV141)),"")=0,"",IFERROR(INDEX($A$9:$W$304,$AS142,COLUMNS($AV$9:AV141)),""))</f>
        <v>Juggernaut</v>
      </c>
      <c r="AW142" s="1">
        <f>IFERROR(INDEX($A$9:$W$304,$AS142,COLUMNS($AV$9:AW141)),"")</f>
        <v>1</v>
      </c>
      <c r="AX142" s="1" t="str">
        <f>IF(IFERROR(INDEX($A$9:$X$304,$AS142,COLUMNS($AV$9:AX141)),"")=0,"",IFERROR(INDEX($A$9:$X$304,$AS142,COLUMNS($AV$9:AX141)),""))</f>
        <v>SAGE</v>
      </c>
      <c r="AY142" s="1" t="str">
        <f>IF(IFERROR(INDEX($A$9:$X$304,$AS142,COLUMNS($AV$9:AY141)),"")=0,"",IFERROR(INDEX($A$9:$X$304,$AS142,COLUMNS($AV$9:AY141)),""))</f>
        <v/>
      </c>
      <c r="AZ142" s="1" t="str">
        <f>IF(IFERROR(INDEX($A$9:$X$304,$AS142,COLUMNS($AV$9:AZ141)),"")=0,"",IFERROR(INDEX($A$9:$X$304,$AS142,COLUMNS($AV$9:AZ141)),""))</f>
        <v>CHAMPION</v>
      </c>
      <c r="BA142" s="1">
        <f>IF(IFERROR(INDEX($A$9:$X$304,$AS142,COLUMNS($AV$9:BA141)),"")=0,"",IFERROR(INDEX($A$9:$X$304,$AS142,COLUMNS($AV$9:BA141)),""))</f>
        <v>9</v>
      </c>
      <c r="BB142" s="1">
        <f>IF(IFERROR(INDEX($A$9:$X$304,$AS142,COLUMNS($AV$9:BB141)),"")=0,"",IFERROR(INDEX($A$9:$X$304,$AS142,COLUMNS($AV$9:BB141)),""))</f>
        <v>3</v>
      </c>
      <c r="BC142" s="1" t="str">
        <f>IF(IFERROR(INDEX($A$9:$X$304,$AS142,COLUMNS($AV$9:BC141)),"")=0,"",IFERROR(INDEX($A$9:$X$304,$AS142,COLUMNS($AV$9:BC141)),""))</f>
        <v>Breakthrough ◆ Blitz</v>
      </c>
      <c r="BD142" s="1" t="str">
        <f>IF(IFERROR(INDEX($A$9:$X$304,$AS142,COLUMNS($AV$9:BD141)),"")=0,"",IFERROR(INDEX($A$9:$X$304,$AS142,COLUMNS($AV$9:BD141)),""))</f>
        <v>Loyalty 2 → Draw a card.</v>
      </c>
      <c r="BE142" s="1" t="str">
        <f>IF(IFERROR(INDEX($A$9:$X$304,$AS142,COLUMNS($AV$9:BE141)),"")=0,"",IFERROR(INDEX($A$9:$X$304,$AS142,COLUMNS($AV$9:BE141)),""))</f>
        <v>Unbreakable on your turn.</v>
      </c>
      <c r="BF142" s="1" t="str">
        <f>IF(IFERROR(INDEX($A$9:$X$304,$AS142,COLUMNS($AV$9:BF141)),"")=0,"",IFERROR(INDEX($A$9:$X$304,$AS142,COLUMNS($AV$9:BF141)),""))</f>
        <v/>
      </c>
      <c r="BG142" s="1" t="str">
        <f>IF(IFERROR(INDEX($A$9:$X$304,$AS142,COLUMNS($AV$9:BG141)),"")=0,"",IFERROR(INDEX($A$9:$X$304,$AS142,COLUMNS($AV$9:BG141)),""))</f>
        <v/>
      </c>
      <c r="BH142" s="1" t="str">
        <f>IF(IFERROR(INDEX($A$9:$X$304,$AS142,COLUMNS($AV$9:BH141)),"")=0,"",IFERROR(INDEX($A$9:$X$304,$AS142,COLUMNS($AV$9:BH141)),""))</f>
        <v/>
      </c>
      <c r="BI142" s="1" t="str">
        <f>IF(IFERROR(INDEX($A$9:$X$304,$AS142,COLUMNS($AV$9:BI141)),"")=0,"",IFERROR(INDEX($A$9:$X$304,$AS142,COLUMNS($AV$9:BI141)),""))</f>
        <v/>
      </c>
      <c r="BJ142" s="1" t="str">
        <f>IF(IFERROR(INDEX($A$9:$X$304,$AS142,COLUMNS($AV$9:BJ141)),"")=0,"",IFERROR(INDEX($A$9:$X$304,$AS142,COLUMNS($AV$9:BJ141)),""))</f>
        <v>CONSTRUCT</v>
      </c>
      <c r="BK142" s="1" t="str">
        <f>IF(IFERROR(INDEX($A$9:$X$304,$AS142,COLUMNS($AV$9:BK141)),"")=0,"",IFERROR(INDEX($A$9:$X$304,$AS142,COLUMNS($AV$9:BK141)),""))</f>
        <v>Common</v>
      </c>
      <c r="BL142" s="1" t="str">
        <f>IF(IFERROR(INDEX($A$9:$X$304,$AS142,COLUMNS($AV$9:BL141)),"")=0,"",IFERROR(INDEX($A$9:$X$304,$AS142,COLUMNS($AV$9:BL141)),""))</f>
        <v>Apsara</v>
      </c>
      <c r="BM142" s="1" t="str">
        <f>IF(IFERROR(INDEX($A$9:$X$304,$AS142,COLUMNS($AV$9:BM141)),"")=0,"",IFERROR(INDEX($A$9:$X$304,$AS142,COLUMNS($AV$9:BM141)),""))</f>
        <v>Base Set</v>
      </c>
      <c r="BN142" s="3" t="b">
        <f>IF(IFERROR(INDEX($A$9:$X$304,$AS142,COLUMNS($AV$9:BN141)),"")=0,"",IFERROR(INDEX($A$9:$X$304,$AS142,COLUMNS($AV$9:BN141)),""))</f>
        <v>1</v>
      </c>
      <c r="BO142" s="3" t="b">
        <f>IF(IFERROR(INDEX($A$9:$X$304,$AS142,COLUMNS($AV$9:BO141)),"")=0,"",IFERROR(INDEX($A$9:$X$304,$AS142,COLUMNS($AV$9:BO141)),""))</f>
        <v>0</v>
      </c>
      <c r="BP142" s="3" t="b">
        <f>IF(IFERROR(INDEX($A$9:$X$304,$AS142,COLUMNS($AV$9:BP141)),"")=0,"",IFERROR(INDEX($A$9:$X$304,$AS142,COLUMNS($AV$9:BP141)),""))</f>
        <v>0</v>
      </c>
      <c r="BQ142" s="3" t="b">
        <f>IF(IFERROR(INDEX($A$9:$X$304,$AS142,COLUMNS($AV$9:BQ141)),"")=0,"",IFERROR(INDEX($A$9:$X$304,$AS142,COLUMNS($AV$9:BQ141)),""))</f>
        <v>0</v>
      </c>
      <c r="BR142" s="3" t="str">
        <f>IF(IFERROR(INDEX($A$9:$X$304,$AS142,COLUMNS($AV$9:BR141)),"")=0,"",IFERROR(INDEX($A$9:$X$304,$AS142,COLUMNS($AV$9:BR141)),""))</f>
        <v>http://www.epiccardgame.com/wp-content/uploads/2015/09/juggernaut-215x300.jpg</v>
      </c>
      <c r="BS142" s="3" t="str">
        <f>IF(IFERROR(INDEX($A$9:$X$304,$AS142,COLUMNS($AV$9:BS141)),"")=0,"",IFERROR(INDEX($A$9:$X$304,$AS142,COLUMNS($AV$9:BS141)),""))</f>
        <v/>
      </c>
      <c r="BT142" s="3"/>
      <c r="BU142" s="15"/>
      <c r="BV142" t="s">
        <v>163</v>
      </c>
    </row>
    <row r="143" spans="1:74" ht="225.2" customHeight="1" x14ac:dyDescent="0.25">
      <c r="A143" t="s">
        <v>458</v>
      </c>
      <c r="B143">
        <v>1</v>
      </c>
      <c r="C143" t="s">
        <v>615</v>
      </c>
      <c r="E143" t="s">
        <v>620</v>
      </c>
      <c r="F143">
        <v>5</v>
      </c>
      <c r="G143">
        <v>7</v>
      </c>
      <c r="H143" t="s">
        <v>682</v>
      </c>
      <c r="I143" t="s">
        <v>855</v>
      </c>
      <c r="J143" t="s">
        <v>997</v>
      </c>
      <c r="O143" t="s">
        <v>1063</v>
      </c>
      <c r="P143" t="s">
        <v>1112</v>
      </c>
      <c r="Q143" t="s">
        <v>1118</v>
      </c>
      <c r="R143" t="s">
        <v>1171</v>
      </c>
      <c r="S143" t="b">
        <v>1</v>
      </c>
      <c r="T143" t="b">
        <v>0</v>
      </c>
      <c r="U143" t="b">
        <v>0</v>
      </c>
      <c r="V143" t="b">
        <v>0</v>
      </c>
      <c r="W143" s="2" t="s">
        <v>1318</v>
      </c>
      <c r="X143" s="2"/>
      <c r="Y143" s="24">
        <v>135</v>
      </c>
      <c r="Z143">
        <f t="shared" si="40"/>
        <v>135</v>
      </c>
      <c r="AA143">
        <f t="shared" si="41"/>
        <v>135</v>
      </c>
      <c r="AB143">
        <f t="shared" si="42"/>
        <v>135</v>
      </c>
      <c r="AC143">
        <f t="shared" si="43"/>
        <v>0</v>
      </c>
      <c r="AD143">
        <f t="shared" si="44"/>
        <v>135</v>
      </c>
      <c r="AE143">
        <f t="shared" si="45"/>
        <v>135</v>
      </c>
      <c r="AF143">
        <f t="shared" si="46"/>
        <v>135</v>
      </c>
      <c r="AG143">
        <f t="shared" si="47"/>
        <v>135</v>
      </c>
      <c r="AH143">
        <f t="shared" si="48"/>
        <v>135</v>
      </c>
      <c r="AI143">
        <f t="shared" si="49"/>
        <v>135</v>
      </c>
      <c r="AJ143">
        <f t="shared" si="50"/>
        <v>0</v>
      </c>
      <c r="AK143">
        <f t="shared" si="51"/>
        <v>0</v>
      </c>
      <c r="AL143">
        <f t="shared" si="52"/>
        <v>0</v>
      </c>
      <c r="AM143">
        <f t="shared" si="53"/>
        <v>0</v>
      </c>
      <c r="AN143">
        <f t="shared" si="54"/>
        <v>135</v>
      </c>
      <c r="AO143">
        <f t="shared" si="55"/>
        <v>135</v>
      </c>
      <c r="AP143">
        <f t="shared" si="56"/>
        <v>135</v>
      </c>
      <c r="AQ143">
        <f t="shared" si="57"/>
        <v>135</v>
      </c>
      <c r="AR143" s="6">
        <f t="shared" si="58"/>
        <v>135</v>
      </c>
      <c r="AS143">
        <f t="shared" si="59"/>
        <v>135</v>
      </c>
      <c r="AV143" s="1" t="str">
        <f>IF(IFERROR(INDEX($A$9:$W$304,$AS143,COLUMNS($AV$9:AV142)),"")=0,"",IFERROR(INDEX($A$9:$W$304,$AS143,COLUMNS($AV$9:AV142)),""))</f>
        <v>Jungle Queen</v>
      </c>
      <c r="AW143" s="1">
        <f>IFERROR(INDEX($A$9:$W$304,$AS143,COLUMNS($AV$9:AW142)),"")</f>
        <v>1</v>
      </c>
      <c r="AX143" s="1" t="str">
        <f>IF(IFERROR(INDEX($A$9:$X$304,$AS143,COLUMNS($AV$9:AX142)),"")=0,"",IFERROR(INDEX($A$9:$X$304,$AS143,COLUMNS($AV$9:AX142)),""))</f>
        <v>WILD</v>
      </c>
      <c r="AY143" s="1" t="str">
        <f>IF(IFERROR(INDEX($A$9:$X$304,$AS143,COLUMNS($AV$9:AY142)),"")=0,"",IFERROR(INDEX($A$9:$X$304,$AS143,COLUMNS($AV$9:AY142)),""))</f>
        <v/>
      </c>
      <c r="AZ143" s="1" t="str">
        <f>IF(IFERROR(INDEX($A$9:$X$304,$AS143,COLUMNS($AV$9:AZ142)),"")=0,"",IFERROR(INDEX($A$9:$X$304,$AS143,COLUMNS($AV$9:AZ142)),""))</f>
        <v>CHAMPION</v>
      </c>
      <c r="BA143" s="1">
        <f>IF(IFERROR(INDEX($A$9:$X$304,$AS143,COLUMNS($AV$9:BA142)),"")=0,"",IFERROR(INDEX($A$9:$X$304,$AS143,COLUMNS($AV$9:BA142)),""))</f>
        <v>5</v>
      </c>
      <c r="BB143" s="1">
        <f>IF(IFERROR(INDEX($A$9:$X$304,$AS143,COLUMNS($AV$9:BB142)),"")=0,"",IFERROR(INDEX($A$9:$X$304,$AS143,COLUMNS($AV$9:BB142)),""))</f>
        <v>7</v>
      </c>
      <c r="BC143" s="1" t="str">
        <f>IF(IFERROR(INDEX($A$9:$X$304,$AS143,COLUMNS($AV$9:BC142)),"")=0,"",IFERROR(INDEX($A$9:$X$304,$AS143,COLUMNS($AV$9:BC142)),""))</f>
        <v>Tribute → Draw a card.</v>
      </c>
      <c r="BD143" s="1" t="str">
        <f>IF(IFERROR(INDEX($A$9:$X$304,$AS143,COLUMNS($AV$9:BD142)),"")=0,"",IFERROR(INDEX($A$9:$X$304,$AS143,COLUMNS($AV$9:BD142)),""))</f>
        <v>Your other wild champions have +1 {offense} and +1 {defense}.</v>
      </c>
      <c r="BE143" s="1" t="str">
        <f>IF(IFERROR(INDEX($A$9:$X$304,$AS143,COLUMNS($AV$9:BE142)),"")=0,"",IFERROR(INDEX($A$9:$X$304,$AS143,COLUMNS($AV$9:BE142)),""))</f>
        <v>You may play wild champions as if they had ambush.</v>
      </c>
      <c r="BF143" s="1" t="str">
        <f>IF(IFERROR(INDEX($A$9:$X$304,$AS143,COLUMNS($AV$9:BF142)),"")=0,"",IFERROR(INDEX($A$9:$X$304,$AS143,COLUMNS($AV$9:BF142)),""))</f>
        <v/>
      </c>
      <c r="BG143" s="1" t="str">
        <f>IF(IFERROR(INDEX($A$9:$X$304,$AS143,COLUMNS($AV$9:BG142)),"")=0,"",IFERROR(INDEX($A$9:$X$304,$AS143,COLUMNS($AV$9:BG142)),""))</f>
        <v/>
      </c>
      <c r="BH143" s="1" t="str">
        <f>IF(IFERROR(INDEX($A$9:$X$304,$AS143,COLUMNS($AV$9:BH142)),"")=0,"",IFERROR(INDEX($A$9:$X$304,$AS143,COLUMNS($AV$9:BH142)),""))</f>
        <v/>
      </c>
      <c r="BI143" s="1" t="str">
        <f>IF(IFERROR(INDEX($A$9:$X$304,$AS143,COLUMNS($AV$9:BI142)),"")=0,"",IFERROR(INDEX($A$9:$X$304,$AS143,COLUMNS($AV$9:BI142)),""))</f>
        <v/>
      </c>
      <c r="BJ143" s="1" t="str">
        <f>IF(IFERROR(INDEX($A$9:$X$304,$AS143,COLUMNS($AV$9:BJ142)),"")=0,"",IFERROR(INDEX($A$9:$X$304,$AS143,COLUMNS($AV$9:BJ142)),""))</f>
        <v>HUMAN</v>
      </c>
      <c r="BK143" s="1" t="str">
        <f>IF(IFERROR(INDEX($A$9:$X$304,$AS143,COLUMNS($AV$9:BK142)),"")=0,"",IFERROR(INDEX($A$9:$X$304,$AS143,COLUMNS($AV$9:BK142)),""))</f>
        <v>Common</v>
      </c>
      <c r="BL143" s="1" t="str">
        <f>IF(IFERROR(INDEX($A$9:$X$304,$AS143,COLUMNS($AV$9:BL142)),"")=0,"",IFERROR(INDEX($A$9:$X$304,$AS143,COLUMNS($AV$9:BL142)),""))</f>
        <v>L.Sean</v>
      </c>
      <c r="BM143" s="1" t="str">
        <f>IF(IFERROR(INDEX($A$9:$X$304,$AS143,COLUMNS($AV$9:BM142)),"")=0,"",IFERROR(INDEX($A$9:$X$304,$AS143,COLUMNS($AV$9:BM142)),""))</f>
        <v>Base Set</v>
      </c>
      <c r="BN143" s="3" t="b">
        <f>IF(IFERROR(INDEX($A$9:$X$304,$AS143,COLUMNS($AV$9:BN142)),"")=0,"",IFERROR(INDEX($A$9:$X$304,$AS143,COLUMNS($AV$9:BN142)),""))</f>
        <v>1</v>
      </c>
      <c r="BO143" s="3" t="b">
        <f>IF(IFERROR(INDEX($A$9:$X$304,$AS143,COLUMNS($AV$9:BO142)),"")=0,"",IFERROR(INDEX($A$9:$X$304,$AS143,COLUMNS($AV$9:BO142)),""))</f>
        <v>0</v>
      </c>
      <c r="BP143" s="3" t="b">
        <f>IF(IFERROR(INDEX($A$9:$X$304,$AS143,COLUMNS($AV$9:BP142)),"")=0,"",IFERROR(INDEX($A$9:$X$304,$AS143,COLUMNS($AV$9:BP142)),""))</f>
        <v>0</v>
      </c>
      <c r="BQ143" s="3" t="b">
        <f>IF(IFERROR(INDEX($A$9:$X$304,$AS143,COLUMNS($AV$9:BQ142)),"")=0,"",IFERROR(INDEX($A$9:$X$304,$AS143,COLUMNS($AV$9:BQ142)),""))</f>
        <v>0</v>
      </c>
      <c r="BR143" s="3" t="str">
        <f>IF(IFERROR(INDEX($A$9:$X$304,$AS143,COLUMNS($AV$9:BR142)),"")=0,"",IFERROR(INDEX($A$9:$X$304,$AS143,COLUMNS($AV$9:BR142)),""))</f>
        <v>http://www.epiccardgame.com/wp-content/uploads/2015/09/jungle_queen-215x300.jpg</v>
      </c>
      <c r="BS143" s="3" t="str">
        <f>IF(IFERROR(INDEX($A$9:$X$304,$AS143,COLUMNS($AV$9:BS142)),"")=0,"",IFERROR(INDEX($A$9:$X$304,$AS143,COLUMNS($AV$9:BS142)),""))</f>
        <v/>
      </c>
      <c r="BT143" s="3"/>
      <c r="BU143" s="15"/>
      <c r="BV143" t="s">
        <v>164</v>
      </c>
    </row>
    <row r="144" spans="1:74" ht="225.2" customHeight="1" x14ac:dyDescent="0.25">
      <c r="A144" t="s">
        <v>459</v>
      </c>
      <c r="B144">
        <v>1</v>
      </c>
      <c r="C144" t="s">
        <v>617</v>
      </c>
      <c r="E144" t="s">
        <v>619</v>
      </c>
      <c r="H144" t="s">
        <v>627</v>
      </c>
      <c r="I144" t="s">
        <v>856</v>
      </c>
      <c r="O144" t="s">
        <v>1062</v>
      </c>
      <c r="P144" t="s">
        <v>1112</v>
      </c>
      <c r="Q144" t="s">
        <v>1137</v>
      </c>
      <c r="R144" t="s">
        <v>1181</v>
      </c>
      <c r="S144" t="b">
        <v>1</v>
      </c>
      <c r="T144" t="b">
        <v>1</v>
      </c>
      <c r="U144" t="b">
        <v>0</v>
      </c>
      <c r="V144" t="b">
        <v>0</v>
      </c>
      <c r="W144" s="2" t="s">
        <v>1319</v>
      </c>
      <c r="X144" s="2"/>
      <c r="Y144" s="24">
        <v>136</v>
      </c>
      <c r="Z144">
        <f t="shared" si="40"/>
        <v>136</v>
      </c>
      <c r="AA144">
        <f t="shared" si="41"/>
        <v>136</v>
      </c>
      <c r="AB144">
        <f t="shared" si="42"/>
        <v>136</v>
      </c>
      <c r="AC144">
        <f t="shared" si="43"/>
        <v>0</v>
      </c>
      <c r="AD144">
        <f t="shared" si="44"/>
        <v>136</v>
      </c>
      <c r="AE144">
        <f t="shared" si="45"/>
        <v>0</v>
      </c>
      <c r="AF144">
        <f t="shared" si="46"/>
        <v>0</v>
      </c>
      <c r="AG144">
        <f t="shared" si="47"/>
        <v>136</v>
      </c>
      <c r="AH144">
        <f t="shared" si="48"/>
        <v>136</v>
      </c>
      <c r="AI144">
        <f t="shared" si="49"/>
        <v>0</v>
      </c>
      <c r="AJ144">
        <f t="shared" si="50"/>
        <v>0</v>
      </c>
      <c r="AK144">
        <f t="shared" si="51"/>
        <v>0</v>
      </c>
      <c r="AL144">
        <f t="shared" si="52"/>
        <v>0</v>
      </c>
      <c r="AM144">
        <f t="shared" si="53"/>
        <v>0</v>
      </c>
      <c r="AN144">
        <f t="shared" si="54"/>
        <v>136</v>
      </c>
      <c r="AO144">
        <f t="shared" si="55"/>
        <v>136</v>
      </c>
      <c r="AP144">
        <f t="shared" si="56"/>
        <v>136</v>
      </c>
      <c r="AQ144">
        <f t="shared" si="57"/>
        <v>136</v>
      </c>
      <c r="AR144" s="6">
        <f t="shared" si="58"/>
        <v>136</v>
      </c>
      <c r="AS144">
        <f t="shared" si="59"/>
        <v>136</v>
      </c>
      <c r="AV144" s="1" t="str">
        <f>IF(IFERROR(INDEX($A$9:$W$304,$AS144,COLUMNS($AV$9:AV143)),"")=0,"",IFERROR(INDEX($A$9:$W$304,$AS144,COLUMNS($AV$9:AV143)),""))</f>
        <v>Justice Prevails</v>
      </c>
      <c r="AW144" s="1">
        <f>IFERROR(INDEX($A$9:$W$304,$AS144,COLUMNS($AV$9:AW143)),"")</f>
        <v>1</v>
      </c>
      <c r="AX144" s="1" t="str">
        <f>IF(IFERROR(INDEX($A$9:$X$304,$AS144,COLUMNS($AV$9:AX143)),"")=0,"",IFERROR(INDEX($A$9:$X$304,$AS144,COLUMNS($AV$9:AX143)),""))</f>
        <v>GOOD</v>
      </c>
      <c r="AY144" s="1" t="str">
        <f>IF(IFERROR(INDEX($A$9:$X$304,$AS144,COLUMNS($AV$9:AY143)),"")=0,"",IFERROR(INDEX($A$9:$X$304,$AS144,COLUMNS($AV$9:AY143)),""))</f>
        <v/>
      </c>
      <c r="AZ144" s="1" t="str">
        <f>IF(IFERROR(INDEX($A$9:$X$304,$AS144,COLUMNS($AV$9:AZ143)),"")=0,"",IFERROR(INDEX($A$9:$X$304,$AS144,COLUMNS($AV$9:AZ143)),""))</f>
        <v>EVENT</v>
      </c>
      <c r="BA144" s="1" t="str">
        <f>IF(IFERROR(INDEX($A$9:$X$304,$AS144,COLUMNS($AV$9:BA143)),"")=0,"",IFERROR(INDEX($A$9:$X$304,$AS144,COLUMNS($AV$9:BA143)),""))</f>
        <v/>
      </c>
      <c r="BB144" s="1" t="str">
        <f>IF(IFERROR(INDEX($A$9:$X$304,$AS144,COLUMNS($AV$9:BB143)),"")=0,"",IFERROR(INDEX($A$9:$X$304,$AS144,COLUMNS($AV$9:BB143)),""))</f>
        <v/>
      </c>
      <c r="BC144" s="1" t="str">
        <f>IF(IFERROR(INDEX($A$9:$X$304,$AS144,COLUMNS($AV$9:BC143)),"")=0,"",IFERROR(INDEX($A$9:$X$304,$AS144,COLUMNS($AV$9:BC143)),""))</f>
        <v>Draw two cards.</v>
      </c>
      <c r="BD144" s="1" t="str">
        <f>IF(IFERROR(INDEX($A$9:$X$304,$AS144,COLUMNS($AV$9:BD143)),"")=0,"",IFERROR(INDEX($A$9:$X$304,$AS144,COLUMNS($AV$9:BD143)),""))</f>
        <v>Draw a card. Your {0} champions gain righteous, +3 {offense} and +3 {defense} this turn.</v>
      </c>
      <c r="BE144" s="1" t="str">
        <f>IF(IFERROR(INDEX($A$9:$X$304,$AS144,COLUMNS($AV$9:BE143)),"")=0,"",IFERROR(INDEX($A$9:$X$304,$AS144,COLUMNS($AV$9:BE143)),""))</f>
        <v/>
      </c>
      <c r="BF144" s="1" t="str">
        <f>IF(IFERROR(INDEX($A$9:$X$304,$AS144,COLUMNS($AV$9:BF143)),"")=0,"",IFERROR(INDEX($A$9:$X$304,$AS144,COLUMNS($AV$9:BF143)),""))</f>
        <v/>
      </c>
      <c r="BG144" s="1" t="str">
        <f>IF(IFERROR(INDEX($A$9:$X$304,$AS144,COLUMNS($AV$9:BG143)),"")=0,"",IFERROR(INDEX($A$9:$X$304,$AS144,COLUMNS($AV$9:BG143)),""))</f>
        <v/>
      </c>
      <c r="BH144" s="1" t="str">
        <f>IF(IFERROR(INDEX($A$9:$X$304,$AS144,COLUMNS($AV$9:BH143)),"")=0,"",IFERROR(INDEX($A$9:$X$304,$AS144,COLUMNS($AV$9:BH143)),""))</f>
        <v/>
      </c>
      <c r="BI144" s="1" t="str">
        <f>IF(IFERROR(INDEX($A$9:$X$304,$AS144,COLUMNS($AV$9:BI143)),"")=0,"",IFERROR(INDEX($A$9:$X$304,$AS144,COLUMNS($AV$9:BI143)),""))</f>
        <v/>
      </c>
      <c r="BJ144" s="1" t="str">
        <f>IF(IFERROR(INDEX($A$9:$X$304,$AS144,COLUMNS($AV$9:BJ143)),"")=0,"",IFERROR(INDEX($A$9:$X$304,$AS144,COLUMNS($AV$9:BJ143)),""))</f>
        <v>None</v>
      </c>
      <c r="BK144" s="1" t="str">
        <f>IF(IFERROR(INDEX($A$9:$X$304,$AS144,COLUMNS($AV$9:BK143)),"")=0,"",IFERROR(INDEX($A$9:$X$304,$AS144,COLUMNS($AV$9:BK143)),""))</f>
        <v>Common</v>
      </c>
      <c r="BL144" s="1" t="str">
        <f>IF(IFERROR(INDEX($A$9:$X$304,$AS144,COLUMNS($AV$9:BL143)),"")=0,"",IFERROR(INDEX($A$9:$X$304,$AS144,COLUMNS($AV$9:BL143)),""))</f>
        <v>David Nash</v>
      </c>
      <c r="BM144" s="1" t="str">
        <f>IF(IFERROR(INDEX($A$9:$X$304,$AS144,COLUMNS($AV$9:BM143)),"")=0,"",IFERROR(INDEX($A$9:$X$304,$AS144,COLUMNS($AV$9:BM143)),""))</f>
        <v>Uprising: Kark's Edict</v>
      </c>
      <c r="BN144" s="3" t="b">
        <f>IF(IFERROR(INDEX($A$9:$X$304,$AS144,COLUMNS($AV$9:BN143)),"")=0,"",IFERROR(INDEX($A$9:$X$304,$AS144,COLUMNS($AV$9:BN143)),""))</f>
        <v>1</v>
      </c>
      <c r="BO144" s="3" t="b">
        <f>IF(IFERROR(INDEX($A$9:$X$304,$AS144,COLUMNS($AV$9:BO143)),"")=0,"",IFERROR(INDEX($A$9:$X$304,$AS144,COLUMNS($AV$9:BO143)),""))</f>
        <v>1</v>
      </c>
      <c r="BP144" s="3" t="b">
        <f>IF(IFERROR(INDEX($A$9:$X$304,$AS144,COLUMNS($AV$9:BP143)),"")=0,"",IFERROR(INDEX($A$9:$X$304,$AS144,COLUMNS($AV$9:BP143)),""))</f>
        <v>0</v>
      </c>
      <c r="BQ144" s="3" t="b">
        <f>IF(IFERROR(INDEX($A$9:$X$304,$AS144,COLUMNS($AV$9:BQ143)),"")=0,"",IFERROR(INDEX($A$9:$X$304,$AS144,COLUMNS($AV$9:BQ143)),""))</f>
        <v>0</v>
      </c>
      <c r="BR144" s="3" t="str">
        <f>IF(IFERROR(INDEX($A$9:$X$304,$AS144,COLUMNS($AV$9:BR143)),"")=0,"",IFERROR(INDEX($A$9:$X$304,$AS144,COLUMNS($AV$9:BR143)),""))</f>
        <v>https://www.epiccardgame.com/wp-content/uploads/2017/11/UPK-EN-justice-prevails.jpg</v>
      </c>
      <c r="BS144" s="3" t="str">
        <f>IF(IFERROR(INDEX($A$9:$X$304,$AS144,COLUMNS($AV$9:BS143)),"")=0,"",IFERROR(INDEX($A$9:$X$304,$AS144,COLUMNS($AV$9:BS143)),""))</f>
        <v/>
      </c>
      <c r="BT144" s="3"/>
      <c r="BU144" s="15"/>
      <c r="BV144" t="s">
        <v>165</v>
      </c>
    </row>
    <row r="145" spans="1:74" ht="225.2" customHeight="1" x14ac:dyDescent="0.25">
      <c r="A145" t="s">
        <v>460</v>
      </c>
      <c r="B145">
        <v>0</v>
      </c>
      <c r="C145" t="s">
        <v>615</v>
      </c>
      <c r="E145" t="s">
        <v>620</v>
      </c>
      <c r="F145">
        <v>5</v>
      </c>
      <c r="G145">
        <v>5</v>
      </c>
      <c r="H145" t="s">
        <v>22</v>
      </c>
      <c r="I145" t="s">
        <v>857</v>
      </c>
      <c r="J145" t="s">
        <v>998</v>
      </c>
      <c r="O145" t="s">
        <v>1070</v>
      </c>
      <c r="P145" t="s">
        <v>1112</v>
      </c>
      <c r="Q145" t="s">
        <v>1117</v>
      </c>
      <c r="R145" t="s">
        <v>1174</v>
      </c>
      <c r="S145" t="b">
        <v>0</v>
      </c>
      <c r="T145" t="b">
        <v>0</v>
      </c>
      <c r="U145" t="b">
        <v>0</v>
      </c>
      <c r="V145" t="b">
        <v>0</v>
      </c>
      <c r="W145" s="2" t="s">
        <v>1320</v>
      </c>
      <c r="X145" s="2"/>
      <c r="Y145" s="24">
        <v>137</v>
      </c>
      <c r="Z145">
        <f t="shared" si="40"/>
        <v>137</v>
      </c>
      <c r="AA145">
        <f t="shared" si="41"/>
        <v>137</v>
      </c>
      <c r="AB145">
        <f t="shared" si="42"/>
        <v>137</v>
      </c>
      <c r="AC145">
        <f t="shared" si="43"/>
        <v>0</v>
      </c>
      <c r="AD145">
        <f t="shared" si="44"/>
        <v>137</v>
      </c>
      <c r="AE145">
        <f t="shared" si="45"/>
        <v>137</v>
      </c>
      <c r="AF145">
        <f t="shared" si="46"/>
        <v>137</v>
      </c>
      <c r="AG145">
        <f t="shared" si="47"/>
        <v>137</v>
      </c>
      <c r="AH145">
        <f t="shared" si="48"/>
        <v>137</v>
      </c>
      <c r="AI145">
        <f t="shared" si="49"/>
        <v>137</v>
      </c>
      <c r="AJ145">
        <f t="shared" si="50"/>
        <v>0</v>
      </c>
      <c r="AK145">
        <f t="shared" si="51"/>
        <v>0</v>
      </c>
      <c r="AL145">
        <f t="shared" si="52"/>
        <v>0</v>
      </c>
      <c r="AM145">
        <f t="shared" si="53"/>
        <v>0</v>
      </c>
      <c r="AN145">
        <f t="shared" si="54"/>
        <v>137</v>
      </c>
      <c r="AO145">
        <f t="shared" si="55"/>
        <v>137</v>
      </c>
      <c r="AP145">
        <f t="shared" si="56"/>
        <v>137</v>
      </c>
      <c r="AQ145">
        <f t="shared" si="57"/>
        <v>137</v>
      </c>
      <c r="AR145" s="6">
        <f t="shared" si="58"/>
        <v>137</v>
      </c>
      <c r="AS145">
        <f t="shared" si="59"/>
        <v>137</v>
      </c>
      <c r="AV145" s="1" t="str">
        <f>IF(IFERROR(INDEX($A$9:$W$304,$AS145,COLUMNS($AV$9:AV144)),"")=0,"",IFERROR(INDEX($A$9:$W$304,$AS145,COLUMNS($AV$9:AV144)),""))</f>
        <v>Kalani, Woodreader</v>
      </c>
      <c r="AW145" s="1">
        <f>IFERROR(INDEX($A$9:$W$304,$AS145,COLUMNS($AV$9:AW144)),"")</f>
        <v>0</v>
      </c>
      <c r="AX145" s="1" t="str">
        <f>IF(IFERROR(INDEX($A$9:$X$304,$AS145,COLUMNS($AV$9:AX144)),"")=0,"",IFERROR(INDEX($A$9:$X$304,$AS145,COLUMNS($AV$9:AX144)),""))</f>
        <v>WILD</v>
      </c>
      <c r="AY145" s="1" t="str">
        <f>IF(IFERROR(INDEX($A$9:$X$304,$AS145,COLUMNS($AV$9:AY144)),"")=0,"",IFERROR(INDEX($A$9:$X$304,$AS145,COLUMNS($AV$9:AY144)),""))</f>
        <v/>
      </c>
      <c r="AZ145" s="1" t="str">
        <f>IF(IFERROR(INDEX($A$9:$X$304,$AS145,COLUMNS($AV$9:AZ144)),"")=0,"",IFERROR(INDEX($A$9:$X$304,$AS145,COLUMNS($AV$9:AZ144)),""))</f>
        <v>CHAMPION</v>
      </c>
      <c r="BA145" s="1">
        <f>IF(IFERROR(INDEX($A$9:$X$304,$AS145,COLUMNS($AV$9:BA144)),"")=0,"",IFERROR(INDEX($A$9:$X$304,$AS145,COLUMNS($AV$9:BA144)),""))</f>
        <v>5</v>
      </c>
      <c r="BB145" s="1">
        <f>IF(IFERROR(INDEX($A$9:$X$304,$AS145,COLUMNS($AV$9:BB144)),"")=0,"",IFERROR(INDEX($A$9:$X$304,$AS145,COLUMNS($AV$9:BB144)),""))</f>
        <v>5</v>
      </c>
      <c r="BC145" s="1" t="str">
        <f>IF(IFERROR(INDEX($A$9:$X$304,$AS145,COLUMNS($AV$9:BC144)),"")=0,"",IFERROR(INDEX($A$9:$X$304,$AS145,COLUMNS($AV$9:BC144)),""))</f>
        <v>Blitz</v>
      </c>
      <c r="BD145" s="1" t="str">
        <f>IF(IFERROR(INDEX($A$9:$X$304,$AS145,COLUMNS($AV$9:BD144)),"")=0,"",IFERROR(INDEX($A$9:$X$304,$AS145,COLUMNS($AV$9:BD144)),""))</f>
        <v>Opponents cannot gain health.</v>
      </c>
      <c r="BE145" s="1" t="str">
        <f>IF(IFERROR(INDEX($A$9:$X$304,$AS145,COLUMNS($AV$9:BE144)),"")=0,"",IFERROR(INDEX($A$9:$X$304,$AS145,COLUMNS($AV$9:BE144)),""))</f>
        <v>Some say woodreaders read the future, others say they shape it.</v>
      </c>
      <c r="BF145" s="1" t="str">
        <f>IF(IFERROR(INDEX($A$9:$X$304,$AS145,COLUMNS($AV$9:BF144)),"")=0,"",IFERROR(INDEX($A$9:$X$304,$AS145,COLUMNS($AV$9:BF144)),""))</f>
        <v/>
      </c>
      <c r="BG145" s="1" t="str">
        <f>IF(IFERROR(INDEX($A$9:$X$304,$AS145,COLUMNS($AV$9:BG144)),"")=0,"",IFERROR(INDEX($A$9:$X$304,$AS145,COLUMNS($AV$9:BG144)),""))</f>
        <v/>
      </c>
      <c r="BH145" s="1" t="str">
        <f>IF(IFERROR(INDEX($A$9:$X$304,$AS145,COLUMNS($AV$9:BH144)),"")=0,"",IFERROR(INDEX($A$9:$X$304,$AS145,COLUMNS($AV$9:BH144)),""))</f>
        <v/>
      </c>
      <c r="BI145" s="1" t="str">
        <f>IF(IFERROR(INDEX($A$9:$X$304,$AS145,COLUMNS($AV$9:BI144)),"")=0,"",IFERROR(INDEX($A$9:$X$304,$AS145,COLUMNS($AV$9:BI144)),""))</f>
        <v/>
      </c>
      <c r="BJ145" s="1" t="str">
        <f>IF(IFERROR(INDEX($A$9:$X$304,$AS145,COLUMNS($AV$9:BJ144)),"")=0,"",IFERROR(INDEX($A$9:$X$304,$AS145,COLUMNS($AV$9:BJ144)),""))</f>
        <v>ELF</v>
      </c>
      <c r="BK145" s="1" t="str">
        <f>IF(IFERROR(INDEX($A$9:$X$304,$AS145,COLUMNS($AV$9:BK144)),"")=0,"",IFERROR(INDEX($A$9:$X$304,$AS145,COLUMNS($AV$9:BK144)),""))</f>
        <v>Common</v>
      </c>
      <c r="BL145" s="1" t="str">
        <f>IF(IFERROR(INDEX($A$9:$X$304,$AS145,COLUMNS($AV$9:BL144)),"")=0,"",IFERROR(INDEX($A$9:$X$304,$AS145,COLUMNS($AV$9:BL144)),""))</f>
        <v>Antonis Papantoniou</v>
      </c>
      <c r="BM145" s="1" t="str">
        <f>IF(IFERROR(INDEX($A$9:$X$304,$AS145,COLUMNS($AV$9:BM144)),"")=0,"",IFERROR(INDEX($A$9:$X$304,$AS145,COLUMNS($AV$9:BM144)),""))</f>
        <v>Pantheon: Furios vs Maligus</v>
      </c>
      <c r="BN145" s="3" t="b">
        <f>IF(IFERROR(INDEX($A$9:$X$304,$AS145,COLUMNS($AV$9:BN144)),"")=0,"",IFERROR(INDEX($A$9:$X$304,$AS145,COLUMNS($AV$9:BN144)),""))</f>
        <v>0</v>
      </c>
      <c r="BO145" s="3" t="b">
        <f>IF(IFERROR(INDEX($A$9:$X$304,$AS145,COLUMNS($AV$9:BO144)),"")=0,"",IFERROR(INDEX($A$9:$X$304,$AS145,COLUMNS($AV$9:BO144)),""))</f>
        <v>0</v>
      </c>
      <c r="BP145" s="3" t="b">
        <f>IF(IFERROR(INDEX($A$9:$X$304,$AS145,COLUMNS($AV$9:BP144)),"")=0,"",IFERROR(INDEX($A$9:$X$304,$AS145,COLUMNS($AV$9:BP144)),""))</f>
        <v>0</v>
      </c>
      <c r="BQ145" s="3" t="b">
        <f>IF(IFERROR(INDEX($A$9:$X$304,$AS145,COLUMNS($AV$9:BQ144)),"")=0,"",IFERROR(INDEX($A$9:$X$304,$AS145,COLUMNS($AV$9:BQ144)),""))</f>
        <v>0</v>
      </c>
      <c r="BR145" s="3" t="str">
        <f>IF(IFERROR(INDEX($A$9:$X$304,$AS145,COLUMNS($AV$9:BR144)),"")=0,"",IFERROR(INDEX($A$9:$X$304,$AS145,COLUMNS($AV$9:BR144)),""))</f>
        <v>https://www.epiccardgame.com/wp-content/uploads/2017/11/PNF-EN-05-kalani-woodreader.jpg</v>
      </c>
      <c r="BS145" s="3" t="str">
        <f>IF(IFERROR(INDEX($A$9:$X$304,$AS145,COLUMNS($AV$9:BS144)),"")=0,"",IFERROR(INDEX($A$9:$X$304,$AS145,COLUMNS($AV$9:BS144)),""))</f>
        <v/>
      </c>
      <c r="BT145" s="3"/>
      <c r="BU145" s="15"/>
      <c r="BV145" t="s">
        <v>166</v>
      </c>
    </row>
    <row r="146" spans="1:74" ht="225.2" customHeight="1" x14ac:dyDescent="0.25">
      <c r="A146" t="s">
        <v>461</v>
      </c>
      <c r="B146">
        <v>0</v>
      </c>
      <c r="C146" t="s">
        <v>617</v>
      </c>
      <c r="E146" t="s">
        <v>619</v>
      </c>
      <c r="H146" t="s">
        <v>695</v>
      </c>
      <c r="I146" t="s">
        <v>23</v>
      </c>
      <c r="J146" t="s">
        <v>769</v>
      </c>
      <c r="O146" t="s">
        <v>1062</v>
      </c>
      <c r="P146" t="s">
        <v>1113</v>
      </c>
      <c r="Q146" t="s">
        <v>1135</v>
      </c>
      <c r="R146" t="s">
        <v>1169</v>
      </c>
      <c r="S146" t="b">
        <v>1</v>
      </c>
      <c r="T146" t="b">
        <v>0</v>
      </c>
      <c r="U146" t="b">
        <v>1</v>
      </c>
      <c r="V146" t="b">
        <v>0</v>
      </c>
      <c r="W146" s="2" t="s">
        <v>1321</v>
      </c>
      <c r="X146" s="2"/>
      <c r="Y146" s="24">
        <v>138</v>
      </c>
      <c r="Z146">
        <f t="shared" si="40"/>
        <v>138</v>
      </c>
      <c r="AA146">
        <f t="shared" si="41"/>
        <v>138</v>
      </c>
      <c r="AB146">
        <f t="shared" si="42"/>
        <v>138</v>
      </c>
      <c r="AC146">
        <f t="shared" si="43"/>
        <v>0</v>
      </c>
      <c r="AD146">
        <f t="shared" si="44"/>
        <v>138</v>
      </c>
      <c r="AE146">
        <f t="shared" si="45"/>
        <v>0</v>
      </c>
      <c r="AF146">
        <f t="shared" si="46"/>
        <v>0</v>
      </c>
      <c r="AG146">
        <f t="shared" si="47"/>
        <v>138</v>
      </c>
      <c r="AH146">
        <f t="shared" si="48"/>
        <v>138</v>
      </c>
      <c r="AI146">
        <f t="shared" si="49"/>
        <v>138</v>
      </c>
      <c r="AJ146">
        <f t="shared" si="50"/>
        <v>0</v>
      </c>
      <c r="AK146">
        <f t="shared" si="51"/>
        <v>0</v>
      </c>
      <c r="AL146">
        <f t="shared" si="52"/>
        <v>0</v>
      </c>
      <c r="AM146">
        <f t="shared" si="53"/>
        <v>0</v>
      </c>
      <c r="AN146">
        <f t="shared" si="54"/>
        <v>138</v>
      </c>
      <c r="AO146">
        <f t="shared" si="55"/>
        <v>138</v>
      </c>
      <c r="AP146">
        <f t="shared" si="56"/>
        <v>138</v>
      </c>
      <c r="AQ146">
        <f t="shared" si="57"/>
        <v>138</v>
      </c>
      <c r="AR146" s="6">
        <f t="shared" si="58"/>
        <v>138</v>
      </c>
      <c r="AS146">
        <f t="shared" si="59"/>
        <v>138</v>
      </c>
      <c r="AV146" s="1" t="str">
        <f>IF(IFERROR(INDEX($A$9:$W$304,$AS146,COLUMNS($AV$9:AV145)),"")=0,"",IFERROR(INDEX($A$9:$W$304,$AS146,COLUMNS($AV$9:AV145)),""))</f>
        <v>Kalnor's Blessing</v>
      </c>
      <c r="AW146" s="1">
        <f>IFERROR(INDEX($A$9:$W$304,$AS146,COLUMNS($AV$9:AW145)),"")</f>
        <v>0</v>
      </c>
      <c r="AX146" s="1" t="str">
        <f>IF(IFERROR(INDEX($A$9:$X$304,$AS146,COLUMNS($AV$9:AX145)),"")=0,"",IFERROR(INDEX($A$9:$X$304,$AS146,COLUMNS($AV$9:AX145)),""))</f>
        <v>GOOD</v>
      </c>
      <c r="AY146" s="1" t="str">
        <f>IF(IFERROR(INDEX($A$9:$X$304,$AS146,COLUMNS($AV$9:AY145)),"")=0,"",IFERROR(INDEX($A$9:$X$304,$AS146,COLUMNS($AV$9:AY145)),""))</f>
        <v/>
      </c>
      <c r="AZ146" s="1" t="str">
        <f>IF(IFERROR(INDEX($A$9:$X$304,$AS146,COLUMNS($AV$9:AZ145)),"")=0,"",IFERROR(INDEX($A$9:$X$304,$AS146,COLUMNS($AV$9:AZ145)),""))</f>
        <v>EVENT</v>
      </c>
      <c r="BA146" s="1" t="str">
        <f>IF(IFERROR(INDEX($A$9:$X$304,$AS146,COLUMNS($AV$9:BA145)),"")=0,"",IFERROR(INDEX($A$9:$X$304,$AS146,COLUMNS($AV$9:BA145)),""))</f>
        <v/>
      </c>
      <c r="BB146" s="1" t="str">
        <f>IF(IFERROR(INDEX($A$9:$X$304,$AS146,COLUMNS($AV$9:BB145)),"")=0,"",IFERROR(INDEX($A$9:$X$304,$AS146,COLUMNS($AV$9:BB145)),""))</f>
        <v/>
      </c>
      <c r="BC146" s="1" t="str">
        <f>IF(IFERROR(INDEX($A$9:$X$304,$AS146,COLUMNS($AV$9:BC145)),"")=0,"",IFERROR(INDEX($A$9:$X$304,$AS146,COLUMNS($AV$9:BC145)),""))</f>
        <v>Target champion gains unbreakable and untargetable this turn.</v>
      </c>
      <c r="BD146" s="1" t="str">
        <f>IF(IFERROR(INDEX($A$9:$X$304,$AS146,COLUMNS($AV$9:BD145)),"")=0,"",IFERROR(INDEX($A$9:$X$304,$AS146,COLUMNS($AV$9:BD145)),""))</f>
        <v>Recycle</v>
      </c>
      <c r="BE146" s="1" t="str">
        <f>IF(IFERROR(INDEX($A$9:$X$304,$AS146,COLUMNS($AV$9:BE145)),"")=0,"",IFERROR(INDEX($A$9:$X$304,$AS146,COLUMNS($AV$9:BE145)),""))</f>
        <v>{1}: Draw two cards.</v>
      </c>
      <c r="BF146" s="1" t="str">
        <f>IF(IFERROR(INDEX($A$9:$X$304,$AS146,COLUMNS($AV$9:BF145)),"")=0,"",IFERROR(INDEX($A$9:$X$304,$AS146,COLUMNS($AV$9:BF145)),""))</f>
        <v/>
      </c>
      <c r="BG146" s="1" t="str">
        <f>IF(IFERROR(INDEX($A$9:$X$304,$AS146,COLUMNS($AV$9:BG145)),"")=0,"",IFERROR(INDEX($A$9:$X$304,$AS146,COLUMNS($AV$9:BG145)),""))</f>
        <v/>
      </c>
      <c r="BH146" s="1" t="str">
        <f>IF(IFERROR(INDEX($A$9:$X$304,$AS146,COLUMNS($AV$9:BH145)),"")=0,"",IFERROR(INDEX($A$9:$X$304,$AS146,COLUMNS($AV$9:BH145)),""))</f>
        <v/>
      </c>
      <c r="BI146" s="1" t="str">
        <f>IF(IFERROR(INDEX($A$9:$X$304,$AS146,COLUMNS($AV$9:BI145)),"")=0,"",IFERROR(INDEX($A$9:$X$304,$AS146,COLUMNS($AV$9:BI145)),""))</f>
        <v/>
      </c>
      <c r="BJ146" s="1" t="str">
        <f>IF(IFERROR(INDEX($A$9:$X$304,$AS146,COLUMNS($AV$9:BJ145)),"")=0,"",IFERROR(INDEX($A$9:$X$304,$AS146,COLUMNS($AV$9:BJ145)),""))</f>
        <v>None</v>
      </c>
      <c r="BK146" s="1" t="str">
        <f>IF(IFERROR(INDEX($A$9:$X$304,$AS146,COLUMNS($AV$9:BK145)),"")=0,"",IFERROR(INDEX($A$9:$X$304,$AS146,COLUMNS($AV$9:BK145)),""))</f>
        <v>Rare</v>
      </c>
      <c r="BL146" s="1" t="str">
        <f>IF(IFERROR(INDEX($A$9:$X$304,$AS146,COLUMNS($AV$9:BL145)),"")=0,"",IFERROR(INDEX($A$9:$X$304,$AS146,COLUMNS($AV$9:BL145)),""))</f>
        <v>Trevor Smith</v>
      </c>
      <c r="BM146" s="1" t="str">
        <f>IF(IFERROR(INDEX($A$9:$X$304,$AS146,COLUMNS($AV$9:BM145)),"")=0,"",IFERROR(INDEX($A$9:$X$304,$AS146,COLUMNS($AV$9:BM145)),""))</f>
        <v>Kickstarter Promo</v>
      </c>
      <c r="BN146" s="3" t="b">
        <f>IF(IFERROR(INDEX($A$9:$X$304,$AS146,COLUMNS($AV$9:BN145)),"")=0,"",IFERROR(INDEX($A$9:$X$304,$AS146,COLUMNS($AV$9:BN145)),""))</f>
        <v>1</v>
      </c>
      <c r="BO146" s="3" t="b">
        <f>IF(IFERROR(INDEX($A$9:$X$304,$AS146,COLUMNS($AV$9:BO145)),"")=0,"",IFERROR(INDEX($A$9:$X$304,$AS146,COLUMNS($AV$9:BO145)),""))</f>
        <v>0</v>
      </c>
      <c r="BP146" s="3" t="b">
        <f>IF(IFERROR(INDEX($A$9:$X$304,$AS146,COLUMNS($AV$9:BP145)),"")=0,"",IFERROR(INDEX($A$9:$X$304,$AS146,COLUMNS($AV$9:BP145)),""))</f>
        <v>1</v>
      </c>
      <c r="BQ146" s="3" t="b">
        <f>IF(IFERROR(INDEX($A$9:$X$304,$AS146,COLUMNS($AV$9:BQ145)),"")=0,"",IFERROR(INDEX($A$9:$X$304,$AS146,COLUMNS($AV$9:BQ145)),""))</f>
        <v>0</v>
      </c>
      <c r="BR146" s="3" t="str">
        <f>IF(IFERROR(INDEX($A$9:$X$304,$AS146,COLUMNS($AV$9:BR145)),"")=0,"",IFERROR(INDEX($A$9:$X$304,$AS146,COLUMNS($AV$9:BR145)),""))</f>
        <v>http://www.epiccardgame.com/wp-content/uploads/2015/09/kalnor_s_blessing-215x300.jpg</v>
      </c>
      <c r="BS146" s="3" t="str">
        <f>IF(IFERROR(INDEX($A$9:$X$304,$AS146,COLUMNS($AV$9:BS145)),"")=0,"",IFERROR(INDEX($A$9:$X$304,$AS146,COLUMNS($AV$9:BS145)),""))</f>
        <v/>
      </c>
      <c r="BT146" s="3"/>
      <c r="BU146" s="15"/>
      <c r="BV146" t="s">
        <v>167</v>
      </c>
    </row>
    <row r="147" spans="1:74" ht="225" customHeight="1" x14ac:dyDescent="0.25">
      <c r="A147" t="s">
        <v>462</v>
      </c>
      <c r="B147">
        <v>0</v>
      </c>
      <c r="C147" t="s">
        <v>616</v>
      </c>
      <c r="E147" t="s">
        <v>620</v>
      </c>
      <c r="F147">
        <v>2</v>
      </c>
      <c r="G147">
        <v>3</v>
      </c>
      <c r="H147" t="s">
        <v>22</v>
      </c>
      <c r="I147" t="s">
        <v>858</v>
      </c>
      <c r="J147" t="s">
        <v>999</v>
      </c>
      <c r="O147" t="s">
        <v>1063</v>
      </c>
      <c r="P147" t="s">
        <v>1112</v>
      </c>
      <c r="Q147" t="s">
        <v>1116</v>
      </c>
      <c r="R147" t="s">
        <v>1171</v>
      </c>
      <c r="S147" t="b">
        <v>0</v>
      </c>
      <c r="T147" t="b">
        <v>0</v>
      </c>
      <c r="U147" t="b">
        <v>0</v>
      </c>
      <c r="V147" t="b">
        <v>0</v>
      </c>
      <c r="W147" s="2" t="s">
        <v>1322</v>
      </c>
      <c r="X147" s="2"/>
      <c r="Y147" s="24">
        <v>139</v>
      </c>
      <c r="Z147">
        <f t="shared" si="40"/>
        <v>139</v>
      </c>
      <c r="AA147">
        <f t="shared" si="41"/>
        <v>139</v>
      </c>
      <c r="AB147">
        <f t="shared" si="42"/>
        <v>139</v>
      </c>
      <c r="AC147">
        <f t="shared" si="43"/>
        <v>0</v>
      </c>
      <c r="AD147">
        <f t="shared" si="44"/>
        <v>139</v>
      </c>
      <c r="AE147">
        <f t="shared" si="45"/>
        <v>139</v>
      </c>
      <c r="AF147">
        <f t="shared" si="46"/>
        <v>139</v>
      </c>
      <c r="AG147">
        <f t="shared" si="47"/>
        <v>139</v>
      </c>
      <c r="AH147">
        <f t="shared" si="48"/>
        <v>139</v>
      </c>
      <c r="AI147">
        <f t="shared" si="49"/>
        <v>139</v>
      </c>
      <c r="AJ147">
        <f t="shared" si="50"/>
        <v>0</v>
      </c>
      <c r="AK147">
        <f t="shared" si="51"/>
        <v>0</v>
      </c>
      <c r="AL147">
        <f t="shared" si="52"/>
        <v>0</v>
      </c>
      <c r="AM147">
        <f t="shared" si="53"/>
        <v>0</v>
      </c>
      <c r="AN147">
        <f t="shared" si="54"/>
        <v>139</v>
      </c>
      <c r="AO147">
        <f t="shared" si="55"/>
        <v>139</v>
      </c>
      <c r="AP147">
        <f t="shared" si="56"/>
        <v>139</v>
      </c>
      <c r="AQ147">
        <f t="shared" si="57"/>
        <v>139</v>
      </c>
      <c r="AR147" s="6">
        <f t="shared" si="58"/>
        <v>139</v>
      </c>
      <c r="AS147">
        <f t="shared" si="59"/>
        <v>139</v>
      </c>
      <c r="AV147" s="1" t="str">
        <f>IF(IFERROR(INDEX($A$9:$W$304,$AS147,COLUMNS($AV$9:AV146)),"")=0,"",IFERROR(INDEX($A$9:$W$304,$AS147,COLUMNS($AV$9:AV146)),""))</f>
        <v>Keeper of Secrets</v>
      </c>
      <c r="AW147" s="1">
        <f>IFERROR(INDEX($A$9:$W$304,$AS147,COLUMNS($AV$9:AW146)),"")</f>
        <v>0</v>
      </c>
      <c r="AX147" s="1" t="str">
        <f>IF(IFERROR(INDEX($A$9:$X$304,$AS147,COLUMNS($AV$9:AX146)),"")=0,"",IFERROR(INDEX($A$9:$X$304,$AS147,COLUMNS($AV$9:AX146)),""))</f>
        <v>SAGE</v>
      </c>
      <c r="AY147" s="1" t="str">
        <f>IF(IFERROR(INDEX($A$9:$X$304,$AS147,COLUMNS($AV$9:AY146)),"")=0,"",IFERROR(INDEX($A$9:$X$304,$AS147,COLUMNS($AV$9:AY146)),""))</f>
        <v/>
      </c>
      <c r="AZ147" s="1" t="str">
        <f>IF(IFERROR(INDEX($A$9:$X$304,$AS147,COLUMNS($AV$9:AZ146)),"")=0,"",IFERROR(INDEX($A$9:$X$304,$AS147,COLUMNS($AV$9:AZ146)),""))</f>
        <v>CHAMPION</v>
      </c>
      <c r="BA147" s="1">
        <f>IF(IFERROR(INDEX($A$9:$X$304,$AS147,COLUMNS($AV$9:BA146)),"")=0,"",IFERROR(INDEX($A$9:$X$304,$AS147,COLUMNS($AV$9:BA146)),""))</f>
        <v>2</v>
      </c>
      <c r="BB147" s="1">
        <f>IF(IFERROR(INDEX($A$9:$X$304,$AS147,COLUMNS($AV$9:BB146)),"")=0,"",IFERROR(INDEX($A$9:$X$304,$AS147,COLUMNS($AV$9:BB146)),""))</f>
        <v>3</v>
      </c>
      <c r="BC147" s="1" t="str">
        <f>IF(IFERROR(INDEX($A$9:$X$304,$AS147,COLUMNS($AV$9:BC146)),"")=0,"",IFERROR(INDEX($A$9:$X$304,$AS147,COLUMNS($AV$9:BC146)),""))</f>
        <v>Blitz</v>
      </c>
      <c r="BD147" s="1" t="str">
        <f>IF(IFERROR(INDEX($A$9:$X$304,$AS147,COLUMNS($AV$9:BD146)),"")=0,"",IFERROR(INDEX($A$9:$X$304,$AS147,COLUMNS($AV$9:BD146)),""))</f>
        <v>{sage} → Recycle</v>
      </c>
      <c r="BE147" s="1" t="str">
        <f>IF(IFERROR(INDEX($A$9:$X$304,$AS147,COLUMNS($AV$9:BE146)),"")=0,"",IFERROR(INDEX($A$9:$X$304,$AS147,COLUMNS($AV$9:BE146)),""))</f>
        <v>{expend}: Banish a card from target player's discard pile.</v>
      </c>
      <c r="BF147" s="1" t="str">
        <f>IF(IFERROR(INDEX($A$9:$X$304,$AS147,COLUMNS($AV$9:BF146)),"")=0,"",IFERROR(INDEX($A$9:$X$304,$AS147,COLUMNS($AV$9:BF146)),""))</f>
        <v/>
      </c>
      <c r="BG147" s="1" t="str">
        <f>IF(IFERROR(INDEX($A$9:$X$304,$AS147,COLUMNS($AV$9:BG146)),"")=0,"",IFERROR(INDEX($A$9:$X$304,$AS147,COLUMNS($AV$9:BG146)),""))</f>
        <v/>
      </c>
      <c r="BH147" s="1" t="str">
        <f>IF(IFERROR(INDEX($A$9:$X$304,$AS147,COLUMNS($AV$9:BH146)),"")=0,"",IFERROR(INDEX($A$9:$X$304,$AS147,COLUMNS($AV$9:BH146)),""))</f>
        <v/>
      </c>
      <c r="BI147" s="1" t="str">
        <f>IF(IFERROR(INDEX($A$9:$X$304,$AS147,COLUMNS($AV$9:BI146)),"")=0,"",IFERROR(INDEX($A$9:$X$304,$AS147,COLUMNS($AV$9:BI146)),""))</f>
        <v/>
      </c>
      <c r="BJ147" s="1" t="str">
        <f>IF(IFERROR(INDEX($A$9:$X$304,$AS147,COLUMNS($AV$9:BJ146)),"")=0,"",IFERROR(INDEX($A$9:$X$304,$AS147,COLUMNS($AV$9:BJ146)),""))</f>
        <v>HUMAN</v>
      </c>
      <c r="BK147" s="1" t="str">
        <f>IF(IFERROR(INDEX($A$9:$X$304,$AS147,COLUMNS($AV$9:BK146)),"")=0,"",IFERROR(INDEX($A$9:$X$304,$AS147,COLUMNS($AV$9:BK146)),""))</f>
        <v>Common</v>
      </c>
      <c r="BL147" s="1" t="str">
        <f>IF(IFERROR(INDEX($A$9:$X$304,$AS147,COLUMNS($AV$9:BL146)),"")=0,"",IFERROR(INDEX($A$9:$X$304,$AS147,COLUMNS($AV$9:BL146)),""))</f>
        <v>Apsara</v>
      </c>
      <c r="BM147" s="1" t="str">
        <f>IF(IFERROR(INDEX($A$9:$X$304,$AS147,COLUMNS($AV$9:BM146)),"")=0,"",IFERROR(INDEX($A$9:$X$304,$AS147,COLUMNS($AV$9:BM146)),""))</f>
        <v>Base Set</v>
      </c>
      <c r="BN147" s="3" t="b">
        <f>IF(IFERROR(INDEX($A$9:$X$304,$AS147,COLUMNS($AV$9:BN146)),"")=0,"",IFERROR(INDEX($A$9:$X$304,$AS147,COLUMNS($AV$9:BN146)),""))</f>
        <v>0</v>
      </c>
      <c r="BO147" s="3" t="b">
        <f>IF(IFERROR(INDEX($A$9:$X$304,$AS147,COLUMNS($AV$9:BO146)),"")=0,"",IFERROR(INDEX($A$9:$X$304,$AS147,COLUMNS($AV$9:BO146)),""))</f>
        <v>0</v>
      </c>
      <c r="BP147" s="3" t="b">
        <f>IF(IFERROR(INDEX($A$9:$X$304,$AS147,COLUMNS($AV$9:BP146)),"")=0,"",IFERROR(INDEX($A$9:$X$304,$AS147,COLUMNS($AV$9:BP146)),""))</f>
        <v>0</v>
      </c>
      <c r="BQ147" s="3" t="b">
        <f>IF(IFERROR(INDEX($A$9:$X$304,$AS147,COLUMNS($AV$9:BQ146)),"")=0,"",IFERROR(INDEX($A$9:$X$304,$AS147,COLUMNS($AV$9:BQ146)),""))</f>
        <v>0</v>
      </c>
      <c r="BR147" s="3" t="str">
        <f>IF(IFERROR(INDEX($A$9:$X$304,$AS147,COLUMNS($AV$9:BR146)),"")=0,"",IFERROR(INDEX($A$9:$X$304,$AS147,COLUMNS($AV$9:BR146)),""))</f>
        <v>http://www.epiccardgame.com/wp-content/uploads/2015/09/keeper_of_secrets-215x300.jpg</v>
      </c>
      <c r="BS147" s="3" t="str">
        <f>IF(IFERROR(INDEX($A$9:$X$304,$AS147,COLUMNS($AV$9:BS146)),"")=0,"",IFERROR(INDEX($A$9:$X$304,$AS147,COLUMNS($AV$9:BS146)),""))</f>
        <v/>
      </c>
      <c r="BT147" s="3"/>
      <c r="BU147" s="15"/>
      <c r="BV147" t="s">
        <v>168</v>
      </c>
    </row>
    <row r="148" spans="1:74" ht="225.2" customHeight="1" x14ac:dyDescent="0.25">
      <c r="A148" t="s">
        <v>463</v>
      </c>
      <c r="B148">
        <v>1</v>
      </c>
      <c r="C148" t="s">
        <v>615</v>
      </c>
      <c r="E148" t="s">
        <v>620</v>
      </c>
      <c r="F148">
        <v>4</v>
      </c>
      <c r="G148">
        <v>4</v>
      </c>
      <c r="H148" t="s">
        <v>696</v>
      </c>
      <c r="I148" t="s">
        <v>859</v>
      </c>
      <c r="J148" t="s">
        <v>1000</v>
      </c>
      <c r="O148" t="s">
        <v>1063</v>
      </c>
      <c r="P148" t="s">
        <v>1113</v>
      </c>
      <c r="Q148" t="s">
        <v>1153</v>
      </c>
      <c r="R148" t="s">
        <v>1173</v>
      </c>
      <c r="S148" t="b">
        <v>1</v>
      </c>
      <c r="T148" t="b">
        <v>0</v>
      </c>
      <c r="U148" t="b">
        <v>0</v>
      </c>
      <c r="V148" t="b">
        <v>0</v>
      </c>
      <c r="W148" s="2" t="s">
        <v>1323</v>
      </c>
      <c r="X148" s="2"/>
      <c r="Y148" s="24">
        <v>140</v>
      </c>
      <c r="Z148">
        <f t="shared" si="40"/>
        <v>140</v>
      </c>
      <c r="AA148">
        <f t="shared" si="41"/>
        <v>140</v>
      </c>
      <c r="AB148">
        <f t="shared" si="42"/>
        <v>140</v>
      </c>
      <c r="AC148">
        <f t="shared" si="43"/>
        <v>0</v>
      </c>
      <c r="AD148">
        <f t="shared" si="44"/>
        <v>140</v>
      </c>
      <c r="AE148">
        <f t="shared" si="45"/>
        <v>140</v>
      </c>
      <c r="AF148">
        <f t="shared" si="46"/>
        <v>140</v>
      </c>
      <c r="AG148">
        <f t="shared" si="47"/>
        <v>140</v>
      </c>
      <c r="AH148">
        <f t="shared" si="48"/>
        <v>140</v>
      </c>
      <c r="AI148">
        <f t="shared" si="49"/>
        <v>140</v>
      </c>
      <c r="AJ148">
        <f t="shared" si="50"/>
        <v>0</v>
      </c>
      <c r="AK148">
        <f t="shared" si="51"/>
        <v>0</v>
      </c>
      <c r="AL148">
        <f t="shared" si="52"/>
        <v>0</v>
      </c>
      <c r="AM148">
        <f t="shared" si="53"/>
        <v>0</v>
      </c>
      <c r="AN148">
        <f t="shared" si="54"/>
        <v>140</v>
      </c>
      <c r="AO148">
        <f t="shared" si="55"/>
        <v>140</v>
      </c>
      <c r="AP148">
        <f t="shared" si="56"/>
        <v>140</v>
      </c>
      <c r="AQ148">
        <f t="shared" si="57"/>
        <v>140</v>
      </c>
      <c r="AR148" s="6">
        <f t="shared" si="58"/>
        <v>140</v>
      </c>
      <c r="AS148">
        <f t="shared" si="59"/>
        <v>140</v>
      </c>
      <c r="AV148" s="1" t="str">
        <f>IF(IFERROR(INDEX($A$9:$W$304,$AS148,COLUMNS($AV$9:AV147)),"")=0,"",IFERROR(INDEX($A$9:$W$304,$AS148,COLUMNS($AV$9:AV147)),""))</f>
        <v>Keira, Wolf Caller</v>
      </c>
      <c r="AW148" s="1">
        <f>IFERROR(INDEX($A$9:$W$304,$AS148,COLUMNS($AV$9:AW147)),"")</f>
        <v>1</v>
      </c>
      <c r="AX148" s="1" t="str">
        <f>IF(IFERROR(INDEX($A$9:$X$304,$AS148,COLUMNS($AV$9:AX147)),"")=0,"",IFERROR(INDEX($A$9:$X$304,$AS148,COLUMNS($AV$9:AX147)),""))</f>
        <v>WILD</v>
      </c>
      <c r="AY148" s="1" t="str">
        <f>IF(IFERROR(INDEX($A$9:$X$304,$AS148,COLUMNS($AV$9:AY147)),"")=0,"",IFERROR(INDEX($A$9:$X$304,$AS148,COLUMNS($AV$9:AY147)),""))</f>
        <v/>
      </c>
      <c r="AZ148" s="1" t="str">
        <f>IF(IFERROR(INDEX($A$9:$X$304,$AS148,COLUMNS($AV$9:AZ147)),"")=0,"",IFERROR(INDEX($A$9:$X$304,$AS148,COLUMNS($AV$9:AZ147)),""))</f>
        <v>CHAMPION</v>
      </c>
      <c r="BA148" s="1">
        <f>IF(IFERROR(INDEX($A$9:$X$304,$AS148,COLUMNS($AV$9:BA147)),"")=0,"",IFERROR(INDEX($A$9:$X$304,$AS148,COLUMNS($AV$9:BA147)),""))</f>
        <v>4</v>
      </c>
      <c r="BB148" s="1">
        <f>IF(IFERROR(INDEX($A$9:$X$304,$AS148,COLUMNS($AV$9:BB147)),"")=0,"",IFERROR(INDEX($A$9:$X$304,$AS148,COLUMNS($AV$9:BB147)),""))</f>
        <v>4</v>
      </c>
      <c r="BC148" s="1" t="str">
        <f>IF(IFERROR(INDEX($A$9:$X$304,$AS148,COLUMNS($AV$9:BC147)),"")=0,"",IFERROR(INDEX($A$9:$X$304,$AS148,COLUMNS($AV$9:BC147)),""))</f>
        <v>Ambush ◆ Blitz</v>
      </c>
      <c r="BD148" s="1" t="str">
        <f>IF(IFERROR(INDEX($A$9:$X$304,$AS148,COLUMNS($AV$9:BD147)),"")=0,"",IFERROR(INDEX($A$9:$X$304,$AS148,COLUMNS($AV$9:BD147)),""))</f>
        <v>Your wolf tokens have blitz, +1 {offense} and +1 {defense}.</v>
      </c>
      <c r="BE148" s="1" t="str">
        <f>IF(IFERROR(INDEX($A$9:$X$304,$AS148,COLUMNS($AV$9:BE147)),"")=0,"",IFERROR(INDEX($A$9:$X$304,$AS148,COLUMNS($AV$9:BE147)),""))</f>
        <v>Tribute → Put two wolf tokens into play.</v>
      </c>
      <c r="BF148" s="1" t="str">
        <f>IF(IFERROR(INDEX($A$9:$X$304,$AS148,COLUMNS($AV$9:BF147)),"")=0,"",IFERROR(INDEX($A$9:$X$304,$AS148,COLUMNS($AV$9:BF147)),""))</f>
        <v/>
      </c>
      <c r="BG148" s="1" t="str">
        <f>IF(IFERROR(INDEX($A$9:$X$304,$AS148,COLUMNS($AV$9:BG147)),"")=0,"",IFERROR(INDEX($A$9:$X$304,$AS148,COLUMNS($AV$9:BG147)),""))</f>
        <v/>
      </c>
      <c r="BH148" s="1" t="str">
        <f>IF(IFERROR(INDEX($A$9:$X$304,$AS148,COLUMNS($AV$9:BH147)),"")=0,"",IFERROR(INDEX($A$9:$X$304,$AS148,COLUMNS($AV$9:BH147)),""))</f>
        <v/>
      </c>
      <c r="BI148" s="1" t="str">
        <f>IF(IFERROR(INDEX($A$9:$X$304,$AS148,COLUMNS($AV$9:BI147)),"")=0,"",IFERROR(INDEX($A$9:$X$304,$AS148,COLUMNS($AV$9:BI147)),""))</f>
        <v/>
      </c>
      <c r="BJ148" s="1" t="str">
        <f>IF(IFERROR(INDEX($A$9:$X$304,$AS148,COLUMNS($AV$9:BJ147)),"")=0,"",IFERROR(INDEX($A$9:$X$304,$AS148,COLUMNS($AV$9:BJ147)),""))</f>
        <v>HUMAN</v>
      </c>
      <c r="BK148" s="1" t="str">
        <f>IF(IFERROR(INDEX($A$9:$X$304,$AS148,COLUMNS($AV$9:BK147)),"")=0,"",IFERROR(INDEX($A$9:$X$304,$AS148,COLUMNS($AV$9:BK147)),""))</f>
        <v>Rare</v>
      </c>
      <c r="BL148" s="1" t="str">
        <f>IF(IFERROR(INDEX($A$9:$X$304,$AS148,COLUMNS($AV$9:BL147)),"")=0,"",IFERROR(INDEX($A$9:$X$304,$AS148,COLUMNS($AV$9:BL147)),""))</f>
        <v>Grzegorz Pedrycz</v>
      </c>
      <c r="BM148" s="1" t="str">
        <f>IF(IFERROR(INDEX($A$9:$X$304,$AS148,COLUMNS($AV$9:BM147)),"")=0,"",IFERROR(INDEX($A$9:$X$304,$AS148,COLUMNS($AV$9:BM147)),""))</f>
        <v>Pantheon: Angeline vs Scara</v>
      </c>
      <c r="BN148" s="3" t="b">
        <f>IF(IFERROR(INDEX($A$9:$X$304,$AS148,COLUMNS($AV$9:BN147)),"")=0,"",IFERROR(INDEX($A$9:$X$304,$AS148,COLUMNS($AV$9:BN147)),""))</f>
        <v>1</v>
      </c>
      <c r="BO148" s="3" t="b">
        <f>IF(IFERROR(INDEX($A$9:$X$304,$AS148,COLUMNS($AV$9:BO147)),"")=0,"",IFERROR(INDEX($A$9:$X$304,$AS148,COLUMNS($AV$9:BO147)),""))</f>
        <v>0</v>
      </c>
      <c r="BP148" s="3" t="b">
        <f>IF(IFERROR(INDEX($A$9:$X$304,$AS148,COLUMNS($AV$9:BP147)),"")=0,"",IFERROR(INDEX($A$9:$X$304,$AS148,COLUMNS($AV$9:BP147)),""))</f>
        <v>0</v>
      </c>
      <c r="BQ148" s="3" t="b">
        <f>IF(IFERROR(INDEX($A$9:$X$304,$AS148,COLUMNS($AV$9:BQ147)),"")=0,"",IFERROR(INDEX($A$9:$X$304,$AS148,COLUMNS($AV$9:BQ147)),""))</f>
        <v>0</v>
      </c>
      <c r="BR148" s="3" t="str">
        <f>IF(IFERROR(INDEX($A$9:$X$304,$AS148,COLUMNS($AV$9:BR147)),"")=0,"",IFERROR(INDEX($A$9:$X$304,$AS148,COLUMNS($AV$9:BR147)),""))</f>
        <v>https://www.epiccardgame.com/wp-content/uploads/2017/11/PNA-EN-15-keira-wolf-caller.jpg</v>
      </c>
      <c r="BS148" s="3" t="str">
        <f>IF(IFERROR(INDEX($A$9:$X$304,$AS148,COLUMNS($AV$9:BS147)),"")=0,"",IFERROR(INDEX($A$9:$X$304,$AS148,COLUMNS($AV$9:BS147)),""))</f>
        <v/>
      </c>
      <c r="BT148" s="3"/>
      <c r="BU148" s="15"/>
      <c r="BV148" t="s">
        <v>169</v>
      </c>
    </row>
    <row r="149" spans="1:74" ht="225" customHeight="1" x14ac:dyDescent="0.25">
      <c r="A149" t="s">
        <v>464</v>
      </c>
      <c r="B149">
        <v>1</v>
      </c>
      <c r="C149" t="s">
        <v>616</v>
      </c>
      <c r="E149" t="s">
        <v>620</v>
      </c>
      <c r="F149">
        <v>10</v>
      </c>
      <c r="G149">
        <v>8</v>
      </c>
      <c r="H149" t="s">
        <v>22</v>
      </c>
      <c r="I149" t="s">
        <v>854</v>
      </c>
      <c r="J149" t="s">
        <v>1001</v>
      </c>
      <c r="O149" t="s">
        <v>1097</v>
      </c>
      <c r="P149" t="s">
        <v>1112</v>
      </c>
      <c r="Q149" t="s">
        <v>1144</v>
      </c>
      <c r="R149" t="s">
        <v>1181</v>
      </c>
      <c r="S149" t="b">
        <v>1</v>
      </c>
      <c r="T149" t="b">
        <v>0</v>
      </c>
      <c r="U149" t="b">
        <v>0</v>
      </c>
      <c r="V149" t="b">
        <v>0</v>
      </c>
      <c r="W149" s="2" t="s">
        <v>1324</v>
      </c>
      <c r="X149" s="2"/>
      <c r="Y149" s="24">
        <v>141</v>
      </c>
      <c r="Z149">
        <f t="shared" si="40"/>
        <v>141</v>
      </c>
      <c r="AA149">
        <f t="shared" si="41"/>
        <v>141</v>
      </c>
      <c r="AB149">
        <f t="shared" si="42"/>
        <v>141</v>
      </c>
      <c r="AC149">
        <f t="shared" si="43"/>
        <v>0</v>
      </c>
      <c r="AD149">
        <f t="shared" si="44"/>
        <v>141</v>
      </c>
      <c r="AE149">
        <f t="shared" si="45"/>
        <v>141</v>
      </c>
      <c r="AF149">
        <f t="shared" si="46"/>
        <v>141</v>
      </c>
      <c r="AG149">
        <f t="shared" si="47"/>
        <v>141</v>
      </c>
      <c r="AH149">
        <f t="shared" si="48"/>
        <v>141</v>
      </c>
      <c r="AI149">
        <f t="shared" si="49"/>
        <v>141</v>
      </c>
      <c r="AJ149">
        <f t="shared" si="50"/>
        <v>0</v>
      </c>
      <c r="AK149">
        <f t="shared" si="51"/>
        <v>0</v>
      </c>
      <c r="AL149">
        <f t="shared" si="52"/>
        <v>0</v>
      </c>
      <c r="AM149">
        <f t="shared" si="53"/>
        <v>0</v>
      </c>
      <c r="AN149">
        <f t="shared" si="54"/>
        <v>141</v>
      </c>
      <c r="AO149">
        <f t="shared" si="55"/>
        <v>141</v>
      </c>
      <c r="AP149">
        <f t="shared" si="56"/>
        <v>141</v>
      </c>
      <c r="AQ149">
        <f t="shared" si="57"/>
        <v>141</v>
      </c>
      <c r="AR149" s="6">
        <f t="shared" si="58"/>
        <v>141</v>
      </c>
      <c r="AS149">
        <f t="shared" si="59"/>
        <v>141</v>
      </c>
      <c r="AV149" s="1" t="str">
        <f>IF(IFERROR(INDEX($A$9:$W$304,$AS149,COLUMNS($AV$9:AV148)),"")=0,"",IFERROR(INDEX($A$9:$W$304,$AS149,COLUMNS($AV$9:AV148)),""))</f>
        <v>Knight of Elara</v>
      </c>
      <c r="AW149" s="1">
        <f>IFERROR(INDEX($A$9:$W$304,$AS149,COLUMNS($AV$9:AW148)),"")</f>
        <v>1</v>
      </c>
      <c r="AX149" s="1" t="str">
        <f>IF(IFERROR(INDEX($A$9:$X$304,$AS149,COLUMNS($AV$9:AX148)),"")=0,"",IFERROR(INDEX($A$9:$X$304,$AS149,COLUMNS($AV$9:AX148)),""))</f>
        <v>SAGE</v>
      </c>
      <c r="AY149" s="1" t="str">
        <f>IF(IFERROR(INDEX($A$9:$X$304,$AS149,COLUMNS($AV$9:AY148)),"")=0,"",IFERROR(INDEX($A$9:$X$304,$AS149,COLUMNS($AV$9:AY148)),""))</f>
        <v/>
      </c>
      <c r="AZ149" s="1" t="str">
        <f>IF(IFERROR(INDEX($A$9:$X$304,$AS149,COLUMNS($AV$9:AZ148)),"")=0,"",IFERROR(INDEX($A$9:$X$304,$AS149,COLUMNS($AV$9:AZ148)),""))</f>
        <v>CHAMPION</v>
      </c>
      <c r="BA149" s="1">
        <f>IF(IFERROR(INDEX($A$9:$X$304,$AS149,COLUMNS($AV$9:BA148)),"")=0,"",IFERROR(INDEX($A$9:$X$304,$AS149,COLUMNS($AV$9:BA148)),""))</f>
        <v>10</v>
      </c>
      <c r="BB149" s="1">
        <f>IF(IFERROR(INDEX($A$9:$X$304,$AS149,COLUMNS($AV$9:BB148)),"")=0,"",IFERROR(INDEX($A$9:$X$304,$AS149,COLUMNS($AV$9:BB148)),""))</f>
        <v>8</v>
      </c>
      <c r="BC149" s="1" t="str">
        <f>IF(IFERROR(INDEX($A$9:$X$304,$AS149,COLUMNS($AV$9:BC148)),"")=0,"",IFERROR(INDEX($A$9:$X$304,$AS149,COLUMNS($AV$9:BC148)),""))</f>
        <v>Blitz</v>
      </c>
      <c r="BD149" s="1" t="str">
        <f>IF(IFERROR(INDEX($A$9:$X$304,$AS149,COLUMNS($AV$9:BD148)),"")=0,"",IFERROR(INDEX($A$9:$X$304,$AS149,COLUMNS($AV$9:BD148)),""))</f>
        <v>Loyalty 2 → Draw a card.</v>
      </c>
      <c r="BE149" s="1" t="str">
        <f>IF(IFERROR(INDEX($A$9:$X$304,$AS149,COLUMNS($AV$9:BE148)),"")=0,"",IFERROR(INDEX($A$9:$X$304,$AS149,COLUMNS($AV$9:BE148)),""))</f>
        <v>When this card is blocked → Transform each blocking non-wolf champion into a wolf token.</v>
      </c>
      <c r="BF149" s="1" t="str">
        <f>IF(IFERROR(INDEX($A$9:$X$304,$AS149,COLUMNS($AV$9:BF148)),"")=0,"",IFERROR(INDEX($A$9:$X$304,$AS149,COLUMNS($AV$9:BF148)),""))</f>
        <v/>
      </c>
      <c r="BG149" s="1" t="str">
        <f>IF(IFERROR(INDEX($A$9:$X$304,$AS149,COLUMNS($AV$9:BG148)),"")=0,"",IFERROR(INDEX($A$9:$X$304,$AS149,COLUMNS($AV$9:BG148)),""))</f>
        <v/>
      </c>
      <c r="BH149" s="1" t="str">
        <f>IF(IFERROR(INDEX($A$9:$X$304,$AS149,COLUMNS($AV$9:BH148)),"")=0,"",IFERROR(INDEX($A$9:$X$304,$AS149,COLUMNS($AV$9:BH148)),""))</f>
        <v/>
      </c>
      <c r="BI149" s="1" t="str">
        <f>IF(IFERROR(INDEX($A$9:$X$304,$AS149,COLUMNS($AV$9:BI148)),"")=0,"",IFERROR(INDEX($A$9:$X$304,$AS149,COLUMNS($AV$9:BI148)),""))</f>
        <v/>
      </c>
      <c r="BJ149" s="1" t="str">
        <f>IF(IFERROR(INDEX($A$9:$X$304,$AS149,COLUMNS($AV$9:BJ148)),"")=0,"",IFERROR(INDEX($A$9:$X$304,$AS149,COLUMNS($AV$9:BJ148)),""))</f>
        <v>HUMAN KNIGHT</v>
      </c>
      <c r="BK149" s="1" t="str">
        <f>IF(IFERROR(INDEX($A$9:$X$304,$AS149,COLUMNS($AV$9:BK148)),"")=0,"",IFERROR(INDEX($A$9:$X$304,$AS149,COLUMNS($AV$9:BK148)),""))</f>
        <v>Common</v>
      </c>
      <c r="BL149" s="1" t="str">
        <f>IF(IFERROR(INDEX($A$9:$X$304,$AS149,COLUMNS($AV$9:BL148)),"")=0,"",IFERROR(INDEX($A$9:$X$304,$AS149,COLUMNS($AV$9:BL148)),""))</f>
        <v>Melvin Chan</v>
      </c>
      <c r="BM149" s="1" t="str">
        <f>IF(IFERROR(INDEX($A$9:$X$304,$AS149,COLUMNS($AV$9:BM148)),"")=0,"",IFERROR(INDEX($A$9:$X$304,$AS149,COLUMNS($AV$9:BM148)),""))</f>
        <v>Uprising: Kark's Edict</v>
      </c>
      <c r="BN149" s="3" t="b">
        <f>IF(IFERROR(INDEX($A$9:$X$304,$AS149,COLUMNS($AV$9:BN148)),"")=0,"",IFERROR(INDEX($A$9:$X$304,$AS149,COLUMNS($AV$9:BN148)),""))</f>
        <v>1</v>
      </c>
      <c r="BO149" s="3" t="b">
        <f>IF(IFERROR(INDEX($A$9:$X$304,$AS149,COLUMNS($AV$9:BO148)),"")=0,"",IFERROR(INDEX($A$9:$X$304,$AS149,COLUMNS($AV$9:BO148)),""))</f>
        <v>0</v>
      </c>
      <c r="BP149" s="3" t="b">
        <f>IF(IFERROR(INDEX($A$9:$X$304,$AS149,COLUMNS($AV$9:BP148)),"")=0,"",IFERROR(INDEX($A$9:$X$304,$AS149,COLUMNS($AV$9:BP148)),""))</f>
        <v>0</v>
      </c>
      <c r="BQ149" s="3" t="b">
        <f>IF(IFERROR(INDEX($A$9:$X$304,$AS149,COLUMNS($AV$9:BQ148)),"")=0,"",IFERROR(INDEX($A$9:$X$304,$AS149,COLUMNS($AV$9:BQ148)),""))</f>
        <v>0</v>
      </c>
      <c r="BR149" s="3" t="str">
        <f>IF(IFERROR(INDEX($A$9:$X$304,$AS149,COLUMNS($AV$9:BR148)),"")=0,"",IFERROR(INDEX($A$9:$X$304,$AS149,COLUMNS($AV$9:BR148)),""))</f>
        <v>https://www.epiccardgame.com/wp-content/uploads/2017/11/UPK-EN-knight-of-elara.jpg</v>
      </c>
      <c r="BS149" s="3" t="str">
        <f>IF(IFERROR(INDEX($A$9:$X$304,$AS149,COLUMNS($AV$9:BS148)),"")=0,"",IFERROR(INDEX($A$9:$X$304,$AS149,COLUMNS($AV$9:BS148)),""))</f>
        <v/>
      </c>
      <c r="BT149" s="3"/>
      <c r="BU149" s="15"/>
      <c r="BV149" t="s">
        <v>170</v>
      </c>
    </row>
    <row r="150" spans="1:74" ht="225" customHeight="1" x14ac:dyDescent="0.25">
      <c r="A150" t="s">
        <v>465</v>
      </c>
      <c r="B150">
        <v>1</v>
      </c>
      <c r="C150" t="s">
        <v>616</v>
      </c>
      <c r="E150" t="s">
        <v>620</v>
      </c>
      <c r="F150">
        <v>9</v>
      </c>
      <c r="G150">
        <v>4</v>
      </c>
      <c r="H150" t="s">
        <v>26</v>
      </c>
      <c r="I150" t="s">
        <v>860</v>
      </c>
      <c r="J150" t="s">
        <v>1002</v>
      </c>
      <c r="O150" t="s">
        <v>1075</v>
      </c>
      <c r="P150" t="s">
        <v>1113</v>
      </c>
      <c r="Q150" t="s">
        <v>1125</v>
      </c>
      <c r="R150" t="s">
        <v>1183</v>
      </c>
      <c r="S150" t="b">
        <v>1</v>
      </c>
      <c r="T150" t="b">
        <v>0</v>
      </c>
      <c r="U150" t="b">
        <v>0</v>
      </c>
      <c r="V150" t="b">
        <v>0</v>
      </c>
      <c r="W150" s="2" t="s">
        <v>1325</v>
      </c>
      <c r="X150" s="2"/>
      <c r="Y150" s="24">
        <v>142</v>
      </c>
      <c r="Z150">
        <f t="shared" si="40"/>
        <v>142</v>
      </c>
      <c r="AA150">
        <f t="shared" si="41"/>
        <v>142</v>
      </c>
      <c r="AB150">
        <f t="shared" si="42"/>
        <v>142</v>
      </c>
      <c r="AC150">
        <f t="shared" si="43"/>
        <v>0</v>
      </c>
      <c r="AD150">
        <f t="shared" si="44"/>
        <v>142</v>
      </c>
      <c r="AE150">
        <f t="shared" si="45"/>
        <v>142</v>
      </c>
      <c r="AF150">
        <f t="shared" si="46"/>
        <v>142</v>
      </c>
      <c r="AG150">
        <f t="shared" si="47"/>
        <v>142</v>
      </c>
      <c r="AH150">
        <f t="shared" si="48"/>
        <v>142</v>
      </c>
      <c r="AI150">
        <f t="shared" si="49"/>
        <v>142</v>
      </c>
      <c r="AJ150">
        <f t="shared" si="50"/>
        <v>0</v>
      </c>
      <c r="AK150">
        <f t="shared" si="51"/>
        <v>0</v>
      </c>
      <c r="AL150">
        <f t="shared" si="52"/>
        <v>0</v>
      </c>
      <c r="AM150">
        <f t="shared" si="53"/>
        <v>0</v>
      </c>
      <c r="AN150">
        <f t="shared" si="54"/>
        <v>142</v>
      </c>
      <c r="AO150">
        <f t="shared" si="55"/>
        <v>142</v>
      </c>
      <c r="AP150">
        <f t="shared" si="56"/>
        <v>142</v>
      </c>
      <c r="AQ150">
        <f t="shared" si="57"/>
        <v>142</v>
      </c>
      <c r="AR150" s="6">
        <f t="shared" si="58"/>
        <v>142</v>
      </c>
      <c r="AS150">
        <f t="shared" si="59"/>
        <v>142</v>
      </c>
      <c r="AV150" s="1" t="str">
        <f>IF(IFERROR(INDEX($A$9:$W$304,$AS150,COLUMNS($AV$9:AV149)),"")=0,"",IFERROR(INDEX($A$9:$W$304,$AS150,COLUMNS($AV$9:AV149)),""))</f>
        <v>Knight of Shadows</v>
      </c>
      <c r="AW150" s="1">
        <f>IFERROR(INDEX($A$9:$W$304,$AS150,COLUMNS($AV$9:AW149)),"")</f>
        <v>1</v>
      </c>
      <c r="AX150" s="1" t="str">
        <f>IF(IFERROR(INDEX($A$9:$X$304,$AS150,COLUMNS($AV$9:AX149)),"")=0,"",IFERROR(INDEX($A$9:$X$304,$AS150,COLUMNS($AV$9:AX149)),""))</f>
        <v>SAGE</v>
      </c>
      <c r="AY150" s="1" t="str">
        <f>IF(IFERROR(INDEX($A$9:$X$304,$AS150,COLUMNS($AV$9:AY149)),"")=0,"",IFERROR(INDEX($A$9:$X$304,$AS150,COLUMNS($AV$9:AY149)),""))</f>
        <v/>
      </c>
      <c r="AZ150" s="1" t="str">
        <f>IF(IFERROR(INDEX($A$9:$X$304,$AS150,COLUMNS($AV$9:AZ149)),"")=0,"",IFERROR(INDEX($A$9:$X$304,$AS150,COLUMNS($AV$9:AZ149)),""))</f>
        <v>CHAMPION</v>
      </c>
      <c r="BA150" s="1">
        <f>IF(IFERROR(INDEX($A$9:$X$304,$AS150,COLUMNS($AV$9:BA149)),"")=0,"",IFERROR(INDEX($A$9:$X$304,$AS150,COLUMNS($AV$9:BA149)),""))</f>
        <v>9</v>
      </c>
      <c r="BB150" s="1">
        <f>IF(IFERROR(INDEX($A$9:$X$304,$AS150,COLUMNS($AV$9:BB149)),"")=0,"",IFERROR(INDEX($A$9:$X$304,$AS150,COLUMNS($AV$9:BB149)),""))</f>
        <v>4</v>
      </c>
      <c r="BC150" s="1" t="str">
        <f>IF(IFERROR(INDEX($A$9:$X$304,$AS150,COLUMNS($AV$9:BC149)),"")=0,"",IFERROR(INDEX($A$9:$X$304,$AS150,COLUMNS($AV$9:BC149)),""))</f>
        <v>Unblockable</v>
      </c>
      <c r="BD150" s="1" t="str">
        <f>IF(IFERROR(INDEX($A$9:$X$304,$AS150,COLUMNS($AV$9:BD149)),"")=0,"",IFERROR(INDEX($A$9:$X$304,$AS150,COLUMNS($AV$9:BD149)),""))</f>
        <v>Tribute → Draw a card. Each opponent discards a card.</v>
      </c>
      <c r="BE150" s="1" t="str">
        <f>IF(IFERROR(INDEX($A$9:$X$304,$AS150,COLUMNS($AV$9:BE149)),"")=0,"",IFERROR(INDEX($A$9:$X$304,$AS150,COLUMNS($AV$9:BE149)),""))</f>
        <v>Helion's servant; your nightmare.</v>
      </c>
      <c r="BF150" s="1" t="str">
        <f>IF(IFERROR(INDEX($A$9:$X$304,$AS150,COLUMNS($AV$9:BF149)),"")=0,"",IFERROR(INDEX($A$9:$X$304,$AS150,COLUMNS($AV$9:BF149)),""))</f>
        <v/>
      </c>
      <c r="BG150" s="1" t="str">
        <f>IF(IFERROR(INDEX($A$9:$X$304,$AS150,COLUMNS($AV$9:BG149)),"")=0,"",IFERROR(INDEX($A$9:$X$304,$AS150,COLUMNS($AV$9:BG149)),""))</f>
        <v/>
      </c>
      <c r="BH150" s="1" t="str">
        <f>IF(IFERROR(INDEX($A$9:$X$304,$AS150,COLUMNS($AV$9:BH149)),"")=0,"",IFERROR(INDEX($A$9:$X$304,$AS150,COLUMNS($AV$9:BH149)),""))</f>
        <v/>
      </c>
      <c r="BI150" s="1" t="str">
        <f>IF(IFERROR(INDEX($A$9:$X$304,$AS150,COLUMNS($AV$9:BI149)),"")=0,"",IFERROR(INDEX($A$9:$X$304,$AS150,COLUMNS($AV$9:BI149)),""))</f>
        <v/>
      </c>
      <c r="BJ150" s="1" t="str">
        <f>IF(IFERROR(INDEX($A$9:$X$304,$AS150,COLUMNS($AV$9:BJ149)),"")=0,"",IFERROR(INDEX($A$9:$X$304,$AS150,COLUMNS($AV$9:BJ149)),""))</f>
        <v>CONSTRUCT</v>
      </c>
      <c r="BK150" s="1" t="str">
        <f>IF(IFERROR(INDEX($A$9:$X$304,$AS150,COLUMNS($AV$9:BK149)),"")=0,"",IFERROR(INDEX($A$9:$X$304,$AS150,COLUMNS($AV$9:BK149)),""))</f>
        <v>Rare</v>
      </c>
      <c r="BL150" s="1" t="str">
        <f>IF(IFERROR(INDEX($A$9:$X$304,$AS150,COLUMNS($AV$9:BL149)),"")=0,"",IFERROR(INDEX($A$9:$X$304,$AS150,COLUMNS($AV$9:BL149)),""))</f>
        <v>Grant Griffin</v>
      </c>
      <c r="BM150" s="1" t="str">
        <f>IF(IFERROR(INDEX($A$9:$X$304,$AS150,COLUMNS($AV$9:BM149)),"")=0,"",IFERROR(INDEX($A$9:$X$304,$AS150,COLUMNS($AV$9:BM149)),""))</f>
        <v>Tyrants: Raxxa's Revenge</v>
      </c>
      <c r="BN150" s="3" t="b">
        <f>IF(IFERROR(INDEX($A$9:$X$304,$AS150,COLUMNS($AV$9:BN149)),"")=0,"",IFERROR(INDEX($A$9:$X$304,$AS150,COLUMNS($AV$9:BN149)),""))</f>
        <v>1</v>
      </c>
      <c r="BO150" s="3" t="b">
        <f>IF(IFERROR(INDEX($A$9:$X$304,$AS150,COLUMNS($AV$9:BO149)),"")=0,"",IFERROR(INDEX($A$9:$X$304,$AS150,COLUMNS($AV$9:BO149)),""))</f>
        <v>0</v>
      </c>
      <c r="BP150" s="3" t="b">
        <f>IF(IFERROR(INDEX($A$9:$X$304,$AS150,COLUMNS($AV$9:BP149)),"")=0,"",IFERROR(INDEX($A$9:$X$304,$AS150,COLUMNS($AV$9:BP149)),""))</f>
        <v>0</v>
      </c>
      <c r="BQ150" s="3" t="b">
        <f>IF(IFERROR(INDEX($A$9:$X$304,$AS150,COLUMNS($AV$9:BQ149)),"")=0,"",IFERROR(INDEX($A$9:$X$304,$AS150,COLUMNS($AV$9:BQ149)),""))</f>
        <v>0</v>
      </c>
      <c r="BR150" s="3" t="str">
        <f>IF(IFERROR(INDEX($A$9:$X$304,$AS150,COLUMNS($AV$9:BR149)),"")=0,"",IFERROR(INDEX($A$9:$X$304,$AS150,COLUMNS($AV$9:BR149)),""))</f>
        <v>http://www.epiccardgame.com/wp-content/uploads/2016/03/knight_of_shadows-214x300.jpg</v>
      </c>
      <c r="BS150" s="3" t="str">
        <f>IF(IFERROR(INDEX($A$9:$X$304,$AS150,COLUMNS($AV$9:BS149)),"")=0,"",IFERROR(INDEX($A$9:$X$304,$AS150,COLUMNS($AV$9:BS149)),""))</f>
        <v/>
      </c>
      <c r="BT150" s="3"/>
      <c r="BU150" s="15"/>
      <c r="BV150" t="s">
        <v>171</v>
      </c>
    </row>
    <row r="151" spans="1:74" ht="225.2" customHeight="1" x14ac:dyDescent="0.25">
      <c r="A151" t="s">
        <v>466</v>
      </c>
      <c r="B151">
        <v>0</v>
      </c>
      <c r="C151" t="s">
        <v>617</v>
      </c>
      <c r="E151" t="s">
        <v>620</v>
      </c>
      <c r="F151">
        <v>6</v>
      </c>
      <c r="G151">
        <v>3</v>
      </c>
      <c r="H151" t="s">
        <v>22</v>
      </c>
      <c r="I151" t="s">
        <v>861</v>
      </c>
      <c r="O151" t="s">
        <v>1097</v>
      </c>
      <c r="P151" t="s">
        <v>1112</v>
      </c>
      <c r="Q151" t="s">
        <v>1127</v>
      </c>
      <c r="R151" t="s">
        <v>1169</v>
      </c>
      <c r="S151" t="b">
        <v>0</v>
      </c>
      <c r="T151" t="b">
        <v>0</v>
      </c>
      <c r="U151" t="b">
        <v>0</v>
      </c>
      <c r="V151" t="b">
        <v>0</v>
      </c>
      <c r="W151" s="2" t="s">
        <v>1326</v>
      </c>
      <c r="X151" s="2"/>
      <c r="Y151" s="24">
        <v>143</v>
      </c>
      <c r="Z151">
        <f t="shared" si="40"/>
        <v>143</v>
      </c>
      <c r="AA151">
        <f t="shared" si="41"/>
        <v>143</v>
      </c>
      <c r="AB151">
        <f t="shared" si="42"/>
        <v>143</v>
      </c>
      <c r="AC151">
        <f t="shared" si="43"/>
        <v>0</v>
      </c>
      <c r="AD151">
        <f t="shared" si="44"/>
        <v>143</v>
      </c>
      <c r="AE151">
        <f t="shared" si="45"/>
        <v>143</v>
      </c>
      <c r="AF151">
        <f t="shared" si="46"/>
        <v>143</v>
      </c>
      <c r="AG151">
        <f t="shared" si="47"/>
        <v>143</v>
      </c>
      <c r="AH151">
        <f t="shared" si="48"/>
        <v>143</v>
      </c>
      <c r="AI151">
        <f t="shared" si="49"/>
        <v>0</v>
      </c>
      <c r="AJ151">
        <f t="shared" si="50"/>
        <v>0</v>
      </c>
      <c r="AK151">
        <f t="shared" si="51"/>
        <v>0</v>
      </c>
      <c r="AL151">
        <f t="shared" si="52"/>
        <v>0</v>
      </c>
      <c r="AM151">
        <f t="shared" si="53"/>
        <v>0</v>
      </c>
      <c r="AN151">
        <f t="shared" si="54"/>
        <v>143</v>
      </c>
      <c r="AO151">
        <f t="shared" si="55"/>
        <v>143</v>
      </c>
      <c r="AP151">
        <f t="shared" si="56"/>
        <v>143</v>
      </c>
      <c r="AQ151">
        <f t="shared" si="57"/>
        <v>143</v>
      </c>
      <c r="AR151" s="6">
        <f t="shared" si="58"/>
        <v>143</v>
      </c>
      <c r="AS151">
        <f t="shared" si="59"/>
        <v>143</v>
      </c>
      <c r="AV151" s="1" t="str">
        <f>IF(IFERROR(INDEX($A$9:$W$304,$AS151,COLUMNS($AV$9:AV150)),"")=0,"",IFERROR(INDEX($A$9:$W$304,$AS151,COLUMNS($AV$9:AV150)),""))</f>
        <v>Knight of the Dawn</v>
      </c>
      <c r="AW151" s="1">
        <f>IFERROR(INDEX($A$9:$W$304,$AS151,COLUMNS($AV$9:AW150)),"")</f>
        <v>0</v>
      </c>
      <c r="AX151" s="1" t="str">
        <f>IF(IFERROR(INDEX($A$9:$X$304,$AS151,COLUMNS($AV$9:AX150)),"")=0,"",IFERROR(INDEX($A$9:$X$304,$AS151,COLUMNS($AV$9:AX150)),""))</f>
        <v>GOOD</v>
      </c>
      <c r="AY151" s="1" t="str">
        <f>IF(IFERROR(INDEX($A$9:$X$304,$AS151,COLUMNS($AV$9:AY150)),"")=0,"",IFERROR(INDEX($A$9:$X$304,$AS151,COLUMNS($AV$9:AY150)),""))</f>
        <v/>
      </c>
      <c r="AZ151" s="1" t="str">
        <f>IF(IFERROR(INDEX($A$9:$X$304,$AS151,COLUMNS($AV$9:AZ150)),"")=0,"",IFERROR(INDEX($A$9:$X$304,$AS151,COLUMNS($AV$9:AZ150)),""))</f>
        <v>CHAMPION</v>
      </c>
      <c r="BA151" s="1">
        <f>IF(IFERROR(INDEX($A$9:$X$304,$AS151,COLUMNS($AV$9:BA150)),"")=0,"",IFERROR(INDEX($A$9:$X$304,$AS151,COLUMNS($AV$9:BA150)),""))</f>
        <v>6</v>
      </c>
      <c r="BB151" s="1">
        <f>IF(IFERROR(INDEX($A$9:$X$304,$AS151,COLUMNS($AV$9:BB150)),"")=0,"",IFERROR(INDEX($A$9:$X$304,$AS151,COLUMNS($AV$9:BB150)),""))</f>
        <v>3</v>
      </c>
      <c r="BC151" s="1" t="str">
        <f>IF(IFERROR(INDEX($A$9:$X$304,$AS151,COLUMNS($AV$9:BC150)),"")=0,"",IFERROR(INDEX($A$9:$X$304,$AS151,COLUMNS($AV$9:BC150)),""))</f>
        <v>Blitz</v>
      </c>
      <c r="BD151" s="1" t="str">
        <f>IF(IFERROR(INDEX($A$9:$X$304,$AS151,COLUMNS($AV$9:BD150)),"")=0,"",IFERROR(INDEX($A$9:$X$304,$AS151,COLUMNS($AV$9:BD150)),""))</f>
        <v>Tribute → You may banish target evil token champion.</v>
      </c>
      <c r="BE151" s="1" t="str">
        <f>IF(IFERROR(INDEX($A$9:$X$304,$AS151,COLUMNS($AV$9:BE150)),"")=0,"",IFERROR(INDEX($A$9:$X$304,$AS151,COLUMNS($AV$9:BE150)),""))</f>
        <v/>
      </c>
      <c r="BF151" s="1" t="str">
        <f>IF(IFERROR(INDEX($A$9:$X$304,$AS151,COLUMNS($AV$9:BF150)),"")=0,"",IFERROR(INDEX($A$9:$X$304,$AS151,COLUMNS($AV$9:BF150)),""))</f>
        <v/>
      </c>
      <c r="BG151" s="1" t="str">
        <f>IF(IFERROR(INDEX($A$9:$X$304,$AS151,COLUMNS($AV$9:BG150)),"")=0,"",IFERROR(INDEX($A$9:$X$304,$AS151,COLUMNS($AV$9:BG150)),""))</f>
        <v/>
      </c>
      <c r="BH151" s="1" t="str">
        <f>IF(IFERROR(INDEX($A$9:$X$304,$AS151,COLUMNS($AV$9:BH150)),"")=0,"",IFERROR(INDEX($A$9:$X$304,$AS151,COLUMNS($AV$9:BH150)),""))</f>
        <v/>
      </c>
      <c r="BI151" s="1" t="str">
        <f>IF(IFERROR(INDEX($A$9:$X$304,$AS151,COLUMNS($AV$9:BI150)),"")=0,"",IFERROR(INDEX($A$9:$X$304,$AS151,COLUMNS($AV$9:BI150)),""))</f>
        <v/>
      </c>
      <c r="BJ151" s="1" t="str">
        <f>IF(IFERROR(INDEX($A$9:$X$304,$AS151,COLUMNS($AV$9:BJ150)),"")=0,"",IFERROR(INDEX($A$9:$X$304,$AS151,COLUMNS($AV$9:BJ150)),""))</f>
        <v>HUMAN KNIGHT</v>
      </c>
      <c r="BK151" s="1" t="str">
        <f>IF(IFERROR(INDEX($A$9:$X$304,$AS151,COLUMNS($AV$9:BK150)),"")=0,"",IFERROR(INDEX($A$9:$X$304,$AS151,COLUMNS($AV$9:BK150)),""))</f>
        <v>Common</v>
      </c>
      <c r="BL151" s="1" t="str">
        <f>IF(IFERROR(INDEX($A$9:$X$304,$AS151,COLUMNS($AV$9:BL150)),"")=0,"",IFERROR(INDEX($A$9:$X$304,$AS151,COLUMNS($AV$9:BL150)),""))</f>
        <v>Johnny Morrow</v>
      </c>
      <c r="BM151" s="1" t="str">
        <f>IF(IFERROR(INDEX($A$9:$X$304,$AS151,COLUMNS($AV$9:BM150)),"")=0,"",IFERROR(INDEX($A$9:$X$304,$AS151,COLUMNS($AV$9:BM150)),""))</f>
        <v>Kickstarter Promo</v>
      </c>
      <c r="BN151" s="3" t="b">
        <f>IF(IFERROR(INDEX($A$9:$X$304,$AS151,COLUMNS($AV$9:BN150)),"")=0,"",IFERROR(INDEX($A$9:$X$304,$AS151,COLUMNS($AV$9:BN150)),""))</f>
        <v>0</v>
      </c>
      <c r="BO151" s="3" t="b">
        <f>IF(IFERROR(INDEX($A$9:$X$304,$AS151,COLUMNS($AV$9:BO150)),"")=0,"",IFERROR(INDEX($A$9:$X$304,$AS151,COLUMNS($AV$9:BO150)),""))</f>
        <v>0</v>
      </c>
      <c r="BP151" s="3" t="b">
        <f>IF(IFERROR(INDEX($A$9:$X$304,$AS151,COLUMNS($AV$9:BP150)),"")=0,"",IFERROR(INDEX($A$9:$X$304,$AS151,COLUMNS($AV$9:BP150)),""))</f>
        <v>0</v>
      </c>
      <c r="BQ151" s="3" t="b">
        <f>IF(IFERROR(INDEX($A$9:$X$304,$AS151,COLUMNS($AV$9:BQ150)),"")=0,"",IFERROR(INDEX($A$9:$X$304,$AS151,COLUMNS($AV$9:BQ150)),""))</f>
        <v>0</v>
      </c>
      <c r="BR151" s="3" t="str">
        <f>IF(IFERROR(INDEX($A$9:$X$304,$AS151,COLUMNS($AV$9:BR150)),"")=0,"",IFERROR(INDEX($A$9:$X$304,$AS151,COLUMNS($AV$9:BR150)),""))</f>
        <v>http://www.epiccardgame.com/wp-content/uploads/2015/09/knight_of_the_dawn-215x300.jpg</v>
      </c>
      <c r="BS151" s="3" t="str">
        <f>IF(IFERROR(INDEX($A$9:$X$304,$AS151,COLUMNS($AV$9:BS150)),"")=0,"",IFERROR(INDEX($A$9:$X$304,$AS151,COLUMNS($AV$9:BS150)),""))</f>
        <v/>
      </c>
      <c r="BT151" s="3"/>
      <c r="BU151" s="15"/>
      <c r="BV151" t="s">
        <v>172</v>
      </c>
    </row>
    <row r="152" spans="1:74" ht="225.2" customHeight="1" x14ac:dyDescent="0.25">
      <c r="A152" t="s">
        <v>466</v>
      </c>
      <c r="B152">
        <v>0</v>
      </c>
      <c r="C152" t="s">
        <v>617</v>
      </c>
      <c r="E152" t="s">
        <v>620</v>
      </c>
      <c r="F152">
        <v>6</v>
      </c>
      <c r="G152">
        <v>3</v>
      </c>
      <c r="H152" t="s">
        <v>22</v>
      </c>
      <c r="I152" t="s">
        <v>861</v>
      </c>
      <c r="O152" t="s">
        <v>1097</v>
      </c>
      <c r="P152" t="s">
        <v>1112</v>
      </c>
      <c r="Q152" t="s">
        <v>1154</v>
      </c>
      <c r="R152" t="s">
        <v>1174</v>
      </c>
      <c r="S152" t="b">
        <v>0</v>
      </c>
      <c r="T152" t="b">
        <v>0</v>
      </c>
      <c r="U152" t="b">
        <v>0</v>
      </c>
      <c r="V152" t="b">
        <v>0</v>
      </c>
      <c r="W152" s="2" t="s">
        <v>1327</v>
      </c>
      <c r="X152" s="2"/>
      <c r="Y152" s="24">
        <v>144</v>
      </c>
      <c r="Z152">
        <f t="shared" si="40"/>
        <v>144</v>
      </c>
      <c r="AA152">
        <f t="shared" si="41"/>
        <v>144</v>
      </c>
      <c r="AB152">
        <f t="shared" si="42"/>
        <v>144</v>
      </c>
      <c r="AC152">
        <f t="shared" si="43"/>
        <v>0</v>
      </c>
      <c r="AD152">
        <f t="shared" si="44"/>
        <v>144</v>
      </c>
      <c r="AE152">
        <f t="shared" si="45"/>
        <v>144</v>
      </c>
      <c r="AF152">
        <f t="shared" si="46"/>
        <v>144</v>
      </c>
      <c r="AG152">
        <f t="shared" si="47"/>
        <v>144</v>
      </c>
      <c r="AH152">
        <f t="shared" si="48"/>
        <v>144</v>
      </c>
      <c r="AI152">
        <f t="shared" si="49"/>
        <v>0</v>
      </c>
      <c r="AJ152">
        <f t="shared" si="50"/>
        <v>0</v>
      </c>
      <c r="AK152">
        <f t="shared" si="51"/>
        <v>0</v>
      </c>
      <c r="AL152">
        <f t="shared" si="52"/>
        <v>0</v>
      </c>
      <c r="AM152">
        <f t="shared" si="53"/>
        <v>0</v>
      </c>
      <c r="AN152">
        <f t="shared" si="54"/>
        <v>144</v>
      </c>
      <c r="AO152">
        <f t="shared" si="55"/>
        <v>144</v>
      </c>
      <c r="AP152">
        <f t="shared" si="56"/>
        <v>144</v>
      </c>
      <c r="AQ152">
        <f t="shared" si="57"/>
        <v>144</v>
      </c>
      <c r="AR152" s="6">
        <f t="shared" si="58"/>
        <v>144</v>
      </c>
      <c r="AS152">
        <f t="shared" si="59"/>
        <v>144</v>
      </c>
      <c r="AV152" s="1" t="str">
        <f>IF(IFERROR(INDEX($A$9:$W$304,$AS152,COLUMNS($AV$9:AV151)),"")=0,"",IFERROR(INDEX($A$9:$W$304,$AS152,COLUMNS($AV$9:AV151)),""))</f>
        <v>Knight of the Dawn</v>
      </c>
      <c r="AW152" s="1">
        <f>IFERROR(INDEX($A$9:$W$304,$AS152,COLUMNS($AV$9:AW151)),"")</f>
        <v>0</v>
      </c>
      <c r="AX152" s="1" t="str">
        <f>IF(IFERROR(INDEX($A$9:$X$304,$AS152,COLUMNS($AV$9:AX151)),"")=0,"",IFERROR(INDEX($A$9:$X$304,$AS152,COLUMNS($AV$9:AX151)),""))</f>
        <v>GOOD</v>
      </c>
      <c r="AY152" s="1" t="str">
        <f>IF(IFERROR(INDEX($A$9:$X$304,$AS152,COLUMNS($AV$9:AY151)),"")=0,"",IFERROR(INDEX($A$9:$X$304,$AS152,COLUMNS($AV$9:AY151)),""))</f>
        <v/>
      </c>
      <c r="AZ152" s="1" t="str">
        <f>IF(IFERROR(INDEX($A$9:$X$304,$AS152,COLUMNS($AV$9:AZ151)),"")=0,"",IFERROR(INDEX($A$9:$X$304,$AS152,COLUMNS($AV$9:AZ151)),""))</f>
        <v>CHAMPION</v>
      </c>
      <c r="BA152" s="1">
        <f>IF(IFERROR(INDEX($A$9:$X$304,$AS152,COLUMNS($AV$9:BA151)),"")=0,"",IFERROR(INDEX($A$9:$X$304,$AS152,COLUMNS($AV$9:BA151)),""))</f>
        <v>6</v>
      </c>
      <c r="BB152" s="1">
        <f>IF(IFERROR(INDEX($A$9:$X$304,$AS152,COLUMNS($AV$9:BB151)),"")=0,"",IFERROR(INDEX($A$9:$X$304,$AS152,COLUMNS($AV$9:BB151)),""))</f>
        <v>3</v>
      </c>
      <c r="BC152" s="1" t="str">
        <f>IF(IFERROR(INDEX($A$9:$X$304,$AS152,COLUMNS($AV$9:BC151)),"")=0,"",IFERROR(INDEX($A$9:$X$304,$AS152,COLUMNS($AV$9:BC151)),""))</f>
        <v>Blitz</v>
      </c>
      <c r="BD152" s="1" t="str">
        <f>IF(IFERROR(INDEX($A$9:$X$304,$AS152,COLUMNS($AV$9:BD151)),"")=0,"",IFERROR(INDEX($A$9:$X$304,$AS152,COLUMNS($AV$9:BD151)),""))</f>
        <v>Tribute → You may banish target evil token champion.</v>
      </c>
      <c r="BE152" s="1" t="str">
        <f>IF(IFERROR(INDEX($A$9:$X$304,$AS152,COLUMNS($AV$9:BE151)),"")=0,"",IFERROR(INDEX($A$9:$X$304,$AS152,COLUMNS($AV$9:BE151)),""))</f>
        <v/>
      </c>
      <c r="BF152" s="1" t="str">
        <f>IF(IFERROR(INDEX($A$9:$X$304,$AS152,COLUMNS($AV$9:BF151)),"")=0,"",IFERROR(INDEX($A$9:$X$304,$AS152,COLUMNS($AV$9:BF151)),""))</f>
        <v/>
      </c>
      <c r="BG152" s="1" t="str">
        <f>IF(IFERROR(INDEX($A$9:$X$304,$AS152,COLUMNS($AV$9:BG151)),"")=0,"",IFERROR(INDEX($A$9:$X$304,$AS152,COLUMNS($AV$9:BG151)),""))</f>
        <v/>
      </c>
      <c r="BH152" s="1" t="str">
        <f>IF(IFERROR(INDEX($A$9:$X$304,$AS152,COLUMNS($AV$9:BH151)),"")=0,"",IFERROR(INDEX($A$9:$X$304,$AS152,COLUMNS($AV$9:BH151)),""))</f>
        <v/>
      </c>
      <c r="BI152" s="1" t="str">
        <f>IF(IFERROR(INDEX($A$9:$X$304,$AS152,COLUMNS($AV$9:BI151)),"")=0,"",IFERROR(INDEX($A$9:$X$304,$AS152,COLUMNS($AV$9:BI151)),""))</f>
        <v/>
      </c>
      <c r="BJ152" s="1" t="str">
        <f>IF(IFERROR(INDEX($A$9:$X$304,$AS152,COLUMNS($AV$9:BJ151)),"")=0,"",IFERROR(INDEX($A$9:$X$304,$AS152,COLUMNS($AV$9:BJ151)),""))</f>
        <v>HUMAN KNIGHT</v>
      </c>
      <c r="BK152" s="1" t="str">
        <f>IF(IFERROR(INDEX($A$9:$X$304,$AS152,COLUMNS($AV$9:BK151)),"")=0,"",IFERROR(INDEX($A$9:$X$304,$AS152,COLUMNS($AV$9:BK151)),""))</f>
        <v>Common</v>
      </c>
      <c r="BL152" s="1" t="str">
        <f>IF(IFERROR(INDEX($A$9:$X$304,$AS152,COLUMNS($AV$9:BL151)),"")=0,"",IFERROR(INDEX($A$9:$X$304,$AS152,COLUMNS($AV$9:BL151)),""))</f>
        <v>Monztre</v>
      </c>
      <c r="BM152" s="1" t="str">
        <f>IF(IFERROR(INDEX($A$9:$X$304,$AS152,COLUMNS($AV$9:BM151)),"")=0,"",IFERROR(INDEX($A$9:$X$304,$AS152,COLUMNS($AV$9:BM151)),""))</f>
        <v>Pantheon: Furios vs Maligus</v>
      </c>
      <c r="BN152" s="3" t="b">
        <f>IF(IFERROR(INDEX($A$9:$X$304,$AS152,COLUMNS($AV$9:BN151)),"")=0,"",IFERROR(INDEX($A$9:$X$304,$AS152,COLUMNS($AV$9:BN151)),""))</f>
        <v>0</v>
      </c>
      <c r="BO152" s="3" t="b">
        <f>IF(IFERROR(INDEX($A$9:$X$304,$AS152,COLUMNS($AV$9:BO151)),"")=0,"",IFERROR(INDEX($A$9:$X$304,$AS152,COLUMNS($AV$9:BO151)),""))</f>
        <v>0</v>
      </c>
      <c r="BP152" s="3" t="b">
        <f>IF(IFERROR(INDEX($A$9:$X$304,$AS152,COLUMNS($AV$9:BP151)),"")=0,"",IFERROR(INDEX($A$9:$X$304,$AS152,COLUMNS($AV$9:BP151)),""))</f>
        <v>0</v>
      </c>
      <c r="BQ152" s="3" t="b">
        <f>IF(IFERROR(INDEX($A$9:$X$304,$AS152,COLUMNS($AV$9:BQ151)),"")=0,"",IFERROR(INDEX($A$9:$X$304,$AS152,COLUMNS($AV$9:BQ151)),""))</f>
        <v>0</v>
      </c>
      <c r="BR152" s="3" t="str">
        <f>IF(IFERROR(INDEX($A$9:$X$304,$AS152,COLUMNS($AV$9:BR151)),"")=0,"",IFERROR(INDEX($A$9:$X$304,$AS152,COLUMNS($AV$9:BR151)),""))</f>
        <v>https://www.epiccardgame.com/wp-content/uploads/2017/11/PNF-EN-08-knight-of-the-dawn.jpg</v>
      </c>
      <c r="BS152" s="3" t="str">
        <f>IF(IFERROR(INDEX($A$9:$X$304,$AS152,COLUMNS($AV$9:BS151)),"")=0,"",IFERROR(INDEX($A$9:$X$304,$AS152,COLUMNS($AV$9:BS151)),""))</f>
        <v/>
      </c>
      <c r="BT152" s="3"/>
      <c r="BU152" s="15"/>
      <c r="BV152" t="s">
        <v>173</v>
      </c>
    </row>
    <row r="153" spans="1:74" ht="225.2" customHeight="1" x14ac:dyDescent="0.25">
      <c r="A153" t="s">
        <v>467</v>
      </c>
      <c r="B153">
        <v>1</v>
      </c>
      <c r="C153" t="s">
        <v>615</v>
      </c>
      <c r="E153" t="s">
        <v>620</v>
      </c>
      <c r="F153">
        <v>13</v>
      </c>
      <c r="G153">
        <v>14</v>
      </c>
      <c r="H153" t="s">
        <v>697</v>
      </c>
      <c r="I153" t="s">
        <v>862</v>
      </c>
      <c r="O153" t="s">
        <v>1098</v>
      </c>
      <c r="P153" t="s">
        <v>1113</v>
      </c>
      <c r="Q153" t="s">
        <v>1116</v>
      </c>
      <c r="R153" t="s">
        <v>1171</v>
      </c>
      <c r="S153" t="b">
        <v>1</v>
      </c>
      <c r="T153" t="b">
        <v>0</v>
      </c>
      <c r="U153" t="b">
        <v>0</v>
      </c>
      <c r="V153" t="b">
        <v>0</v>
      </c>
      <c r="W153" s="2" t="s">
        <v>1328</v>
      </c>
      <c r="X153" s="2"/>
      <c r="Y153" s="24">
        <v>145</v>
      </c>
      <c r="Z153">
        <f t="shared" si="40"/>
        <v>145</v>
      </c>
      <c r="AA153">
        <f t="shared" si="41"/>
        <v>145</v>
      </c>
      <c r="AB153">
        <f t="shared" si="42"/>
        <v>145</v>
      </c>
      <c r="AC153">
        <f t="shared" si="43"/>
        <v>0</v>
      </c>
      <c r="AD153">
        <f t="shared" si="44"/>
        <v>145</v>
      </c>
      <c r="AE153">
        <f t="shared" si="45"/>
        <v>145</v>
      </c>
      <c r="AF153">
        <f t="shared" si="46"/>
        <v>145</v>
      </c>
      <c r="AG153">
        <f t="shared" si="47"/>
        <v>145</v>
      </c>
      <c r="AH153">
        <f t="shared" si="48"/>
        <v>145</v>
      </c>
      <c r="AI153">
        <f t="shared" si="49"/>
        <v>0</v>
      </c>
      <c r="AJ153">
        <f t="shared" si="50"/>
        <v>0</v>
      </c>
      <c r="AK153">
        <f t="shared" si="51"/>
        <v>0</v>
      </c>
      <c r="AL153">
        <f t="shared" si="52"/>
        <v>0</v>
      </c>
      <c r="AM153">
        <f t="shared" si="53"/>
        <v>0</v>
      </c>
      <c r="AN153">
        <f t="shared" si="54"/>
        <v>145</v>
      </c>
      <c r="AO153">
        <f t="shared" si="55"/>
        <v>145</v>
      </c>
      <c r="AP153">
        <f t="shared" si="56"/>
        <v>145</v>
      </c>
      <c r="AQ153">
        <f t="shared" si="57"/>
        <v>145</v>
      </c>
      <c r="AR153" s="6">
        <f t="shared" si="58"/>
        <v>145</v>
      </c>
      <c r="AS153">
        <f t="shared" si="59"/>
        <v>145</v>
      </c>
      <c r="AV153" s="1" t="str">
        <f>IF(IFERROR(INDEX($A$9:$W$304,$AS153,COLUMNS($AV$9:AV152)),"")=0,"",IFERROR(INDEX($A$9:$W$304,$AS153,COLUMNS($AV$9:AV152)),""))</f>
        <v>Kong</v>
      </c>
      <c r="AW153" s="1">
        <f>IFERROR(INDEX($A$9:$W$304,$AS153,COLUMNS($AV$9:AW152)),"")</f>
        <v>1</v>
      </c>
      <c r="AX153" s="1" t="str">
        <f>IF(IFERROR(INDEX($A$9:$X$304,$AS153,COLUMNS($AV$9:AX152)),"")=0,"",IFERROR(INDEX($A$9:$X$304,$AS153,COLUMNS($AV$9:AX152)),""))</f>
        <v>WILD</v>
      </c>
      <c r="AY153" s="1" t="str">
        <f>IF(IFERROR(INDEX($A$9:$X$304,$AS153,COLUMNS($AV$9:AY152)),"")=0,"",IFERROR(INDEX($A$9:$X$304,$AS153,COLUMNS($AV$9:AY152)),""))</f>
        <v/>
      </c>
      <c r="AZ153" s="1" t="str">
        <f>IF(IFERROR(INDEX($A$9:$X$304,$AS153,COLUMNS($AV$9:AZ152)),"")=0,"",IFERROR(INDEX($A$9:$X$304,$AS153,COLUMNS($AV$9:AZ152)),""))</f>
        <v>CHAMPION</v>
      </c>
      <c r="BA153" s="1">
        <f>IF(IFERROR(INDEX($A$9:$X$304,$AS153,COLUMNS($AV$9:BA152)),"")=0,"",IFERROR(INDEX($A$9:$X$304,$AS153,COLUMNS($AV$9:BA152)),""))</f>
        <v>13</v>
      </c>
      <c r="BB153" s="1">
        <f>IF(IFERROR(INDEX($A$9:$X$304,$AS153,COLUMNS($AV$9:BB152)),"")=0,"",IFERROR(INDEX($A$9:$X$304,$AS153,COLUMNS($AV$9:BB152)),""))</f>
        <v>14</v>
      </c>
      <c r="BC153" s="1" t="str">
        <f>IF(IFERROR(INDEX($A$9:$X$304,$AS153,COLUMNS($AV$9:BC152)),"")=0,"",IFERROR(INDEX($A$9:$X$304,$AS153,COLUMNS($AV$9:BC152)),""))</f>
        <v>Tribute → Deal 13 damage to target champion.</v>
      </c>
      <c r="BD153" s="1" t="str">
        <f>IF(IFERROR(INDEX($A$9:$X$304,$AS153,COLUMNS($AV$9:BD152)),"")=0,"",IFERROR(INDEX($A$9:$X$304,$AS153,COLUMNS($AV$9:BD152)),""))</f>
        <v>(Tribute means when this card comes into play, you gain the effect.)</v>
      </c>
      <c r="BE153" s="1" t="str">
        <f>IF(IFERROR(INDEX($A$9:$X$304,$AS153,COLUMNS($AV$9:BE152)),"")=0,"",IFERROR(INDEX($A$9:$X$304,$AS153,COLUMNS($AV$9:BE152)),""))</f>
        <v/>
      </c>
      <c r="BF153" s="1" t="str">
        <f>IF(IFERROR(INDEX($A$9:$X$304,$AS153,COLUMNS($AV$9:BF152)),"")=0,"",IFERROR(INDEX($A$9:$X$304,$AS153,COLUMNS($AV$9:BF152)),""))</f>
        <v/>
      </c>
      <c r="BG153" s="1" t="str">
        <f>IF(IFERROR(INDEX($A$9:$X$304,$AS153,COLUMNS($AV$9:BG152)),"")=0,"",IFERROR(INDEX($A$9:$X$304,$AS153,COLUMNS($AV$9:BG152)),""))</f>
        <v/>
      </c>
      <c r="BH153" s="1" t="str">
        <f>IF(IFERROR(INDEX($A$9:$X$304,$AS153,COLUMNS($AV$9:BH152)),"")=0,"",IFERROR(INDEX($A$9:$X$304,$AS153,COLUMNS($AV$9:BH152)),""))</f>
        <v/>
      </c>
      <c r="BI153" s="1" t="str">
        <f>IF(IFERROR(INDEX($A$9:$X$304,$AS153,COLUMNS($AV$9:BI152)),"")=0,"",IFERROR(INDEX($A$9:$X$304,$AS153,COLUMNS($AV$9:BI152)),""))</f>
        <v/>
      </c>
      <c r="BJ153" s="1" t="str">
        <f>IF(IFERROR(INDEX($A$9:$X$304,$AS153,COLUMNS($AV$9:BJ152)),"")=0,"",IFERROR(INDEX($A$9:$X$304,$AS153,COLUMNS($AV$9:BJ152)),""))</f>
        <v>GIANT APE</v>
      </c>
      <c r="BK153" s="1" t="str">
        <f>IF(IFERROR(INDEX($A$9:$X$304,$AS153,COLUMNS($AV$9:BK152)),"")=0,"",IFERROR(INDEX($A$9:$X$304,$AS153,COLUMNS($AV$9:BK152)),""))</f>
        <v>Rare</v>
      </c>
      <c r="BL153" s="1" t="str">
        <f>IF(IFERROR(INDEX($A$9:$X$304,$AS153,COLUMNS($AV$9:BL152)),"")=0,"",IFERROR(INDEX($A$9:$X$304,$AS153,COLUMNS($AV$9:BL152)),""))</f>
        <v>Apsara</v>
      </c>
      <c r="BM153" s="1" t="str">
        <f>IF(IFERROR(INDEX($A$9:$X$304,$AS153,COLUMNS($AV$9:BM152)),"")=0,"",IFERROR(INDEX($A$9:$X$304,$AS153,COLUMNS($AV$9:BM152)),""))</f>
        <v>Base Set</v>
      </c>
      <c r="BN153" s="3" t="b">
        <f>IF(IFERROR(INDEX($A$9:$X$304,$AS153,COLUMNS($AV$9:BN152)),"")=0,"",IFERROR(INDEX($A$9:$X$304,$AS153,COLUMNS($AV$9:BN152)),""))</f>
        <v>1</v>
      </c>
      <c r="BO153" s="3" t="b">
        <f>IF(IFERROR(INDEX($A$9:$X$304,$AS153,COLUMNS($AV$9:BO152)),"")=0,"",IFERROR(INDEX($A$9:$X$304,$AS153,COLUMNS($AV$9:BO152)),""))</f>
        <v>0</v>
      </c>
      <c r="BP153" s="3" t="b">
        <f>IF(IFERROR(INDEX($A$9:$X$304,$AS153,COLUMNS($AV$9:BP152)),"")=0,"",IFERROR(INDEX($A$9:$X$304,$AS153,COLUMNS($AV$9:BP152)),""))</f>
        <v>0</v>
      </c>
      <c r="BQ153" s="3" t="b">
        <f>IF(IFERROR(INDEX($A$9:$X$304,$AS153,COLUMNS($AV$9:BQ152)),"")=0,"",IFERROR(INDEX($A$9:$X$304,$AS153,COLUMNS($AV$9:BQ152)),""))</f>
        <v>0</v>
      </c>
      <c r="BR153" s="3" t="str">
        <f>IF(IFERROR(INDEX($A$9:$X$304,$AS153,COLUMNS($AV$9:BR152)),"")=0,"",IFERROR(INDEX($A$9:$X$304,$AS153,COLUMNS($AV$9:BR152)),""))</f>
        <v>http://www.epiccardgame.com/wp-content/uploads/2015/09/kong-215x300.jpg</v>
      </c>
      <c r="BS153" s="3" t="str">
        <f>IF(IFERROR(INDEX($A$9:$X$304,$AS153,COLUMNS($AV$9:BS152)),"")=0,"",IFERROR(INDEX($A$9:$X$304,$AS153,COLUMNS($AV$9:BS152)),""))</f>
        <v/>
      </c>
      <c r="BT153" s="3"/>
      <c r="BU153" s="15"/>
      <c r="BV153" t="s">
        <v>174</v>
      </c>
    </row>
    <row r="154" spans="1:74" ht="225.2" customHeight="1" x14ac:dyDescent="0.25">
      <c r="A154" t="s">
        <v>468</v>
      </c>
      <c r="B154">
        <v>1</v>
      </c>
      <c r="C154" t="s">
        <v>618</v>
      </c>
      <c r="E154" t="s">
        <v>620</v>
      </c>
      <c r="F154">
        <v>8</v>
      </c>
      <c r="G154">
        <v>8</v>
      </c>
      <c r="H154" t="s">
        <v>698</v>
      </c>
      <c r="I154" t="s">
        <v>863</v>
      </c>
      <c r="O154" t="s">
        <v>1074</v>
      </c>
      <c r="P154" t="s">
        <v>1112</v>
      </c>
      <c r="Q154" t="s">
        <v>1140</v>
      </c>
      <c r="R154" t="s">
        <v>1174</v>
      </c>
      <c r="S154" t="b">
        <v>1</v>
      </c>
      <c r="T154" t="b">
        <v>0</v>
      </c>
      <c r="U154" t="b">
        <v>0</v>
      </c>
      <c r="V154" t="b">
        <v>0</v>
      </c>
      <c r="W154" s="2" t="s">
        <v>1329</v>
      </c>
      <c r="X154" s="2"/>
      <c r="Y154" s="24">
        <v>146</v>
      </c>
      <c r="Z154">
        <f t="shared" si="40"/>
        <v>146</v>
      </c>
      <c r="AA154">
        <f t="shared" si="41"/>
        <v>146</v>
      </c>
      <c r="AB154">
        <f t="shared" si="42"/>
        <v>146</v>
      </c>
      <c r="AC154">
        <f t="shared" si="43"/>
        <v>0</v>
      </c>
      <c r="AD154">
        <f t="shared" si="44"/>
        <v>146</v>
      </c>
      <c r="AE154">
        <f t="shared" si="45"/>
        <v>146</v>
      </c>
      <c r="AF154">
        <f t="shared" si="46"/>
        <v>146</v>
      </c>
      <c r="AG154">
        <f t="shared" si="47"/>
        <v>146</v>
      </c>
      <c r="AH154">
        <f t="shared" si="48"/>
        <v>146</v>
      </c>
      <c r="AI154">
        <f t="shared" si="49"/>
        <v>0</v>
      </c>
      <c r="AJ154">
        <f t="shared" si="50"/>
        <v>0</v>
      </c>
      <c r="AK154">
        <f t="shared" si="51"/>
        <v>0</v>
      </c>
      <c r="AL154">
        <f t="shared" si="52"/>
        <v>0</v>
      </c>
      <c r="AM154">
        <f t="shared" si="53"/>
        <v>0</v>
      </c>
      <c r="AN154">
        <f t="shared" si="54"/>
        <v>146</v>
      </c>
      <c r="AO154">
        <f t="shared" si="55"/>
        <v>146</v>
      </c>
      <c r="AP154">
        <f t="shared" si="56"/>
        <v>146</v>
      </c>
      <c r="AQ154">
        <f t="shared" si="57"/>
        <v>146</v>
      </c>
      <c r="AR154" s="6">
        <f t="shared" si="58"/>
        <v>146</v>
      </c>
      <c r="AS154">
        <f t="shared" si="59"/>
        <v>146</v>
      </c>
      <c r="AV154" s="1" t="str">
        <f>IF(IFERROR(INDEX($A$9:$W$304,$AS154,COLUMNS($AV$9:AV153)),"")=0,"",IFERROR(INDEX($A$9:$W$304,$AS154,COLUMNS($AV$9:AV153)),""))</f>
        <v>Krieg, Dark One's Chosen</v>
      </c>
      <c r="AW154" s="1">
        <f>IFERROR(INDEX($A$9:$W$304,$AS154,COLUMNS($AV$9:AW153)),"")</f>
        <v>1</v>
      </c>
      <c r="AX154" s="1" t="str">
        <f>IF(IFERROR(INDEX($A$9:$X$304,$AS154,COLUMNS($AV$9:AX153)),"")=0,"",IFERROR(INDEX($A$9:$X$304,$AS154,COLUMNS($AV$9:AX153)),""))</f>
        <v>EVIL</v>
      </c>
      <c r="AY154" s="1" t="str">
        <f>IF(IFERROR(INDEX($A$9:$X$304,$AS154,COLUMNS($AV$9:AY153)),"")=0,"",IFERROR(INDEX($A$9:$X$304,$AS154,COLUMNS($AV$9:AY153)),""))</f>
        <v/>
      </c>
      <c r="AZ154" s="1" t="str">
        <f>IF(IFERROR(INDEX($A$9:$X$304,$AS154,COLUMNS($AV$9:AZ153)),"")=0,"",IFERROR(INDEX($A$9:$X$304,$AS154,COLUMNS($AV$9:AZ153)),""))</f>
        <v>CHAMPION</v>
      </c>
      <c r="BA154" s="1">
        <f>IF(IFERROR(INDEX($A$9:$X$304,$AS154,COLUMNS($AV$9:BA153)),"")=0,"",IFERROR(INDEX($A$9:$X$304,$AS154,COLUMNS($AV$9:BA153)),""))</f>
        <v>8</v>
      </c>
      <c r="BB154" s="1">
        <f>IF(IFERROR(INDEX($A$9:$X$304,$AS154,COLUMNS($AV$9:BB153)),"")=0,"",IFERROR(INDEX($A$9:$X$304,$AS154,COLUMNS($AV$9:BB153)),""))</f>
        <v>8</v>
      </c>
      <c r="BC154" s="1" t="str">
        <f>IF(IFERROR(INDEX($A$9:$X$304,$AS154,COLUMNS($AV$9:BC153)),"")=0,"",IFERROR(INDEX($A$9:$X$304,$AS154,COLUMNS($AV$9:BC153)),""))</f>
        <v>Tribute → Put two zombie tokens into play.</v>
      </c>
      <c r="BD154" s="1" t="str">
        <f>IF(IFERROR(INDEX($A$9:$X$304,$AS154,COLUMNS($AV$9:BD153)),"")=0,"",IFERROR(INDEX($A$9:$X$304,$AS154,COLUMNS($AV$9:BD153)),""))</f>
        <v>{evil} → Put a zombie token into play. Your zombie tokens gain blitz, +1 {offense} and +1 {defense} this turn.</v>
      </c>
      <c r="BE154" s="1" t="str">
        <f>IF(IFERROR(INDEX($A$9:$X$304,$AS154,COLUMNS($AV$9:BE153)),"")=0,"",IFERROR(INDEX($A$9:$X$304,$AS154,COLUMNS($AV$9:BE153)),""))</f>
        <v/>
      </c>
      <c r="BF154" s="1" t="str">
        <f>IF(IFERROR(INDEX($A$9:$X$304,$AS154,COLUMNS($AV$9:BF153)),"")=0,"",IFERROR(INDEX($A$9:$X$304,$AS154,COLUMNS($AV$9:BF153)),""))</f>
        <v/>
      </c>
      <c r="BG154" s="1" t="str">
        <f>IF(IFERROR(INDEX($A$9:$X$304,$AS154,COLUMNS($AV$9:BG153)),"")=0,"",IFERROR(INDEX($A$9:$X$304,$AS154,COLUMNS($AV$9:BG153)),""))</f>
        <v/>
      </c>
      <c r="BH154" s="1" t="str">
        <f>IF(IFERROR(INDEX($A$9:$X$304,$AS154,COLUMNS($AV$9:BH153)),"")=0,"",IFERROR(INDEX($A$9:$X$304,$AS154,COLUMNS($AV$9:BH153)),""))</f>
        <v/>
      </c>
      <c r="BI154" s="1" t="str">
        <f>IF(IFERROR(INDEX($A$9:$X$304,$AS154,COLUMNS($AV$9:BI153)),"")=0,"",IFERROR(INDEX($A$9:$X$304,$AS154,COLUMNS($AV$9:BI153)),""))</f>
        <v/>
      </c>
      <c r="BJ154" s="1" t="str">
        <f>IF(IFERROR(INDEX($A$9:$X$304,$AS154,COLUMNS($AV$9:BJ153)),"")=0,"",IFERROR(INDEX($A$9:$X$304,$AS154,COLUMNS($AV$9:BJ153)),""))</f>
        <v>HUMAN MAGE</v>
      </c>
      <c r="BK154" s="1" t="str">
        <f>IF(IFERROR(INDEX($A$9:$X$304,$AS154,COLUMNS($AV$9:BK153)),"")=0,"",IFERROR(INDEX($A$9:$X$304,$AS154,COLUMNS($AV$9:BK153)),""))</f>
        <v>Common</v>
      </c>
      <c r="BL154" s="1" t="str">
        <f>IF(IFERROR(INDEX($A$9:$X$304,$AS154,COLUMNS($AV$9:BL153)),"")=0,"",IFERROR(INDEX($A$9:$X$304,$AS154,COLUMNS($AV$9:BL153)),""))</f>
        <v>Ksenia Kozhevnikova</v>
      </c>
      <c r="BM154" s="1" t="str">
        <f>IF(IFERROR(INDEX($A$9:$X$304,$AS154,COLUMNS($AV$9:BM153)),"")=0,"",IFERROR(INDEX($A$9:$X$304,$AS154,COLUMNS($AV$9:BM153)),""))</f>
        <v>Pantheon: Furios vs Maligus</v>
      </c>
      <c r="BN154" s="3" t="b">
        <f>IF(IFERROR(INDEX($A$9:$X$304,$AS154,COLUMNS($AV$9:BN153)),"")=0,"",IFERROR(INDEX($A$9:$X$304,$AS154,COLUMNS($AV$9:BN153)),""))</f>
        <v>1</v>
      </c>
      <c r="BO154" s="3" t="b">
        <f>IF(IFERROR(INDEX($A$9:$X$304,$AS154,COLUMNS($AV$9:BO153)),"")=0,"",IFERROR(INDEX($A$9:$X$304,$AS154,COLUMNS($AV$9:BO153)),""))</f>
        <v>0</v>
      </c>
      <c r="BP154" s="3" t="b">
        <f>IF(IFERROR(INDEX($A$9:$X$304,$AS154,COLUMNS($AV$9:BP153)),"")=0,"",IFERROR(INDEX($A$9:$X$304,$AS154,COLUMNS($AV$9:BP153)),""))</f>
        <v>0</v>
      </c>
      <c r="BQ154" s="3" t="b">
        <f>IF(IFERROR(INDEX($A$9:$X$304,$AS154,COLUMNS($AV$9:BQ153)),"")=0,"",IFERROR(INDEX($A$9:$X$304,$AS154,COLUMNS($AV$9:BQ153)),""))</f>
        <v>0</v>
      </c>
      <c r="BR154" s="3" t="str">
        <f>IF(IFERROR(INDEX($A$9:$X$304,$AS154,COLUMNS($AV$9:BR153)),"")=0,"",IFERROR(INDEX($A$9:$X$304,$AS154,COLUMNS($AV$9:BR153)),""))</f>
        <v>https://www.epiccardgame.com/wp-content/uploads/2017/11/PNF-EN-15-krieg-dark-one-s-chosen.jpg</v>
      </c>
      <c r="BS154" s="3" t="str">
        <f>IF(IFERROR(INDEX($A$9:$X$304,$AS154,COLUMNS($AV$9:BS153)),"")=0,"",IFERROR(INDEX($A$9:$X$304,$AS154,COLUMNS($AV$9:BS153)),""))</f>
        <v/>
      </c>
      <c r="BT154" s="3"/>
      <c r="BU154" s="15"/>
      <c r="BV154" t="s">
        <v>175</v>
      </c>
    </row>
    <row r="155" spans="1:74" ht="225.2" customHeight="1" x14ac:dyDescent="0.25">
      <c r="A155" t="s">
        <v>469</v>
      </c>
      <c r="B155">
        <v>0</v>
      </c>
      <c r="C155" t="s">
        <v>615</v>
      </c>
      <c r="E155" t="s">
        <v>619</v>
      </c>
      <c r="H155" t="s">
        <v>699</v>
      </c>
      <c r="L155" t="s">
        <v>1044</v>
      </c>
      <c r="O155" t="s">
        <v>1062</v>
      </c>
      <c r="P155" t="s">
        <v>1112</v>
      </c>
      <c r="Q155" t="s">
        <v>1155</v>
      </c>
      <c r="R155" t="s">
        <v>1171</v>
      </c>
      <c r="S155" t="b">
        <v>1</v>
      </c>
      <c r="T155" t="b">
        <v>0</v>
      </c>
      <c r="U155" t="b">
        <v>0</v>
      </c>
      <c r="V155" t="b">
        <v>0</v>
      </c>
      <c r="W155" s="2" t="s">
        <v>1330</v>
      </c>
      <c r="X155" s="2"/>
      <c r="Y155" s="24">
        <v>147</v>
      </c>
      <c r="Z155">
        <f t="shared" si="40"/>
        <v>147</v>
      </c>
      <c r="AA155">
        <f t="shared" si="41"/>
        <v>147</v>
      </c>
      <c r="AB155">
        <f t="shared" si="42"/>
        <v>147</v>
      </c>
      <c r="AC155">
        <f t="shared" si="43"/>
        <v>0</v>
      </c>
      <c r="AD155">
        <f t="shared" si="44"/>
        <v>147</v>
      </c>
      <c r="AE155">
        <f t="shared" si="45"/>
        <v>0</v>
      </c>
      <c r="AF155">
        <f t="shared" si="46"/>
        <v>0</v>
      </c>
      <c r="AG155">
        <f t="shared" si="47"/>
        <v>147</v>
      </c>
      <c r="AH155">
        <f t="shared" si="48"/>
        <v>0</v>
      </c>
      <c r="AI155">
        <f t="shared" si="49"/>
        <v>0</v>
      </c>
      <c r="AJ155">
        <f t="shared" si="50"/>
        <v>0</v>
      </c>
      <c r="AK155">
        <f t="shared" si="51"/>
        <v>147</v>
      </c>
      <c r="AL155">
        <f t="shared" si="52"/>
        <v>0</v>
      </c>
      <c r="AM155">
        <f t="shared" si="53"/>
        <v>0</v>
      </c>
      <c r="AN155">
        <f t="shared" si="54"/>
        <v>147</v>
      </c>
      <c r="AO155">
        <f t="shared" si="55"/>
        <v>147</v>
      </c>
      <c r="AP155">
        <f t="shared" si="56"/>
        <v>147</v>
      </c>
      <c r="AQ155">
        <f t="shared" si="57"/>
        <v>147</v>
      </c>
      <c r="AR155" s="6">
        <f t="shared" si="58"/>
        <v>147</v>
      </c>
      <c r="AS155">
        <f t="shared" si="59"/>
        <v>147</v>
      </c>
      <c r="AV155" s="1" t="str">
        <f>IF(IFERROR(INDEX($A$9:$W$304,$AS155,COLUMNS($AV$9:AV154)),"")=0,"",IFERROR(INDEX($A$9:$W$304,$AS155,COLUMNS($AV$9:AV154)),""))</f>
        <v>Lash</v>
      </c>
      <c r="AW155" s="1">
        <f>IFERROR(INDEX($A$9:$W$304,$AS155,COLUMNS($AV$9:AW154)),"")</f>
        <v>0</v>
      </c>
      <c r="AX155" s="1" t="str">
        <f>IF(IFERROR(INDEX($A$9:$X$304,$AS155,COLUMNS($AV$9:AX154)),"")=0,"",IFERROR(INDEX($A$9:$X$304,$AS155,COLUMNS($AV$9:AX154)),""))</f>
        <v>WILD</v>
      </c>
      <c r="AY155" s="1" t="str">
        <f>IF(IFERROR(INDEX($A$9:$X$304,$AS155,COLUMNS($AV$9:AY154)),"")=0,"",IFERROR(INDEX($A$9:$X$304,$AS155,COLUMNS($AV$9:AY154)),""))</f>
        <v/>
      </c>
      <c r="AZ155" s="1" t="str">
        <f>IF(IFERROR(INDEX($A$9:$X$304,$AS155,COLUMNS($AV$9:AZ154)),"")=0,"",IFERROR(INDEX($A$9:$X$304,$AS155,COLUMNS($AV$9:AZ154)),""))</f>
        <v>EVENT</v>
      </c>
      <c r="BA155" s="1" t="str">
        <f>IF(IFERROR(INDEX($A$9:$X$304,$AS155,COLUMNS($AV$9:BA154)),"")=0,"",IFERROR(INDEX($A$9:$X$304,$AS155,COLUMNS($AV$9:BA154)),""))</f>
        <v/>
      </c>
      <c r="BB155" s="1" t="str">
        <f>IF(IFERROR(INDEX($A$9:$X$304,$AS155,COLUMNS($AV$9:BB154)),"")=0,"",IFERROR(INDEX($A$9:$X$304,$AS155,COLUMNS($AV$9:BB154)),""))</f>
        <v/>
      </c>
      <c r="BC155" s="1" t="str">
        <f>IF(IFERROR(INDEX($A$9:$X$304,$AS155,COLUMNS($AV$9:BC154)),"")=0,"",IFERROR(INDEX($A$9:$X$304,$AS155,COLUMNS($AV$9:BC154)),""))</f>
        <v>Deal 1 damage to target champion. It gains breakthrough and +4 {offense} this turn.</v>
      </c>
      <c r="BD155" s="1" t="str">
        <f>IF(IFERROR(INDEX($A$9:$X$304,$AS155,COLUMNS($AV$9:BD154)),"")=0,"",IFERROR(INDEX($A$9:$X$304,$AS155,COLUMNS($AV$9:BD154)),""))</f>
        <v/>
      </c>
      <c r="BE155" s="1" t="str">
        <f>IF(IFERROR(INDEX($A$9:$X$304,$AS155,COLUMNS($AV$9:BE154)),"")=0,"",IFERROR(INDEX($A$9:$X$304,$AS155,COLUMNS($AV$9:BE154)),""))</f>
        <v/>
      </c>
      <c r="BF155" s="1" t="str">
        <f>IF(IFERROR(INDEX($A$9:$X$304,$AS155,COLUMNS($AV$9:BF154)),"")=0,"",IFERROR(INDEX($A$9:$X$304,$AS155,COLUMNS($AV$9:BF154)),""))</f>
        <v/>
      </c>
      <c r="BG155" s="1" t="str">
        <f>IF(IFERROR(INDEX($A$9:$X$304,$AS155,COLUMNS($AV$9:BG154)),"")=0,"",IFERROR(INDEX($A$9:$X$304,$AS155,COLUMNS($AV$9:BG154)),""))</f>
        <v>{1}: Recall</v>
      </c>
      <c r="BH155" s="1" t="str">
        <f>IF(IFERROR(INDEX($A$9:$X$304,$AS155,COLUMNS($AV$9:BH154)),"")=0,"",IFERROR(INDEX($A$9:$X$304,$AS155,COLUMNS($AV$9:BH154)),""))</f>
        <v/>
      </c>
      <c r="BI155" s="1" t="str">
        <f>IF(IFERROR(INDEX($A$9:$X$304,$AS155,COLUMNS($AV$9:BI154)),"")=0,"",IFERROR(INDEX($A$9:$X$304,$AS155,COLUMNS($AV$9:BI154)),""))</f>
        <v/>
      </c>
      <c r="BJ155" s="1" t="str">
        <f>IF(IFERROR(INDEX($A$9:$X$304,$AS155,COLUMNS($AV$9:BJ154)),"")=0,"",IFERROR(INDEX($A$9:$X$304,$AS155,COLUMNS($AV$9:BJ154)),""))</f>
        <v>None</v>
      </c>
      <c r="BK155" s="1" t="str">
        <f>IF(IFERROR(INDEX($A$9:$X$304,$AS155,COLUMNS($AV$9:BK154)),"")=0,"",IFERROR(INDEX($A$9:$X$304,$AS155,COLUMNS($AV$9:BK154)),""))</f>
        <v>Common</v>
      </c>
      <c r="BL155" s="1" t="str">
        <f>IF(IFERROR(INDEX($A$9:$X$304,$AS155,COLUMNS($AV$9:BL154)),"")=0,"",IFERROR(INDEX($A$9:$X$304,$AS155,COLUMNS($AV$9:BL154)),""))</f>
        <v>Daniel Warren</v>
      </c>
      <c r="BM155" s="1" t="str">
        <f>IF(IFERROR(INDEX($A$9:$X$304,$AS155,COLUMNS($AV$9:BM154)),"")=0,"",IFERROR(INDEX($A$9:$X$304,$AS155,COLUMNS($AV$9:BM154)),""))</f>
        <v>Base Set</v>
      </c>
      <c r="BN155" s="3" t="b">
        <f>IF(IFERROR(INDEX($A$9:$X$304,$AS155,COLUMNS($AV$9:BN154)),"")=0,"",IFERROR(INDEX($A$9:$X$304,$AS155,COLUMNS($AV$9:BN154)),""))</f>
        <v>1</v>
      </c>
      <c r="BO155" s="3" t="b">
        <f>IF(IFERROR(INDEX($A$9:$X$304,$AS155,COLUMNS($AV$9:BO154)),"")=0,"",IFERROR(INDEX($A$9:$X$304,$AS155,COLUMNS($AV$9:BO154)),""))</f>
        <v>0</v>
      </c>
      <c r="BP155" s="3" t="b">
        <f>IF(IFERROR(INDEX($A$9:$X$304,$AS155,COLUMNS($AV$9:BP154)),"")=0,"",IFERROR(INDEX($A$9:$X$304,$AS155,COLUMNS($AV$9:BP154)),""))</f>
        <v>0</v>
      </c>
      <c r="BQ155" s="3" t="b">
        <f>IF(IFERROR(INDEX($A$9:$X$304,$AS155,COLUMNS($AV$9:BQ154)),"")=0,"",IFERROR(INDEX($A$9:$X$304,$AS155,COLUMNS($AV$9:BQ154)),""))</f>
        <v>0</v>
      </c>
      <c r="BR155" s="3" t="str">
        <f>IF(IFERROR(INDEX($A$9:$X$304,$AS155,COLUMNS($AV$9:BR154)),"")=0,"",IFERROR(INDEX($A$9:$X$304,$AS155,COLUMNS($AV$9:BR154)),""))</f>
        <v>http://www.epiccardgame.com/wp-content/uploads/2015/09/lash-215x300.jpg</v>
      </c>
      <c r="BS155" s="3" t="str">
        <f>IF(IFERROR(INDEX($A$9:$X$304,$AS155,COLUMNS($AV$9:BS154)),"")=0,"",IFERROR(INDEX($A$9:$X$304,$AS155,COLUMNS($AV$9:BS154)),""))</f>
        <v/>
      </c>
      <c r="BT155" s="3"/>
      <c r="BU155" s="15"/>
      <c r="BV155" t="s">
        <v>176</v>
      </c>
    </row>
    <row r="156" spans="1:74" ht="225.2" customHeight="1" x14ac:dyDescent="0.25">
      <c r="A156" t="s">
        <v>470</v>
      </c>
      <c r="B156">
        <v>1</v>
      </c>
      <c r="C156" t="s">
        <v>615</v>
      </c>
      <c r="E156" t="s">
        <v>619</v>
      </c>
      <c r="H156" t="s">
        <v>627</v>
      </c>
      <c r="I156" t="s">
        <v>864</v>
      </c>
      <c r="O156" t="s">
        <v>1062</v>
      </c>
      <c r="P156" t="s">
        <v>1112</v>
      </c>
      <c r="Q156" t="s">
        <v>1150</v>
      </c>
      <c r="R156" t="s">
        <v>1179</v>
      </c>
      <c r="S156" t="b">
        <v>1</v>
      </c>
      <c r="T156" t="b">
        <v>1</v>
      </c>
      <c r="U156" t="b">
        <v>0</v>
      </c>
      <c r="V156" t="b">
        <v>0</v>
      </c>
      <c r="W156" s="2" t="s">
        <v>1331</v>
      </c>
      <c r="X156" s="2"/>
      <c r="Y156" s="24">
        <v>148</v>
      </c>
      <c r="Z156">
        <f t="shared" si="40"/>
        <v>148</v>
      </c>
      <c r="AA156">
        <f t="shared" si="41"/>
        <v>148</v>
      </c>
      <c r="AB156">
        <f t="shared" si="42"/>
        <v>148</v>
      </c>
      <c r="AC156">
        <f t="shared" si="43"/>
        <v>0</v>
      </c>
      <c r="AD156">
        <f t="shared" si="44"/>
        <v>148</v>
      </c>
      <c r="AE156">
        <f t="shared" si="45"/>
        <v>0</v>
      </c>
      <c r="AF156">
        <f t="shared" si="46"/>
        <v>0</v>
      </c>
      <c r="AG156">
        <f t="shared" si="47"/>
        <v>148</v>
      </c>
      <c r="AH156">
        <f t="shared" si="48"/>
        <v>148</v>
      </c>
      <c r="AI156">
        <f t="shared" si="49"/>
        <v>0</v>
      </c>
      <c r="AJ156">
        <f t="shared" si="50"/>
        <v>0</v>
      </c>
      <c r="AK156">
        <f t="shared" si="51"/>
        <v>0</v>
      </c>
      <c r="AL156">
        <f t="shared" si="52"/>
        <v>0</v>
      </c>
      <c r="AM156">
        <f t="shared" si="53"/>
        <v>0</v>
      </c>
      <c r="AN156">
        <f t="shared" si="54"/>
        <v>148</v>
      </c>
      <c r="AO156">
        <f t="shared" si="55"/>
        <v>148</v>
      </c>
      <c r="AP156">
        <f t="shared" si="56"/>
        <v>148</v>
      </c>
      <c r="AQ156">
        <f t="shared" si="57"/>
        <v>148</v>
      </c>
      <c r="AR156" s="6">
        <f t="shared" si="58"/>
        <v>148</v>
      </c>
      <c r="AS156">
        <f t="shared" si="59"/>
        <v>148</v>
      </c>
      <c r="AV156" s="1" t="str">
        <f>IF(IFERROR(INDEX($A$9:$W$304,$AS156,COLUMNS($AV$9:AV155)),"")=0,"",IFERROR(INDEX($A$9:$W$304,$AS156,COLUMNS($AV$9:AV155)),""))</f>
        <v>Lashnok's Will</v>
      </c>
      <c r="AW156" s="1">
        <f>IFERROR(INDEX($A$9:$W$304,$AS156,COLUMNS($AV$9:AW155)),"")</f>
        <v>1</v>
      </c>
      <c r="AX156" s="1" t="str">
        <f>IF(IFERROR(INDEX($A$9:$X$304,$AS156,COLUMNS($AV$9:AX155)),"")=0,"",IFERROR(INDEX($A$9:$X$304,$AS156,COLUMNS($AV$9:AX155)),""))</f>
        <v>WILD</v>
      </c>
      <c r="AY156" s="1" t="str">
        <f>IF(IFERROR(INDEX($A$9:$X$304,$AS156,COLUMNS($AV$9:AY155)),"")=0,"",IFERROR(INDEX($A$9:$X$304,$AS156,COLUMNS($AV$9:AY155)),""))</f>
        <v/>
      </c>
      <c r="AZ156" s="1" t="str">
        <f>IF(IFERROR(INDEX($A$9:$X$304,$AS156,COLUMNS($AV$9:AZ155)),"")=0,"",IFERROR(INDEX($A$9:$X$304,$AS156,COLUMNS($AV$9:AZ155)),""))</f>
        <v>EVENT</v>
      </c>
      <c r="BA156" s="1" t="str">
        <f>IF(IFERROR(INDEX($A$9:$X$304,$AS156,COLUMNS($AV$9:BA155)),"")=0,"",IFERROR(INDEX($A$9:$X$304,$AS156,COLUMNS($AV$9:BA155)),""))</f>
        <v/>
      </c>
      <c r="BB156" s="1" t="str">
        <f>IF(IFERROR(INDEX($A$9:$X$304,$AS156,COLUMNS($AV$9:BB155)),"")=0,"",IFERROR(INDEX($A$9:$X$304,$AS156,COLUMNS($AV$9:BB155)),""))</f>
        <v/>
      </c>
      <c r="BC156" s="1" t="str">
        <f>IF(IFERROR(INDEX($A$9:$X$304,$AS156,COLUMNS($AV$9:BC155)),"")=0,"",IFERROR(INDEX($A$9:$X$304,$AS156,COLUMNS($AV$9:BC155)),""))</f>
        <v>Draw two cards.</v>
      </c>
      <c r="BD156" s="1" t="str">
        <f>IF(IFERROR(INDEX($A$9:$X$304,$AS156,COLUMNS($AV$9:BD155)),"")=0,"",IFERROR(INDEX($A$9:$X$304,$AS156,COLUMNS($AV$9:BD155)),""))</f>
        <v>Target champion gets +5 {offense} and +5 {defense} this turn. If this is the first {1} card you’ve played this turn, gain {1} that may only be used to pay for wild costs.</v>
      </c>
      <c r="BE156" s="1" t="str">
        <f>IF(IFERROR(INDEX($A$9:$X$304,$AS156,COLUMNS($AV$9:BE155)),"")=0,"",IFERROR(INDEX($A$9:$X$304,$AS156,COLUMNS($AV$9:BE155)),""))</f>
        <v/>
      </c>
      <c r="BF156" s="1" t="str">
        <f>IF(IFERROR(INDEX($A$9:$X$304,$AS156,COLUMNS($AV$9:BF155)),"")=0,"",IFERROR(INDEX($A$9:$X$304,$AS156,COLUMNS($AV$9:BF155)),""))</f>
        <v/>
      </c>
      <c r="BG156" s="1" t="str">
        <f>IF(IFERROR(INDEX($A$9:$X$304,$AS156,COLUMNS($AV$9:BG155)),"")=0,"",IFERROR(INDEX($A$9:$X$304,$AS156,COLUMNS($AV$9:BG155)),""))</f>
        <v/>
      </c>
      <c r="BH156" s="1" t="str">
        <f>IF(IFERROR(INDEX($A$9:$X$304,$AS156,COLUMNS($AV$9:BH155)),"")=0,"",IFERROR(INDEX($A$9:$X$304,$AS156,COLUMNS($AV$9:BH155)),""))</f>
        <v/>
      </c>
      <c r="BI156" s="1" t="str">
        <f>IF(IFERROR(INDEX($A$9:$X$304,$AS156,COLUMNS($AV$9:BI155)),"")=0,"",IFERROR(INDEX($A$9:$X$304,$AS156,COLUMNS($AV$9:BI155)),""))</f>
        <v/>
      </c>
      <c r="BJ156" s="1" t="str">
        <f>IF(IFERROR(INDEX($A$9:$X$304,$AS156,COLUMNS($AV$9:BJ155)),"")=0,"",IFERROR(INDEX($A$9:$X$304,$AS156,COLUMNS($AV$9:BJ155)),""))</f>
        <v>None</v>
      </c>
      <c r="BK156" s="1" t="str">
        <f>IF(IFERROR(INDEX($A$9:$X$304,$AS156,COLUMNS($AV$9:BK155)),"")=0,"",IFERROR(INDEX($A$9:$X$304,$AS156,COLUMNS($AV$9:BK155)),""))</f>
        <v>Common</v>
      </c>
      <c r="BL156" s="1" t="str">
        <f>IF(IFERROR(INDEX($A$9:$X$304,$AS156,COLUMNS($AV$9:BL155)),"")=0,"",IFERROR(INDEX($A$9:$X$304,$AS156,COLUMNS($AV$9:BL155)),""))</f>
        <v>Olivier Bernard</v>
      </c>
      <c r="BM156" s="1" t="str">
        <f>IF(IFERROR(INDEX($A$9:$X$304,$AS156,COLUMNS($AV$9:BM155)),"")=0,"",IFERROR(INDEX($A$9:$X$304,$AS156,COLUMNS($AV$9:BM155)),""))</f>
        <v>Pantheon: Gareth vs Lashnok</v>
      </c>
      <c r="BN156" s="3" t="b">
        <f>IF(IFERROR(INDEX($A$9:$X$304,$AS156,COLUMNS($AV$9:BN155)),"")=0,"",IFERROR(INDEX($A$9:$X$304,$AS156,COLUMNS($AV$9:BN155)),""))</f>
        <v>1</v>
      </c>
      <c r="BO156" s="3" t="b">
        <f>IF(IFERROR(INDEX($A$9:$X$304,$AS156,COLUMNS($AV$9:BO155)),"")=0,"",IFERROR(INDEX($A$9:$X$304,$AS156,COLUMNS($AV$9:BO155)),""))</f>
        <v>1</v>
      </c>
      <c r="BP156" s="3" t="b">
        <f>IF(IFERROR(INDEX($A$9:$X$304,$AS156,COLUMNS($AV$9:BP155)),"")=0,"",IFERROR(INDEX($A$9:$X$304,$AS156,COLUMNS($AV$9:BP155)),""))</f>
        <v>0</v>
      </c>
      <c r="BQ156" s="3" t="b">
        <f>IF(IFERROR(INDEX($A$9:$X$304,$AS156,COLUMNS($AV$9:BQ155)),"")=0,"",IFERROR(INDEX($A$9:$X$304,$AS156,COLUMNS($AV$9:BQ155)),""))</f>
        <v>0</v>
      </c>
      <c r="BR156" s="3" t="str">
        <f>IF(IFERROR(INDEX($A$9:$X$304,$AS156,COLUMNS($AV$9:BR155)),"")=0,"",IFERROR(INDEX($A$9:$X$304,$AS156,COLUMNS($AV$9:BR155)),""))</f>
        <v>https://www.epiccardgame.com/wp-content/uploads/2017/11/PNG-EN-12-lashnok-s-will.jpg</v>
      </c>
      <c r="BS156" s="3" t="str">
        <f>IF(IFERROR(INDEX($A$9:$X$304,$AS156,COLUMNS($AV$9:BS155)),"")=0,"",IFERROR(INDEX($A$9:$X$304,$AS156,COLUMNS($AV$9:BS155)),""))</f>
        <v/>
      </c>
      <c r="BT156" s="3"/>
      <c r="BU156" s="15"/>
      <c r="BV156" t="s">
        <v>177</v>
      </c>
    </row>
    <row r="157" spans="1:74" ht="161.44999999999999" customHeight="1" x14ac:dyDescent="0.25">
      <c r="A157" t="s">
        <v>471</v>
      </c>
      <c r="B157">
        <v>0</v>
      </c>
      <c r="C157" t="s">
        <v>615</v>
      </c>
      <c r="E157" t="s">
        <v>621</v>
      </c>
      <c r="H157" t="s">
        <v>700</v>
      </c>
      <c r="I157" t="s">
        <v>865</v>
      </c>
      <c r="O157" t="s">
        <v>1091</v>
      </c>
      <c r="Q157" t="s">
        <v>1150</v>
      </c>
      <c r="R157" t="s">
        <v>1179</v>
      </c>
      <c r="S157" t="b">
        <v>1</v>
      </c>
      <c r="T157" t="b">
        <v>0</v>
      </c>
      <c r="U157" t="b">
        <v>0</v>
      </c>
      <c r="V157" t="b">
        <v>0</v>
      </c>
      <c r="W157" s="2" t="s">
        <v>1332</v>
      </c>
      <c r="X157" s="2"/>
      <c r="Y157" s="24">
        <v>149</v>
      </c>
      <c r="Z157">
        <f t="shared" si="40"/>
        <v>149</v>
      </c>
      <c r="AA157">
        <f t="shared" si="41"/>
        <v>149</v>
      </c>
      <c r="AB157">
        <f t="shared" si="42"/>
        <v>149</v>
      </c>
      <c r="AC157">
        <f t="shared" si="43"/>
        <v>0</v>
      </c>
      <c r="AD157">
        <f t="shared" si="44"/>
        <v>149</v>
      </c>
      <c r="AE157">
        <f t="shared" si="45"/>
        <v>0</v>
      </c>
      <c r="AF157">
        <f t="shared" si="46"/>
        <v>0</v>
      </c>
      <c r="AG157">
        <f t="shared" si="47"/>
        <v>149</v>
      </c>
      <c r="AH157">
        <f t="shared" si="48"/>
        <v>149</v>
      </c>
      <c r="AI157">
        <f t="shared" si="49"/>
        <v>0</v>
      </c>
      <c r="AJ157">
        <f t="shared" si="50"/>
        <v>0</v>
      </c>
      <c r="AK157">
        <f t="shared" si="51"/>
        <v>0</v>
      </c>
      <c r="AL157">
        <f t="shared" si="52"/>
        <v>0</v>
      </c>
      <c r="AM157">
        <f t="shared" si="53"/>
        <v>0</v>
      </c>
      <c r="AN157">
        <f t="shared" si="54"/>
        <v>149</v>
      </c>
      <c r="AO157">
        <f t="shared" si="55"/>
        <v>0</v>
      </c>
      <c r="AP157">
        <f t="shared" si="56"/>
        <v>149</v>
      </c>
      <c r="AQ157">
        <f t="shared" si="57"/>
        <v>149</v>
      </c>
      <c r="AR157" s="6">
        <f t="shared" si="58"/>
        <v>149</v>
      </c>
      <c r="AS157">
        <f t="shared" si="59"/>
        <v>149</v>
      </c>
      <c r="AV157" s="1" t="str">
        <f>IF(IFERROR(INDEX($A$9:$W$304,$AS157,COLUMNS($AV$9:AV156)),"")=0,"",IFERROR(INDEX($A$9:$W$304,$AS157,COLUMNS($AV$9:AV156)),""))</f>
        <v>Lashnok, Worldbreaker</v>
      </c>
      <c r="AW157" s="1">
        <f>IFERROR(INDEX($A$9:$W$304,$AS157,COLUMNS($AV$9:AW156)),"")</f>
        <v>0</v>
      </c>
      <c r="AX157" s="1" t="str">
        <f>IF(IFERROR(INDEX($A$9:$X$304,$AS157,COLUMNS($AV$9:AX156)),"")=0,"",IFERROR(INDEX($A$9:$X$304,$AS157,COLUMNS($AV$9:AX156)),""))</f>
        <v>WILD</v>
      </c>
      <c r="AY157" s="1" t="str">
        <f>IF(IFERROR(INDEX($A$9:$X$304,$AS157,COLUMNS($AV$9:AY156)),"")=0,"",IFERROR(INDEX($A$9:$X$304,$AS157,COLUMNS($AV$9:AY156)),""))</f>
        <v/>
      </c>
      <c r="AZ157" s="1" t="str">
        <f>IF(IFERROR(INDEX($A$9:$X$304,$AS157,COLUMNS($AV$9:AZ156)),"")=0,"",IFERROR(INDEX($A$9:$X$304,$AS157,COLUMNS($AV$9:AZ156)),""))</f>
        <v>DEITY</v>
      </c>
      <c r="BA157" s="1" t="str">
        <f>IF(IFERROR(INDEX($A$9:$X$304,$AS157,COLUMNS($AV$9:BA156)),"")=0,"",IFERROR(INDEX($A$9:$X$304,$AS157,COLUMNS($AV$9:BA156)),""))</f>
        <v/>
      </c>
      <c r="BB157" s="1" t="str">
        <f>IF(IFERROR(INDEX($A$9:$X$304,$AS157,COLUMNS($AV$9:BB156)),"")=0,"",IFERROR(INDEX($A$9:$X$304,$AS157,COLUMNS($AV$9:BB156)),""))</f>
        <v/>
      </c>
      <c r="BC157" s="1" t="str">
        <f>IF(IFERROR(INDEX($A$9:$X$304,$AS157,COLUMNS($AV$9:BC156)),"")=0,"",IFERROR(INDEX($A$9:$X$304,$AS157,COLUMNS($AV$9:BC156)),""))</f>
        <v>{1}: Put two +1 {offense} +1 {defense} counters on each of your champions. They gain blitz and breakthrough this turn.</v>
      </c>
      <c r="BD157" s="1" t="str">
        <f>IF(IFERROR(INDEX($A$9:$X$304,$AS157,COLUMNS($AV$9:BD156)),"")=0,"",IFERROR(INDEX($A$9:$X$304,$AS157,COLUMNS($AV$9:BD156)),""))</f>
        <v>{wild} → Deal 1 damage to a target.</v>
      </c>
      <c r="BE157" s="1" t="str">
        <f>IF(IFERROR(INDEX($A$9:$X$304,$AS157,COLUMNS($AV$9:BE156)),"")=0,"",IFERROR(INDEX($A$9:$X$304,$AS157,COLUMNS($AV$9:BE156)),""))</f>
        <v/>
      </c>
      <c r="BF157" s="1" t="str">
        <f>IF(IFERROR(INDEX($A$9:$X$304,$AS157,COLUMNS($AV$9:BF156)),"")=0,"",IFERROR(INDEX($A$9:$X$304,$AS157,COLUMNS($AV$9:BF156)),""))</f>
        <v/>
      </c>
      <c r="BG157" s="1" t="str">
        <f>IF(IFERROR(INDEX($A$9:$X$304,$AS157,COLUMNS($AV$9:BG156)),"")=0,"",IFERROR(INDEX($A$9:$X$304,$AS157,COLUMNS($AV$9:BG156)),""))</f>
        <v/>
      </c>
      <c r="BH157" s="1" t="str">
        <f>IF(IFERROR(INDEX($A$9:$X$304,$AS157,COLUMNS($AV$9:BH156)),"")=0,"",IFERROR(INDEX($A$9:$X$304,$AS157,COLUMNS($AV$9:BH156)),""))</f>
        <v/>
      </c>
      <c r="BI157" s="1" t="str">
        <f>IF(IFERROR(INDEX($A$9:$X$304,$AS157,COLUMNS($AV$9:BI156)),"")=0,"",IFERROR(INDEX($A$9:$X$304,$AS157,COLUMNS($AV$9:BI156)),""))</f>
        <v/>
      </c>
      <c r="BJ157" s="1" t="str">
        <f>IF(IFERROR(INDEX($A$9:$X$304,$AS157,COLUMNS($AV$9:BJ156)),"")=0,"",IFERROR(INDEX($A$9:$X$304,$AS157,COLUMNS($AV$9:BJ156)),""))</f>
        <v>God</v>
      </c>
      <c r="BK157" s="1" t="str">
        <f>IF(IFERROR(INDEX($A$9:$X$304,$AS157,COLUMNS($AV$9:BK156)),"")=0,"",IFERROR(INDEX($A$9:$X$304,$AS157,COLUMNS($AV$9:BK156)),""))</f>
        <v/>
      </c>
      <c r="BL157" s="1" t="str">
        <f>IF(IFERROR(INDEX($A$9:$X$304,$AS157,COLUMNS($AV$9:BL156)),"")=0,"",IFERROR(INDEX($A$9:$X$304,$AS157,COLUMNS($AV$9:BL156)),""))</f>
        <v>Olivier Bernard</v>
      </c>
      <c r="BM157" s="1" t="str">
        <f>IF(IFERROR(INDEX($A$9:$X$304,$AS157,COLUMNS($AV$9:BM156)),"")=0,"",IFERROR(INDEX($A$9:$X$304,$AS157,COLUMNS($AV$9:BM156)),""))</f>
        <v>Pantheon: Gareth vs Lashnok</v>
      </c>
      <c r="BN157" s="3" t="b">
        <f>IF(IFERROR(INDEX($A$9:$X$304,$AS157,COLUMNS($AV$9:BN156)),"")=0,"",IFERROR(INDEX($A$9:$X$304,$AS157,COLUMNS($AV$9:BN156)),""))</f>
        <v>1</v>
      </c>
      <c r="BO157" s="3" t="b">
        <f>IF(IFERROR(INDEX($A$9:$X$304,$AS157,COLUMNS($AV$9:BO156)),"")=0,"",IFERROR(INDEX($A$9:$X$304,$AS157,COLUMNS($AV$9:BO156)),""))</f>
        <v>0</v>
      </c>
      <c r="BP157" s="3" t="b">
        <f>IF(IFERROR(INDEX($A$9:$X$304,$AS157,COLUMNS($AV$9:BP156)),"")=0,"",IFERROR(INDEX($A$9:$X$304,$AS157,COLUMNS($AV$9:BP156)),""))</f>
        <v>0</v>
      </c>
      <c r="BQ157" s="3" t="b">
        <f>IF(IFERROR(INDEX($A$9:$X$304,$AS157,COLUMNS($AV$9:BQ156)),"")=0,"",IFERROR(INDEX($A$9:$X$304,$AS157,COLUMNS($AV$9:BQ156)),""))</f>
        <v>0</v>
      </c>
      <c r="BR157" s="3" t="str">
        <f>IF(IFERROR(INDEX($A$9:$X$304,$AS157,COLUMNS($AV$9:BR156)),"")=0,"",IFERROR(INDEX($A$9:$X$304,$AS157,COLUMNS($AV$9:BR156)),""))</f>
        <v>https://www.epiccardgame.com/wp-content/uploads/2017/11/PNG-EN-09-lashnok.jpg</v>
      </c>
      <c r="BS157" s="3" t="str">
        <f>IF(IFERROR(INDEX($A$9:$X$304,$AS157,COLUMNS($AV$9:BS156)),"")=0,"",IFERROR(INDEX($A$9:$X$304,$AS157,COLUMNS($AV$9:BS156)),""))</f>
        <v/>
      </c>
      <c r="BT157" s="3"/>
      <c r="BU157" s="15"/>
      <c r="BV157" t="s">
        <v>178</v>
      </c>
    </row>
    <row r="158" spans="1:74" ht="225" customHeight="1" x14ac:dyDescent="0.25">
      <c r="A158" t="s">
        <v>472</v>
      </c>
      <c r="B158">
        <v>1</v>
      </c>
      <c r="C158" t="s">
        <v>616</v>
      </c>
      <c r="E158" t="s">
        <v>619</v>
      </c>
      <c r="H158" t="s">
        <v>627</v>
      </c>
      <c r="I158" t="s">
        <v>866</v>
      </c>
      <c r="O158" t="s">
        <v>1062</v>
      </c>
      <c r="P158" t="s">
        <v>1112</v>
      </c>
      <c r="Q158" t="s">
        <v>1139</v>
      </c>
      <c r="R158" t="s">
        <v>1178</v>
      </c>
      <c r="S158" t="b">
        <v>1</v>
      </c>
      <c r="T158" t="b">
        <v>1</v>
      </c>
      <c r="U158" t="b">
        <v>0</v>
      </c>
      <c r="V158" t="b">
        <v>0</v>
      </c>
      <c r="W158" s="2" t="s">
        <v>1333</v>
      </c>
      <c r="X158" s="2"/>
      <c r="Y158" s="24">
        <v>150</v>
      </c>
      <c r="Z158">
        <f t="shared" si="40"/>
        <v>150</v>
      </c>
      <c r="AA158">
        <f t="shared" si="41"/>
        <v>150</v>
      </c>
      <c r="AB158">
        <f t="shared" si="42"/>
        <v>150</v>
      </c>
      <c r="AC158">
        <f t="shared" si="43"/>
        <v>0</v>
      </c>
      <c r="AD158">
        <f t="shared" si="44"/>
        <v>150</v>
      </c>
      <c r="AE158">
        <f t="shared" si="45"/>
        <v>0</v>
      </c>
      <c r="AF158">
        <f t="shared" si="46"/>
        <v>0</v>
      </c>
      <c r="AG158">
        <f t="shared" si="47"/>
        <v>150</v>
      </c>
      <c r="AH158">
        <f t="shared" si="48"/>
        <v>150</v>
      </c>
      <c r="AI158">
        <f t="shared" si="49"/>
        <v>0</v>
      </c>
      <c r="AJ158">
        <f t="shared" si="50"/>
        <v>0</v>
      </c>
      <c r="AK158">
        <f t="shared" si="51"/>
        <v>0</v>
      </c>
      <c r="AL158">
        <f t="shared" si="52"/>
        <v>0</v>
      </c>
      <c r="AM158">
        <f t="shared" si="53"/>
        <v>0</v>
      </c>
      <c r="AN158">
        <f t="shared" si="54"/>
        <v>150</v>
      </c>
      <c r="AO158">
        <f t="shared" si="55"/>
        <v>150</v>
      </c>
      <c r="AP158">
        <f t="shared" si="56"/>
        <v>150</v>
      </c>
      <c r="AQ158">
        <f t="shared" si="57"/>
        <v>150</v>
      </c>
      <c r="AR158" s="6">
        <f t="shared" si="58"/>
        <v>150</v>
      </c>
      <c r="AS158">
        <f t="shared" si="59"/>
        <v>150</v>
      </c>
      <c r="AV158" s="1" t="str">
        <f>IF(IFERROR(INDEX($A$9:$W$304,$AS158,COLUMNS($AV$9:AV157)),"")=0,"",IFERROR(INDEX($A$9:$W$304,$AS158,COLUMNS($AV$9:AV157)),""))</f>
        <v>Lesson Learned</v>
      </c>
      <c r="AW158" s="1">
        <f>IFERROR(INDEX($A$9:$W$304,$AS158,COLUMNS($AV$9:AW157)),"")</f>
        <v>1</v>
      </c>
      <c r="AX158" s="1" t="str">
        <f>IF(IFERROR(INDEX($A$9:$X$304,$AS158,COLUMNS($AV$9:AX157)),"")=0,"",IFERROR(INDEX($A$9:$X$304,$AS158,COLUMNS($AV$9:AX157)),""))</f>
        <v>SAGE</v>
      </c>
      <c r="AY158" s="1" t="str">
        <f>IF(IFERROR(INDEX($A$9:$X$304,$AS158,COLUMNS($AV$9:AY157)),"")=0,"",IFERROR(INDEX($A$9:$X$304,$AS158,COLUMNS($AV$9:AY157)),""))</f>
        <v/>
      </c>
      <c r="AZ158" s="1" t="str">
        <f>IF(IFERROR(INDEX($A$9:$X$304,$AS158,COLUMNS($AV$9:AZ157)),"")=0,"",IFERROR(INDEX($A$9:$X$304,$AS158,COLUMNS($AV$9:AZ157)),""))</f>
        <v>EVENT</v>
      </c>
      <c r="BA158" s="1" t="str">
        <f>IF(IFERROR(INDEX($A$9:$X$304,$AS158,COLUMNS($AV$9:BA157)),"")=0,"",IFERROR(INDEX($A$9:$X$304,$AS158,COLUMNS($AV$9:BA157)),""))</f>
        <v/>
      </c>
      <c r="BB158" s="1" t="str">
        <f>IF(IFERROR(INDEX($A$9:$X$304,$AS158,COLUMNS($AV$9:BB157)),"")=0,"",IFERROR(INDEX($A$9:$X$304,$AS158,COLUMNS($AV$9:BB157)),""))</f>
        <v/>
      </c>
      <c r="BC158" s="1" t="str">
        <f>IF(IFERROR(INDEX($A$9:$X$304,$AS158,COLUMNS($AV$9:BC157)),"")=0,"",IFERROR(INDEX($A$9:$X$304,$AS158,COLUMNS($AV$9:BC157)),""))</f>
        <v>Draw two cards.</v>
      </c>
      <c r="BD158" s="1" t="str">
        <f>IF(IFERROR(INDEX($A$9:$X$304,$AS158,COLUMNS($AV$9:BD157)),"")=0,"",IFERROR(INDEX($A$9:$X$304,$AS158,COLUMNS($AV$9:BD157)),""))</f>
        <v>Play an event from your discard pile without paying its cost, then banish it and this card.</v>
      </c>
      <c r="BE158" s="1" t="str">
        <f>IF(IFERROR(INDEX($A$9:$X$304,$AS158,COLUMNS($AV$9:BE157)),"")=0,"",IFERROR(INDEX($A$9:$X$304,$AS158,COLUMNS($AV$9:BE157)),""))</f>
        <v/>
      </c>
      <c r="BF158" s="1" t="str">
        <f>IF(IFERROR(INDEX($A$9:$X$304,$AS158,COLUMNS($AV$9:BF157)),"")=0,"",IFERROR(INDEX($A$9:$X$304,$AS158,COLUMNS($AV$9:BF157)),""))</f>
        <v/>
      </c>
      <c r="BG158" s="1" t="str">
        <f>IF(IFERROR(INDEX($A$9:$X$304,$AS158,COLUMNS($AV$9:BG157)),"")=0,"",IFERROR(INDEX($A$9:$X$304,$AS158,COLUMNS($AV$9:BG157)),""))</f>
        <v/>
      </c>
      <c r="BH158" s="1" t="str">
        <f>IF(IFERROR(INDEX($A$9:$X$304,$AS158,COLUMNS($AV$9:BH157)),"")=0,"",IFERROR(INDEX($A$9:$X$304,$AS158,COLUMNS($AV$9:BH157)),""))</f>
        <v/>
      </c>
      <c r="BI158" s="1" t="str">
        <f>IF(IFERROR(INDEX($A$9:$X$304,$AS158,COLUMNS($AV$9:BI157)),"")=0,"",IFERROR(INDEX($A$9:$X$304,$AS158,COLUMNS($AV$9:BI157)),""))</f>
        <v/>
      </c>
      <c r="BJ158" s="1" t="str">
        <f>IF(IFERROR(INDEX($A$9:$X$304,$AS158,COLUMNS($AV$9:BJ157)),"")=0,"",IFERROR(INDEX($A$9:$X$304,$AS158,COLUMNS($AV$9:BJ157)),""))</f>
        <v>None</v>
      </c>
      <c r="BK158" s="1" t="str">
        <f>IF(IFERROR(INDEX($A$9:$X$304,$AS158,COLUMNS($AV$9:BK157)),"")=0,"",IFERROR(INDEX($A$9:$X$304,$AS158,COLUMNS($AV$9:BK157)),""))</f>
        <v>Common</v>
      </c>
      <c r="BL158" s="1" t="str">
        <f>IF(IFERROR(INDEX($A$9:$X$304,$AS158,COLUMNS($AV$9:BL157)),"")=0,"",IFERROR(INDEX($A$9:$X$304,$AS158,COLUMNS($AV$9:BL157)),""))</f>
        <v>Bramasta Aji</v>
      </c>
      <c r="BM158" s="1" t="str">
        <f>IF(IFERROR(INDEX($A$9:$X$304,$AS158,COLUMNS($AV$9:BM157)),"")=0,"",IFERROR(INDEX($A$9:$X$304,$AS158,COLUMNS($AV$9:BM157)),""))</f>
        <v>Tyrants: Draka's Rage</v>
      </c>
      <c r="BN158" s="3" t="b">
        <f>IF(IFERROR(INDEX($A$9:$X$304,$AS158,COLUMNS($AV$9:BN157)),"")=0,"",IFERROR(INDEX($A$9:$X$304,$AS158,COLUMNS($AV$9:BN157)),""))</f>
        <v>1</v>
      </c>
      <c r="BO158" s="3" t="b">
        <f>IF(IFERROR(INDEX($A$9:$X$304,$AS158,COLUMNS($AV$9:BO157)),"")=0,"",IFERROR(INDEX($A$9:$X$304,$AS158,COLUMNS($AV$9:BO157)),""))</f>
        <v>1</v>
      </c>
      <c r="BP158" s="3" t="b">
        <f>IF(IFERROR(INDEX($A$9:$X$304,$AS158,COLUMNS($AV$9:BP157)),"")=0,"",IFERROR(INDEX($A$9:$X$304,$AS158,COLUMNS($AV$9:BP157)),""))</f>
        <v>0</v>
      </c>
      <c r="BQ158" s="3" t="b">
        <f>IF(IFERROR(INDEX($A$9:$X$304,$AS158,COLUMNS($AV$9:BQ157)),"")=0,"",IFERROR(INDEX($A$9:$X$304,$AS158,COLUMNS($AV$9:BQ157)),""))</f>
        <v>0</v>
      </c>
      <c r="BR158" s="3" t="str">
        <f>IF(IFERROR(INDEX($A$9:$X$304,$AS158,COLUMNS($AV$9:BR157)),"")=0,"",IFERROR(INDEX($A$9:$X$304,$AS158,COLUMNS($AV$9:BR157)),""))</f>
        <v>http://www.epiccardgame.com/wp-content/uploads/2016/03/lesson_learned-214x300.jpg</v>
      </c>
      <c r="BS158" s="3" t="str">
        <f>IF(IFERROR(INDEX($A$9:$X$304,$AS158,COLUMNS($AV$9:BS157)),"")=0,"",IFERROR(INDEX($A$9:$X$304,$AS158,COLUMNS($AV$9:BS157)),""))</f>
        <v/>
      </c>
      <c r="BT158" s="3"/>
      <c r="BU158" s="15"/>
      <c r="BV158" t="s">
        <v>179</v>
      </c>
    </row>
    <row r="159" spans="1:74" ht="225.2" customHeight="1" x14ac:dyDescent="0.25">
      <c r="A159" t="s">
        <v>473</v>
      </c>
      <c r="B159">
        <v>1</v>
      </c>
      <c r="C159" t="s">
        <v>615</v>
      </c>
      <c r="E159" t="s">
        <v>619</v>
      </c>
      <c r="H159" t="s">
        <v>701</v>
      </c>
      <c r="L159" t="s">
        <v>1044</v>
      </c>
      <c r="O159" t="s">
        <v>1062</v>
      </c>
      <c r="P159" t="s">
        <v>1112</v>
      </c>
      <c r="Q159" t="s">
        <v>1116</v>
      </c>
      <c r="R159" t="s">
        <v>1171</v>
      </c>
      <c r="S159" t="b">
        <v>1</v>
      </c>
      <c r="T159" t="b">
        <v>0</v>
      </c>
      <c r="U159" t="b">
        <v>0</v>
      </c>
      <c r="V159" t="b">
        <v>0</v>
      </c>
      <c r="W159" s="2" t="s">
        <v>1334</v>
      </c>
      <c r="X159" s="2"/>
      <c r="Y159" s="24">
        <v>151</v>
      </c>
      <c r="Z159">
        <f t="shared" si="40"/>
        <v>151</v>
      </c>
      <c r="AA159">
        <f t="shared" si="41"/>
        <v>151</v>
      </c>
      <c r="AB159">
        <f t="shared" si="42"/>
        <v>151</v>
      </c>
      <c r="AC159">
        <f t="shared" si="43"/>
        <v>0</v>
      </c>
      <c r="AD159">
        <f t="shared" si="44"/>
        <v>151</v>
      </c>
      <c r="AE159">
        <f t="shared" si="45"/>
        <v>0</v>
      </c>
      <c r="AF159">
        <f t="shared" si="46"/>
        <v>0</v>
      </c>
      <c r="AG159">
        <f t="shared" si="47"/>
        <v>151</v>
      </c>
      <c r="AH159">
        <f t="shared" si="48"/>
        <v>0</v>
      </c>
      <c r="AI159">
        <f t="shared" si="49"/>
        <v>0</v>
      </c>
      <c r="AJ159">
        <f t="shared" si="50"/>
        <v>0</v>
      </c>
      <c r="AK159">
        <f t="shared" si="51"/>
        <v>151</v>
      </c>
      <c r="AL159">
        <f t="shared" si="52"/>
        <v>0</v>
      </c>
      <c r="AM159">
        <f t="shared" si="53"/>
        <v>0</v>
      </c>
      <c r="AN159">
        <f t="shared" si="54"/>
        <v>151</v>
      </c>
      <c r="AO159">
        <f t="shared" si="55"/>
        <v>151</v>
      </c>
      <c r="AP159">
        <f t="shared" si="56"/>
        <v>151</v>
      </c>
      <c r="AQ159">
        <f t="shared" si="57"/>
        <v>151</v>
      </c>
      <c r="AR159" s="6">
        <f t="shared" si="58"/>
        <v>151</v>
      </c>
      <c r="AS159">
        <f t="shared" si="59"/>
        <v>151</v>
      </c>
      <c r="AV159" s="1" t="str">
        <f>IF(IFERROR(INDEX($A$9:$W$304,$AS159,COLUMNS($AV$9:AV158)),"")=0,"",IFERROR(INDEX($A$9:$W$304,$AS159,COLUMNS($AV$9:AV158)),""))</f>
        <v>Lightning Storm</v>
      </c>
      <c r="AW159" s="1">
        <f>IFERROR(INDEX($A$9:$W$304,$AS159,COLUMNS($AV$9:AW158)),"")</f>
        <v>1</v>
      </c>
      <c r="AX159" s="1" t="str">
        <f>IF(IFERROR(INDEX($A$9:$X$304,$AS159,COLUMNS($AV$9:AX158)),"")=0,"",IFERROR(INDEX($A$9:$X$304,$AS159,COLUMNS($AV$9:AX158)),""))</f>
        <v>WILD</v>
      </c>
      <c r="AY159" s="1" t="str">
        <f>IF(IFERROR(INDEX($A$9:$X$304,$AS159,COLUMNS($AV$9:AY158)),"")=0,"",IFERROR(INDEX($A$9:$X$304,$AS159,COLUMNS($AV$9:AY158)),""))</f>
        <v/>
      </c>
      <c r="AZ159" s="1" t="str">
        <f>IF(IFERROR(INDEX($A$9:$X$304,$AS159,COLUMNS($AV$9:AZ158)),"")=0,"",IFERROR(INDEX($A$9:$X$304,$AS159,COLUMNS($AV$9:AZ158)),""))</f>
        <v>EVENT</v>
      </c>
      <c r="BA159" s="1" t="str">
        <f>IF(IFERROR(INDEX($A$9:$X$304,$AS159,COLUMNS($AV$9:BA158)),"")=0,"",IFERROR(INDEX($A$9:$X$304,$AS159,COLUMNS($AV$9:BA158)),""))</f>
        <v/>
      </c>
      <c r="BB159" s="1" t="str">
        <f>IF(IFERROR(INDEX($A$9:$X$304,$AS159,COLUMNS($AV$9:BB158)),"")=0,"",IFERROR(INDEX($A$9:$X$304,$AS159,COLUMNS($AV$9:BB158)),""))</f>
        <v/>
      </c>
      <c r="BC159" s="1" t="str">
        <f>IF(IFERROR(INDEX($A$9:$X$304,$AS159,COLUMNS($AV$9:BC158)),"")=0,"",IFERROR(INDEX($A$9:$X$304,$AS159,COLUMNS($AV$9:BC158)),""))</f>
        <v>Deal 6 damage divided any way you choose to up to six targets.</v>
      </c>
      <c r="BD159" s="1" t="str">
        <f>IF(IFERROR(INDEX($A$9:$X$304,$AS159,COLUMNS($AV$9:BD158)),"")=0,"",IFERROR(INDEX($A$9:$X$304,$AS159,COLUMNS($AV$9:BD158)),""))</f>
        <v/>
      </c>
      <c r="BE159" s="1" t="str">
        <f>IF(IFERROR(INDEX($A$9:$X$304,$AS159,COLUMNS($AV$9:BE158)),"")=0,"",IFERROR(INDEX($A$9:$X$304,$AS159,COLUMNS($AV$9:BE158)),""))</f>
        <v/>
      </c>
      <c r="BF159" s="1" t="str">
        <f>IF(IFERROR(INDEX($A$9:$X$304,$AS159,COLUMNS($AV$9:BF158)),"")=0,"",IFERROR(INDEX($A$9:$X$304,$AS159,COLUMNS($AV$9:BF158)),""))</f>
        <v/>
      </c>
      <c r="BG159" s="1" t="str">
        <f>IF(IFERROR(INDEX($A$9:$X$304,$AS159,COLUMNS($AV$9:BG158)),"")=0,"",IFERROR(INDEX($A$9:$X$304,$AS159,COLUMNS($AV$9:BG158)),""))</f>
        <v>{1}: Recall</v>
      </c>
      <c r="BH159" s="1" t="str">
        <f>IF(IFERROR(INDEX($A$9:$X$304,$AS159,COLUMNS($AV$9:BH158)),"")=0,"",IFERROR(INDEX($A$9:$X$304,$AS159,COLUMNS($AV$9:BH158)),""))</f>
        <v/>
      </c>
      <c r="BI159" s="1" t="str">
        <f>IF(IFERROR(INDEX($A$9:$X$304,$AS159,COLUMNS($AV$9:BI158)),"")=0,"",IFERROR(INDEX($A$9:$X$304,$AS159,COLUMNS($AV$9:BI158)),""))</f>
        <v/>
      </c>
      <c r="BJ159" s="1" t="str">
        <f>IF(IFERROR(INDEX($A$9:$X$304,$AS159,COLUMNS($AV$9:BJ158)),"")=0,"",IFERROR(INDEX($A$9:$X$304,$AS159,COLUMNS($AV$9:BJ158)),""))</f>
        <v>None</v>
      </c>
      <c r="BK159" s="1" t="str">
        <f>IF(IFERROR(INDEX($A$9:$X$304,$AS159,COLUMNS($AV$9:BK158)),"")=0,"",IFERROR(INDEX($A$9:$X$304,$AS159,COLUMNS($AV$9:BK158)),""))</f>
        <v>Common</v>
      </c>
      <c r="BL159" s="1" t="str">
        <f>IF(IFERROR(INDEX($A$9:$X$304,$AS159,COLUMNS($AV$9:BL158)),"")=0,"",IFERROR(INDEX($A$9:$X$304,$AS159,COLUMNS($AV$9:BL158)),""))</f>
        <v>Apsara</v>
      </c>
      <c r="BM159" s="1" t="str">
        <f>IF(IFERROR(INDEX($A$9:$X$304,$AS159,COLUMNS($AV$9:BM158)),"")=0,"",IFERROR(INDEX($A$9:$X$304,$AS159,COLUMNS($AV$9:BM158)),""))</f>
        <v>Base Set</v>
      </c>
      <c r="BN159" s="3" t="b">
        <f>IF(IFERROR(INDEX($A$9:$X$304,$AS159,COLUMNS($AV$9:BN158)),"")=0,"",IFERROR(INDEX($A$9:$X$304,$AS159,COLUMNS($AV$9:BN158)),""))</f>
        <v>1</v>
      </c>
      <c r="BO159" s="3" t="b">
        <f>IF(IFERROR(INDEX($A$9:$X$304,$AS159,COLUMNS($AV$9:BO158)),"")=0,"",IFERROR(INDEX($A$9:$X$304,$AS159,COLUMNS($AV$9:BO158)),""))</f>
        <v>0</v>
      </c>
      <c r="BP159" s="3" t="b">
        <f>IF(IFERROR(INDEX($A$9:$X$304,$AS159,COLUMNS($AV$9:BP158)),"")=0,"",IFERROR(INDEX($A$9:$X$304,$AS159,COLUMNS($AV$9:BP158)),""))</f>
        <v>0</v>
      </c>
      <c r="BQ159" s="3" t="b">
        <f>IF(IFERROR(INDEX($A$9:$X$304,$AS159,COLUMNS($AV$9:BQ158)),"")=0,"",IFERROR(INDEX($A$9:$X$304,$AS159,COLUMNS($AV$9:BQ158)),""))</f>
        <v>0</v>
      </c>
      <c r="BR159" s="3" t="str">
        <f>IF(IFERROR(INDEX($A$9:$X$304,$AS159,COLUMNS($AV$9:BR158)),"")=0,"",IFERROR(INDEX($A$9:$X$304,$AS159,COLUMNS($AV$9:BR158)),""))</f>
        <v>http://www.epiccardgame.com/wp-content/uploads/2015/09/lightning_storm-215x300.jpg</v>
      </c>
      <c r="BS159" s="3" t="str">
        <f>IF(IFERROR(INDEX($A$9:$X$304,$AS159,COLUMNS($AV$9:BS158)),"")=0,"",IFERROR(INDEX($A$9:$X$304,$AS159,COLUMNS($AV$9:BS158)),""))</f>
        <v/>
      </c>
      <c r="BT159" s="3"/>
      <c r="BU159" s="15"/>
      <c r="BV159" t="s">
        <v>180</v>
      </c>
    </row>
    <row r="160" spans="1:74" ht="225.2" customHeight="1" x14ac:dyDescent="0.25">
      <c r="A160" t="s">
        <v>474</v>
      </c>
      <c r="B160">
        <v>0</v>
      </c>
      <c r="C160" t="s">
        <v>615</v>
      </c>
      <c r="E160" t="s">
        <v>619</v>
      </c>
      <c r="H160" t="s">
        <v>702</v>
      </c>
      <c r="I160" t="s">
        <v>769</v>
      </c>
      <c r="O160" t="s">
        <v>1062</v>
      </c>
      <c r="P160" t="s">
        <v>1112</v>
      </c>
      <c r="Q160" t="s">
        <v>1135</v>
      </c>
      <c r="R160" t="s">
        <v>1176</v>
      </c>
      <c r="S160" t="b">
        <v>1</v>
      </c>
      <c r="T160" t="b">
        <v>1</v>
      </c>
      <c r="U160" t="b">
        <v>0</v>
      </c>
      <c r="V160" t="b">
        <v>0</v>
      </c>
      <c r="W160" s="2" t="s">
        <v>1335</v>
      </c>
      <c r="X160" s="2"/>
      <c r="Y160" s="24">
        <v>152</v>
      </c>
      <c r="Z160">
        <f t="shared" si="40"/>
        <v>152</v>
      </c>
      <c r="AA160">
        <f t="shared" si="41"/>
        <v>152</v>
      </c>
      <c r="AB160">
        <f t="shared" si="42"/>
        <v>152</v>
      </c>
      <c r="AC160">
        <f t="shared" si="43"/>
        <v>0</v>
      </c>
      <c r="AD160">
        <f t="shared" si="44"/>
        <v>152</v>
      </c>
      <c r="AE160">
        <f t="shared" si="45"/>
        <v>0</v>
      </c>
      <c r="AF160">
        <f t="shared" si="46"/>
        <v>0</v>
      </c>
      <c r="AG160">
        <f t="shared" si="47"/>
        <v>152</v>
      </c>
      <c r="AH160">
        <f t="shared" si="48"/>
        <v>152</v>
      </c>
      <c r="AI160">
        <f t="shared" si="49"/>
        <v>0</v>
      </c>
      <c r="AJ160">
        <f t="shared" si="50"/>
        <v>0</v>
      </c>
      <c r="AK160">
        <f t="shared" si="51"/>
        <v>0</v>
      </c>
      <c r="AL160">
        <f t="shared" si="52"/>
        <v>0</v>
      </c>
      <c r="AM160">
        <f t="shared" si="53"/>
        <v>0</v>
      </c>
      <c r="AN160">
        <f t="shared" si="54"/>
        <v>152</v>
      </c>
      <c r="AO160">
        <f t="shared" si="55"/>
        <v>152</v>
      </c>
      <c r="AP160">
        <f t="shared" si="56"/>
        <v>152</v>
      </c>
      <c r="AQ160">
        <f t="shared" si="57"/>
        <v>152</v>
      </c>
      <c r="AR160" s="6">
        <f t="shared" si="58"/>
        <v>152</v>
      </c>
      <c r="AS160">
        <f t="shared" si="59"/>
        <v>152</v>
      </c>
      <c r="AV160" s="1" t="str">
        <f>IF(IFERROR(INDEX($A$9:$W$304,$AS160,COLUMNS($AV$9:AV159)),"")=0,"",IFERROR(INDEX($A$9:$W$304,$AS160,COLUMNS($AV$9:AV159)),""))</f>
        <v>Lightning Strike</v>
      </c>
      <c r="AW160" s="1">
        <f>IFERROR(INDEX($A$9:$W$304,$AS160,COLUMNS($AV$9:AW159)),"")</f>
        <v>0</v>
      </c>
      <c r="AX160" s="1" t="str">
        <f>IF(IFERROR(INDEX($A$9:$X$304,$AS160,COLUMNS($AV$9:AX159)),"")=0,"",IFERROR(INDEX($A$9:$X$304,$AS160,COLUMNS($AV$9:AX159)),""))</f>
        <v>WILD</v>
      </c>
      <c r="AY160" s="1" t="str">
        <f>IF(IFERROR(INDEX($A$9:$X$304,$AS160,COLUMNS($AV$9:AY159)),"")=0,"",IFERROR(INDEX($A$9:$X$304,$AS160,COLUMNS($AV$9:AY159)),""))</f>
        <v/>
      </c>
      <c r="AZ160" s="1" t="str">
        <f>IF(IFERROR(INDEX($A$9:$X$304,$AS160,COLUMNS($AV$9:AZ159)),"")=0,"",IFERROR(INDEX($A$9:$X$304,$AS160,COLUMNS($AV$9:AZ159)),""))</f>
        <v>EVENT</v>
      </c>
      <c r="BA160" s="1" t="str">
        <f>IF(IFERROR(INDEX($A$9:$X$304,$AS160,COLUMNS($AV$9:BA159)),"")=0,"",IFERROR(INDEX($A$9:$X$304,$AS160,COLUMNS($AV$9:BA159)),""))</f>
        <v/>
      </c>
      <c r="BB160" s="1" t="str">
        <f>IF(IFERROR(INDEX($A$9:$X$304,$AS160,COLUMNS($AV$9:BB159)),"")=0,"",IFERROR(INDEX($A$9:$X$304,$AS160,COLUMNS($AV$9:BB159)),""))</f>
        <v/>
      </c>
      <c r="BC160" s="1" t="str">
        <f>IF(IFERROR(INDEX($A$9:$X$304,$AS160,COLUMNS($AV$9:BC159)),"")=0,"",IFERROR(INDEX($A$9:$X$304,$AS160,COLUMNS($AV$9:BC159)),""))</f>
        <v>Deal 5 damage to target champion.</v>
      </c>
      <c r="BD160" s="1" t="str">
        <f>IF(IFERROR(INDEX($A$9:$X$304,$AS160,COLUMNS($AV$9:BD159)),"")=0,"",IFERROR(INDEX($A$9:$X$304,$AS160,COLUMNS($AV$9:BD159)),""))</f>
        <v>{1}: Draw two cards.</v>
      </c>
      <c r="BE160" s="1" t="str">
        <f>IF(IFERROR(INDEX($A$9:$X$304,$AS160,COLUMNS($AV$9:BE159)),"")=0,"",IFERROR(INDEX($A$9:$X$304,$AS160,COLUMNS($AV$9:BE159)),""))</f>
        <v/>
      </c>
      <c r="BF160" s="1" t="str">
        <f>IF(IFERROR(INDEX($A$9:$X$304,$AS160,COLUMNS($AV$9:BF159)),"")=0,"",IFERROR(INDEX($A$9:$X$304,$AS160,COLUMNS($AV$9:BF159)),""))</f>
        <v/>
      </c>
      <c r="BG160" s="1" t="str">
        <f>IF(IFERROR(INDEX($A$9:$X$304,$AS160,COLUMNS($AV$9:BG159)),"")=0,"",IFERROR(INDEX($A$9:$X$304,$AS160,COLUMNS($AV$9:BG159)),""))</f>
        <v/>
      </c>
      <c r="BH160" s="1" t="str">
        <f>IF(IFERROR(INDEX($A$9:$X$304,$AS160,COLUMNS($AV$9:BH159)),"")=0,"",IFERROR(INDEX($A$9:$X$304,$AS160,COLUMNS($AV$9:BH159)),""))</f>
        <v/>
      </c>
      <c r="BI160" s="1" t="str">
        <f>IF(IFERROR(INDEX($A$9:$X$304,$AS160,COLUMNS($AV$9:BI159)),"")=0,"",IFERROR(INDEX($A$9:$X$304,$AS160,COLUMNS($AV$9:BI159)),""))</f>
        <v/>
      </c>
      <c r="BJ160" s="1" t="str">
        <f>IF(IFERROR(INDEX($A$9:$X$304,$AS160,COLUMNS($AV$9:BJ159)),"")=0,"",IFERROR(INDEX($A$9:$X$304,$AS160,COLUMNS($AV$9:BJ159)),""))</f>
        <v>None</v>
      </c>
      <c r="BK160" s="1" t="str">
        <f>IF(IFERROR(INDEX($A$9:$X$304,$AS160,COLUMNS($AV$9:BK159)),"")=0,"",IFERROR(INDEX($A$9:$X$304,$AS160,COLUMNS($AV$9:BK159)),""))</f>
        <v>Common</v>
      </c>
      <c r="BL160" s="1" t="str">
        <f>IF(IFERROR(INDEX($A$9:$X$304,$AS160,COLUMNS($AV$9:BL159)),"")=0,"",IFERROR(INDEX($A$9:$X$304,$AS160,COLUMNS($AV$9:BL159)),""))</f>
        <v>Trevor Smith</v>
      </c>
      <c r="BM160" s="1" t="str">
        <f>IF(IFERROR(INDEX($A$9:$X$304,$AS160,COLUMNS($AV$9:BM159)),"")=0,"",IFERROR(INDEX($A$9:$X$304,$AS160,COLUMNS($AV$9:BM159)),""))</f>
        <v>Tyrants: Markus' Command</v>
      </c>
      <c r="BN160" s="3" t="b">
        <f>IF(IFERROR(INDEX($A$9:$X$304,$AS160,COLUMNS($AV$9:BN159)),"")=0,"",IFERROR(INDEX($A$9:$X$304,$AS160,COLUMNS($AV$9:BN159)),""))</f>
        <v>1</v>
      </c>
      <c r="BO160" s="3" t="b">
        <f>IF(IFERROR(INDEX($A$9:$X$304,$AS160,COLUMNS($AV$9:BO159)),"")=0,"",IFERROR(INDEX($A$9:$X$304,$AS160,COLUMNS($AV$9:BO159)),""))</f>
        <v>1</v>
      </c>
      <c r="BP160" s="3" t="b">
        <f>IF(IFERROR(INDEX($A$9:$X$304,$AS160,COLUMNS($AV$9:BP159)),"")=0,"",IFERROR(INDEX($A$9:$X$304,$AS160,COLUMNS($AV$9:BP159)),""))</f>
        <v>0</v>
      </c>
      <c r="BQ160" s="3" t="b">
        <f>IF(IFERROR(INDEX($A$9:$X$304,$AS160,COLUMNS($AV$9:BQ159)),"")=0,"",IFERROR(INDEX($A$9:$X$304,$AS160,COLUMNS($AV$9:BQ159)),""))</f>
        <v>0</v>
      </c>
      <c r="BR160" s="3" t="str">
        <f>IF(IFERROR(INDEX($A$9:$X$304,$AS160,COLUMNS($AV$9:BR159)),"")=0,"",IFERROR(INDEX($A$9:$X$304,$AS160,COLUMNS($AV$9:BR159)),""))</f>
        <v>http://www.epiccardgame.com/wp-content/uploads/2016/03/lightning_strike-214x300.jpg</v>
      </c>
      <c r="BS160" s="3" t="str">
        <f>IF(IFERROR(INDEX($A$9:$X$304,$AS160,COLUMNS($AV$9:BS159)),"")=0,"",IFERROR(INDEX($A$9:$X$304,$AS160,COLUMNS($AV$9:BS159)),""))</f>
        <v/>
      </c>
      <c r="BT160" s="3"/>
      <c r="BU160" s="15"/>
      <c r="BV160" t="s">
        <v>181</v>
      </c>
    </row>
    <row r="161" spans="1:74" ht="225.2" customHeight="1" x14ac:dyDescent="0.25">
      <c r="A161" t="s">
        <v>475</v>
      </c>
      <c r="B161">
        <v>0</v>
      </c>
      <c r="C161" t="s">
        <v>618</v>
      </c>
      <c r="E161" t="s">
        <v>620</v>
      </c>
      <c r="F161">
        <v>4</v>
      </c>
      <c r="G161">
        <v>4</v>
      </c>
      <c r="H161" t="s">
        <v>676</v>
      </c>
      <c r="I161" t="s">
        <v>867</v>
      </c>
      <c r="O161" t="s">
        <v>1077</v>
      </c>
      <c r="P161" t="s">
        <v>1112</v>
      </c>
      <c r="Q161" t="s">
        <v>1137</v>
      </c>
      <c r="R161" t="s">
        <v>1180</v>
      </c>
      <c r="S161" t="b">
        <v>0</v>
      </c>
      <c r="T161" t="b">
        <v>0</v>
      </c>
      <c r="U161" t="b">
        <v>0</v>
      </c>
      <c r="V161" t="b">
        <v>0</v>
      </c>
      <c r="W161" s="2" t="s">
        <v>1336</v>
      </c>
      <c r="X161" s="2"/>
      <c r="Y161" s="24">
        <v>153</v>
      </c>
      <c r="Z161">
        <f t="shared" si="40"/>
        <v>153</v>
      </c>
      <c r="AA161">
        <f t="shared" si="41"/>
        <v>153</v>
      </c>
      <c r="AB161">
        <f t="shared" si="42"/>
        <v>153</v>
      </c>
      <c r="AC161">
        <f t="shared" si="43"/>
        <v>0</v>
      </c>
      <c r="AD161">
        <f t="shared" si="44"/>
        <v>153</v>
      </c>
      <c r="AE161">
        <f t="shared" si="45"/>
        <v>153</v>
      </c>
      <c r="AF161">
        <f t="shared" si="46"/>
        <v>153</v>
      </c>
      <c r="AG161">
        <f t="shared" si="47"/>
        <v>153</v>
      </c>
      <c r="AH161">
        <f t="shared" si="48"/>
        <v>153</v>
      </c>
      <c r="AI161">
        <f t="shared" si="49"/>
        <v>0</v>
      </c>
      <c r="AJ161">
        <f t="shared" si="50"/>
        <v>0</v>
      </c>
      <c r="AK161">
        <f t="shared" si="51"/>
        <v>0</v>
      </c>
      <c r="AL161">
        <f t="shared" si="52"/>
        <v>0</v>
      </c>
      <c r="AM161">
        <f t="shared" si="53"/>
        <v>0</v>
      </c>
      <c r="AN161">
        <f t="shared" si="54"/>
        <v>153</v>
      </c>
      <c r="AO161">
        <f t="shared" si="55"/>
        <v>153</v>
      </c>
      <c r="AP161">
        <f t="shared" si="56"/>
        <v>153</v>
      </c>
      <c r="AQ161">
        <f t="shared" si="57"/>
        <v>153</v>
      </c>
      <c r="AR161" s="6">
        <f t="shared" si="58"/>
        <v>153</v>
      </c>
      <c r="AS161">
        <f t="shared" si="59"/>
        <v>153</v>
      </c>
      <c r="AV161" s="1" t="str">
        <f>IF(IFERROR(INDEX($A$9:$W$304,$AS161,COLUMNS($AV$9:AV160)),"")=0,"",IFERROR(INDEX($A$9:$W$304,$AS161,COLUMNS($AV$9:AV160)),""))</f>
        <v>Little Devil</v>
      </c>
      <c r="AW161" s="1">
        <f>IFERROR(INDEX($A$9:$W$304,$AS161,COLUMNS($AV$9:AW160)),"")</f>
        <v>0</v>
      </c>
      <c r="AX161" s="1" t="str">
        <f>IF(IFERROR(INDEX($A$9:$X$304,$AS161,COLUMNS($AV$9:AX160)),"")=0,"",IFERROR(INDEX($A$9:$X$304,$AS161,COLUMNS($AV$9:AX160)),""))</f>
        <v>EVIL</v>
      </c>
      <c r="AY161" s="1" t="str">
        <f>IF(IFERROR(INDEX($A$9:$X$304,$AS161,COLUMNS($AV$9:AY160)),"")=0,"",IFERROR(INDEX($A$9:$X$304,$AS161,COLUMNS($AV$9:AY160)),""))</f>
        <v/>
      </c>
      <c r="AZ161" s="1" t="str">
        <f>IF(IFERROR(INDEX($A$9:$X$304,$AS161,COLUMNS($AV$9:AZ160)),"")=0,"",IFERROR(INDEX($A$9:$X$304,$AS161,COLUMNS($AV$9:AZ160)),""))</f>
        <v>CHAMPION</v>
      </c>
      <c r="BA161" s="1">
        <f>IF(IFERROR(INDEX($A$9:$X$304,$AS161,COLUMNS($AV$9:BA160)),"")=0,"",IFERROR(INDEX($A$9:$X$304,$AS161,COLUMNS($AV$9:BA160)),""))</f>
        <v>4</v>
      </c>
      <c r="BB161" s="1">
        <f>IF(IFERROR(INDEX($A$9:$X$304,$AS161,COLUMNS($AV$9:BB160)),"")=0,"",IFERROR(INDEX($A$9:$X$304,$AS161,COLUMNS($AV$9:BB160)),""))</f>
        <v>4</v>
      </c>
      <c r="BC161" s="1" t="str">
        <f>IF(IFERROR(INDEX($A$9:$X$304,$AS161,COLUMNS($AV$9:BC160)),"")=0,"",IFERROR(INDEX($A$9:$X$304,$AS161,COLUMNS($AV$9:BC160)),""))</f>
        <v>Airborne ◆ Blitz</v>
      </c>
      <c r="BD161" s="1" t="str">
        <f>IF(IFERROR(INDEX($A$9:$X$304,$AS161,COLUMNS($AV$9:BD160)),"")=0,"",IFERROR(INDEX($A$9:$X$304,$AS161,COLUMNS($AV$9:BD160)),""))</f>
        <v>They plucked men right off the walls, until Markus issued every man a bow.</v>
      </c>
      <c r="BE161" s="1" t="str">
        <f>IF(IFERROR(INDEX($A$9:$X$304,$AS161,COLUMNS($AV$9:BE160)),"")=0,"",IFERROR(INDEX($A$9:$X$304,$AS161,COLUMNS($AV$9:BE160)),""))</f>
        <v/>
      </c>
      <c r="BF161" s="1" t="str">
        <f>IF(IFERROR(INDEX($A$9:$X$304,$AS161,COLUMNS($AV$9:BF160)),"")=0,"",IFERROR(INDEX($A$9:$X$304,$AS161,COLUMNS($AV$9:BF160)),""))</f>
        <v/>
      </c>
      <c r="BG161" s="1" t="str">
        <f>IF(IFERROR(INDEX($A$9:$X$304,$AS161,COLUMNS($AV$9:BG160)),"")=0,"",IFERROR(INDEX($A$9:$X$304,$AS161,COLUMNS($AV$9:BG160)),""))</f>
        <v/>
      </c>
      <c r="BH161" s="1" t="str">
        <f>IF(IFERROR(INDEX($A$9:$X$304,$AS161,COLUMNS($AV$9:BH160)),"")=0,"",IFERROR(INDEX($A$9:$X$304,$AS161,COLUMNS($AV$9:BH160)),""))</f>
        <v/>
      </c>
      <c r="BI161" s="1" t="str">
        <f>IF(IFERROR(INDEX($A$9:$X$304,$AS161,COLUMNS($AV$9:BI160)),"")=0,"",IFERROR(INDEX($A$9:$X$304,$AS161,COLUMNS($AV$9:BI160)),""))</f>
        <v/>
      </c>
      <c r="BJ161" s="1" t="str">
        <f>IF(IFERROR(INDEX($A$9:$X$304,$AS161,COLUMNS($AV$9:BJ160)),"")=0,"",IFERROR(INDEX($A$9:$X$304,$AS161,COLUMNS($AV$9:BJ160)),""))</f>
        <v>DEVIL</v>
      </c>
      <c r="BK161" s="1" t="str">
        <f>IF(IFERROR(INDEX($A$9:$X$304,$AS161,COLUMNS($AV$9:BK160)),"")=0,"",IFERROR(INDEX($A$9:$X$304,$AS161,COLUMNS($AV$9:BK160)),""))</f>
        <v>Common</v>
      </c>
      <c r="BL161" s="1" t="str">
        <f>IF(IFERROR(INDEX($A$9:$X$304,$AS161,COLUMNS($AV$9:BL160)),"")=0,"",IFERROR(INDEX($A$9:$X$304,$AS161,COLUMNS($AV$9:BL160)),""))</f>
        <v>David Nash</v>
      </c>
      <c r="BM161" s="1" t="str">
        <f>IF(IFERROR(INDEX($A$9:$X$304,$AS161,COLUMNS($AV$9:BM160)),"")=0,"",IFERROR(INDEX($A$9:$X$304,$AS161,COLUMNS($AV$9:BM160)),""))</f>
        <v>Uprising: Flames of Scarros</v>
      </c>
      <c r="BN161" s="3" t="b">
        <f>IF(IFERROR(INDEX($A$9:$X$304,$AS161,COLUMNS($AV$9:BN160)),"")=0,"",IFERROR(INDEX($A$9:$X$304,$AS161,COLUMNS($AV$9:BN160)),""))</f>
        <v>0</v>
      </c>
      <c r="BO161" s="3" t="b">
        <f>IF(IFERROR(INDEX($A$9:$X$304,$AS161,COLUMNS($AV$9:BO160)),"")=0,"",IFERROR(INDEX($A$9:$X$304,$AS161,COLUMNS($AV$9:BO160)),""))</f>
        <v>0</v>
      </c>
      <c r="BP161" s="3" t="b">
        <f>IF(IFERROR(INDEX($A$9:$X$304,$AS161,COLUMNS($AV$9:BP160)),"")=0,"",IFERROR(INDEX($A$9:$X$304,$AS161,COLUMNS($AV$9:BP160)),""))</f>
        <v>0</v>
      </c>
      <c r="BQ161" s="3" t="b">
        <f>IF(IFERROR(INDEX($A$9:$X$304,$AS161,COLUMNS($AV$9:BQ160)),"")=0,"",IFERROR(INDEX($A$9:$X$304,$AS161,COLUMNS($AV$9:BQ160)),""))</f>
        <v>0</v>
      </c>
      <c r="BR161" s="3" t="str">
        <f>IF(IFERROR(INDEX($A$9:$X$304,$AS161,COLUMNS($AV$9:BR160)),"")=0,"",IFERROR(INDEX($A$9:$X$304,$AS161,COLUMNS($AV$9:BR160)),""))</f>
        <v>https://www.epiccardgame.com/wp-content/uploads/2017/11/UPS-EN-little-devil.jpg</v>
      </c>
      <c r="BS161" s="3" t="str">
        <f>IF(IFERROR(INDEX($A$9:$X$304,$AS161,COLUMNS($AV$9:BS160)),"")=0,"",IFERROR(INDEX($A$9:$X$304,$AS161,COLUMNS($AV$9:BS160)),""))</f>
        <v/>
      </c>
      <c r="BT161" s="3"/>
      <c r="BU161" s="15"/>
      <c r="BV161" t="s">
        <v>182</v>
      </c>
    </row>
    <row r="162" spans="1:74" ht="225.2" customHeight="1" x14ac:dyDescent="0.25">
      <c r="A162" t="s">
        <v>476</v>
      </c>
      <c r="B162">
        <v>1</v>
      </c>
      <c r="C162" t="s">
        <v>617</v>
      </c>
      <c r="E162" t="s">
        <v>620</v>
      </c>
      <c r="F162">
        <v>5</v>
      </c>
      <c r="G162">
        <v>9</v>
      </c>
      <c r="H162" t="s">
        <v>22</v>
      </c>
      <c r="I162" t="s">
        <v>868</v>
      </c>
      <c r="J162" t="s">
        <v>1003</v>
      </c>
      <c r="O162" t="s">
        <v>1063</v>
      </c>
      <c r="P162" t="s">
        <v>1113</v>
      </c>
      <c r="Q162" t="s">
        <v>1124</v>
      </c>
      <c r="R162" t="s">
        <v>1171</v>
      </c>
      <c r="S162" t="b">
        <v>1</v>
      </c>
      <c r="T162" t="b">
        <v>0</v>
      </c>
      <c r="U162" t="b">
        <v>0</v>
      </c>
      <c r="V162" t="b">
        <v>0</v>
      </c>
      <c r="W162" s="2" t="s">
        <v>1337</v>
      </c>
      <c r="X162" s="2"/>
      <c r="Y162" s="24">
        <v>154</v>
      </c>
      <c r="Z162">
        <f t="shared" si="40"/>
        <v>154</v>
      </c>
      <c r="AA162">
        <f t="shared" si="41"/>
        <v>154</v>
      </c>
      <c r="AB162">
        <f t="shared" si="42"/>
        <v>154</v>
      </c>
      <c r="AC162">
        <f t="shared" si="43"/>
        <v>0</v>
      </c>
      <c r="AD162">
        <f t="shared" si="44"/>
        <v>154</v>
      </c>
      <c r="AE162">
        <f t="shared" si="45"/>
        <v>154</v>
      </c>
      <c r="AF162">
        <f t="shared" si="46"/>
        <v>154</v>
      </c>
      <c r="AG162">
        <f t="shared" si="47"/>
        <v>154</v>
      </c>
      <c r="AH162">
        <f t="shared" si="48"/>
        <v>154</v>
      </c>
      <c r="AI162">
        <f t="shared" si="49"/>
        <v>154</v>
      </c>
      <c r="AJ162">
        <f t="shared" si="50"/>
        <v>0</v>
      </c>
      <c r="AK162">
        <f t="shared" si="51"/>
        <v>0</v>
      </c>
      <c r="AL162">
        <f t="shared" si="52"/>
        <v>0</v>
      </c>
      <c r="AM162">
        <f t="shared" si="53"/>
        <v>0</v>
      </c>
      <c r="AN162">
        <f t="shared" si="54"/>
        <v>154</v>
      </c>
      <c r="AO162">
        <f t="shared" si="55"/>
        <v>154</v>
      </c>
      <c r="AP162">
        <f t="shared" si="56"/>
        <v>154</v>
      </c>
      <c r="AQ162">
        <f t="shared" si="57"/>
        <v>154</v>
      </c>
      <c r="AR162" s="6">
        <f t="shared" si="58"/>
        <v>154</v>
      </c>
      <c r="AS162">
        <f t="shared" si="59"/>
        <v>154</v>
      </c>
      <c r="AV162" s="1" t="str">
        <f>IF(IFERROR(INDEX($A$9:$W$304,$AS162,COLUMNS($AV$9:AV161)),"")=0,"",IFERROR(INDEX($A$9:$W$304,$AS162,COLUMNS($AV$9:AV161)),""))</f>
        <v>Lord of the Arena</v>
      </c>
      <c r="AW162" s="1">
        <f>IFERROR(INDEX($A$9:$W$304,$AS162,COLUMNS($AV$9:AW161)),"")</f>
        <v>1</v>
      </c>
      <c r="AX162" s="1" t="str">
        <f>IF(IFERROR(INDEX($A$9:$X$304,$AS162,COLUMNS($AV$9:AX161)),"")=0,"",IFERROR(INDEX($A$9:$X$304,$AS162,COLUMNS($AV$9:AX161)),""))</f>
        <v>GOOD</v>
      </c>
      <c r="AY162" s="1" t="str">
        <f>IF(IFERROR(INDEX($A$9:$X$304,$AS162,COLUMNS($AV$9:AY161)),"")=0,"",IFERROR(INDEX($A$9:$X$304,$AS162,COLUMNS($AV$9:AY161)),""))</f>
        <v/>
      </c>
      <c r="AZ162" s="1" t="str">
        <f>IF(IFERROR(INDEX($A$9:$X$304,$AS162,COLUMNS($AV$9:AZ161)),"")=0,"",IFERROR(INDEX($A$9:$X$304,$AS162,COLUMNS($AV$9:AZ161)),""))</f>
        <v>CHAMPION</v>
      </c>
      <c r="BA162" s="1">
        <f>IF(IFERROR(INDEX($A$9:$X$304,$AS162,COLUMNS($AV$9:BA161)),"")=0,"",IFERROR(INDEX($A$9:$X$304,$AS162,COLUMNS($AV$9:BA161)),""))</f>
        <v>5</v>
      </c>
      <c r="BB162" s="1">
        <f>IF(IFERROR(INDEX($A$9:$X$304,$AS162,COLUMNS($AV$9:BB161)),"")=0,"",IFERROR(INDEX($A$9:$X$304,$AS162,COLUMNS($AV$9:BB161)),""))</f>
        <v>9</v>
      </c>
      <c r="BC162" s="1" t="str">
        <f>IF(IFERROR(INDEX($A$9:$X$304,$AS162,COLUMNS($AV$9:BC161)),"")=0,"",IFERROR(INDEX($A$9:$X$304,$AS162,COLUMNS($AV$9:BC161)),""))</f>
        <v>Blitz</v>
      </c>
      <c r="BD162" s="1" t="str">
        <f>IF(IFERROR(INDEX($A$9:$X$304,$AS162,COLUMNS($AV$9:BD161)),"")=0,"",IFERROR(INDEX($A$9:$X$304,$AS162,COLUMNS($AV$9:BD161)),""))</f>
        <v>Tribute and/or {good} → This card gains unbreakable and +8 {offense} this turn.</v>
      </c>
      <c r="BE162" s="1" t="str">
        <f>IF(IFERROR(INDEX($A$9:$X$304,$AS162,COLUMNS($AV$9:BE161)),"")=0,"",IFERROR(INDEX($A$9:$X$304,$AS162,COLUMNS($AV$9:BE161)),""))</f>
        <v>This card must be blocked if able.</v>
      </c>
      <c r="BF162" s="1" t="str">
        <f>IF(IFERROR(INDEX($A$9:$X$304,$AS162,COLUMNS($AV$9:BF161)),"")=0,"",IFERROR(INDEX($A$9:$X$304,$AS162,COLUMNS($AV$9:BF161)),""))</f>
        <v/>
      </c>
      <c r="BG162" s="1" t="str">
        <f>IF(IFERROR(INDEX($A$9:$X$304,$AS162,COLUMNS($AV$9:BG161)),"")=0,"",IFERROR(INDEX($A$9:$X$304,$AS162,COLUMNS($AV$9:BG161)),""))</f>
        <v/>
      </c>
      <c r="BH162" s="1" t="str">
        <f>IF(IFERROR(INDEX($A$9:$X$304,$AS162,COLUMNS($AV$9:BH161)),"")=0,"",IFERROR(INDEX($A$9:$X$304,$AS162,COLUMNS($AV$9:BH161)),""))</f>
        <v/>
      </c>
      <c r="BI162" s="1" t="str">
        <f>IF(IFERROR(INDEX($A$9:$X$304,$AS162,COLUMNS($AV$9:BI161)),"")=0,"",IFERROR(INDEX($A$9:$X$304,$AS162,COLUMNS($AV$9:BI161)),""))</f>
        <v/>
      </c>
      <c r="BJ162" s="1" t="str">
        <f>IF(IFERROR(INDEX($A$9:$X$304,$AS162,COLUMNS($AV$9:BJ161)),"")=0,"",IFERROR(INDEX($A$9:$X$304,$AS162,COLUMNS($AV$9:BJ161)),""))</f>
        <v>HUMAN</v>
      </c>
      <c r="BK162" s="1" t="str">
        <f>IF(IFERROR(INDEX($A$9:$X$304,$AS162,COLUMNS($AV$9:BK161)),"")=0,"",IFERROR(INDEX($A$9:$X$304,$AS162,COLUMNS($AV$9:BK161)),""))</f>
        <v>Rare</v>
      </c>
      <c r="BL162" s="1" t="str">
        <f>IF(IFERROR(INDEX($A$9:$X$304,$AS162,COLUMNS($AV$9:BL161)),"")=0,"",IFERROR(INDEX($A$9:$X$304,$AS162,COLUMNS($AV$9:BL161)),""))</f>
        <v>Souveraine</v>
      </c>
      <c r="BM162" s="1" t="str">
        <f>IF(IFERROR(INDEX($A$9:$X$304,$AS162,COLUMNS($AV$9:BM161)),"")=0,"",IFERROR(INDEX($A$9:$X$304,$AS162,COLUMNS($AV$9:BM161)),""))</f>
        <v>Base Set</v>
      </c>
      <c r="BN162" s="3" t="b">
        <f>IF(IFERROR(INDEX($A$9:$X$304,$AS162,COLUMNS($AV$9:BN161)),"")=0,"",IFERROR(INDEX($A$9:$X$304,$AS162,COLUMNS($AV$9:BN161)),""))</f>
        <v>1</v>
      </c>
      <c r="BO162" s="3" t="b">
        <f>IF(IFERROR(INDEX($A$9:$X$304,$AS162,COLUMNS($AV$9:BO161)),"")=0,"",IFERROR(INDEX($A$9:$X$304,$AS162,COLUMNS($AV$9:BO161)),""))</f>
        <v>0</v>
      </c>
      <c r="BP162" s="3" t="b">
        <f>IF(IFERROR(INDEX($A$9:$X$304,$AS162,COLUMNS($AV$9:BP161)),"")=0,"",IFERROR(INDEX($A$9:$X$304,$AS162,COLUMNS($AV$9:BP161)),""))</f>
        <v>0</v>
      </c>
      <c r="BQ162" s="3" t="b">
        <f>IF(IFERROR(INDEX($A$9:$X$304,$AS162,COLUMNS($AV$9:BQ161)),"")=0,"",IFERROR(INDEX($A$9:$X$304,$AS162,COLUMNS($AV$9:BQ161)),""))</f>
        <v>0</v>
      </c>
      <c r="BR162" s="3" t="str">
        <f>IF(IFERROR(INDEX($A$9:$X$304,$AS162,COLUMNS($AV$9:BR161)),"")=0,"",IFERROR(INDEX($A$9:$X$304,$AS162,COLUMNS($AV$9:BR161)),""))</f>
        <v>http://www.epiccardgame.com/wp-content/uploads/2015/09/lord_of_the_arena-215x300.jpg</v>
      </c>
      <c r="BS162" s="3" t="str">
        <f>IF(IFERROR(INDEX($A$9:$X$304,$AS162,COLUMNS($AV$9:BS161)),"")=0,"",IFERROR(INDEX($A$9:$X$304,$AS162,COLUMNS($AV$9:BS161)),""))</f>
        <v/>
      </c>
      <c r="BT162" s="3"/>
      <c r="BU162" s="15"/>
      <c r="BV162" t="s">
        <v>183</v>
      </c>
    </row>
    <row r="163" spans="1:74" ht="225.2" customHeight="1" x14ac:dyDescent="0.25">
      <c r="A163" t="s">
        <v>477</v>
      </c>
      <c r="B163">
        <v>1</v>
      </c>
      <c r="C163" t="s">
        <v>615</v>
      </c>
      <c r="E163" t="s">
        <v>620</v>
      </c>
      <c r="F163">
        <v>11</v>
      </c>
      <c r="G163">
        <v>11</v>
      </c>
      <c r="H163" t="s">
        <v>21</v>
      </c>
      <c r="I163" t="s">
        <v>869</v>
      </c>
      <c r="O163" t="s">
        <v>1089</v>
      </c>
      <c r="P163" t="s">
        <v>1112</v>
      </c>
      <c r="Q163" t="s">
        <v>1118</v>
      </c>
      <c r="R163" t="s">
        <v>1171</v>
      </c>
      <c r="S163" t="b">
        <v>1</v>
      </c>
      <c r="T163" t="b">
        <v>0</v>
      </c>
      <c r="U163" t="b">
        <v>0</v>
      </c>
      <c r="V163" t="b">
        <v>0</v>
      </c>
      <c r="W163" s="2" t="s">
        <v>1338</v>
      </c>
      <c r="X163" s="2"/>
      <c r="Y163" s="24">
        <v>155</v>
      </c>
      <c r="Z163">
        <f t="shared" si="40"/>
        <v>155</v>
      </c>
      <c r="AA163">
        <f t="shared" si="41"/>
        <v>155</v>
      </c>
      <c r="AB163">
        <f t="shared" si="42"/>
        <v>155</v>
      </c>
      <c r="AC163">
        <f t="shared" si="43"/>
        <v>0</v>
      </c>
      <c r="AD163">
        <f t="shared" si="44"/>
        <v>155</v>
      </c>
      <c r="AE163">
        <f t="shared" si="45"/>
        <v>155</v>
      </c>
      <c r="AF163">
        <f t="shared" si="46"/>
        <v>155</v>
      </c>
      <c r="AG163">
        <f t="shared" si="47"/>
        <v>155</v>
      </c>
      <c r="AH163">
        <f t="shared" si="48"/>
        <v>155</v>
      </c>
      <c r="AI163">
        <f t="shared" si="49"/>
        <v>0</v>
      </c>
      <c r="AJ163">
        <f t="shared" si="50"/>
        <v>0</v>
      </c>
      <c r="AK163">
        <f t="shared" si="51"/>
        <v>0</v>
      </c>
      <c r="AL163">
        <f t="shared" si="52"/>
        <v>0</v>
      </c>
      <c r="AM163">
        <f t="shared" si="53"/>
        <v>0</v>
      </c>
      <c r="AN163">
        <f t="shared" si="54"/>
        <v>155</v>
      </c>
      <c r="AO163">
        <f t="shared" si="55"/>
        <v>155</v>
      </c>
      <c r="AP163">
        <f t="shared" si="56"/>
        <v>155</v>
      </c>
      <c r="AQ163">
        <f t="shared" si="57"/>
        <v>155</v>
      </c>
      <c r="AR163" s="6">
        <f t="shared" si="58"/>
        <v>155</v>
      </c>
      <c r="AS163">
        <f t="shared" si="59"/>
        <v>155</v>
      </c>
      <c r="AV163" s="1" t="str">
        <f>IF(IFERROR(INDEX($A$9:$W$304,$AS163,COLUMNS($AV$9:AV162)),"")=0,"",IFERROR(INDEX($A$9:$W$304,$AS163,COLUMNS($AV$9:AV162)),""))</f>
        <v>Lurking Giant</v>
      </c>
      <c r="AW163" s="1">
        <f>IFERROR(INDEX($A$9:$W$304,$AS163,COLUMNS($AV$9:AW162)),"")</f>
        <v>1</v>
      </c>
      <c r="AX163" s="1" t="str">
        <f>IF(IFERROR(INDEX($A$9:$X$304,$AS163,COLUMNS($AV$9:AX162)),"")=0,"",IFERROR(INDEX($A$9:$X$304,$AS163,COLUMNS($AV$9:AX162)),""))</f>
        <v>WILD</v>
      </c>
      <c r="AY163" s="1" t="str">
        <f>IF(IFERROR(INDEX($A$9:$X$304,$AS163,COLUMNS($AV$9:AY162)),"")=0,"",IFERROR(INDEX($A$9:$X$304,$AS163,COLUMNS($AV$9:AY162)),""))</f>
        <v/>
      </c>
      <c r="AZ163" s="1" t="str">
        <f>IF(IFERROR(INDEX($A$9:$X$304,$AS163,COLUMNS($AV$9:AZ162)),"")=0,"",IFERROR(INDEX($A$9:$X$304,$AS163,COLUMNS($AV$9:AZ162)),""))</f>
        <v>CHAMPION</v>
      </c>
      <c r="BA163" s="1">
        <f>IF(IFERROR(INDEX($A$9:$X$304,$AS163,COLUMNS($AV$9:BA162)),"")=0,"",IFERROR(INDEX($A$9:$X$304,$AS163,COLUMNS($AV$9:BA162)),""))</f>
        <v>11</v>
      </c>
      <c r="BB163" s="1">
        <f>IF(IFERROR(INDEX($A$9:$X$304,$AS163,COLUMNS($AV$9:BB162)),"")=0,"",IFERROR(INDEX($A$9:$X$304,$AS163,COLUMNS($AV$9:BB162)),""))</f>
        <v>11</v>
      </c>
      <c r="BC163" s="1" t="str">
        <f>IF(IFERROR(INDEX($A$9:$X$304,$AS163,COLUMNS($AV$9:BC162)),"")=0,"",IFERROR(INDEX($A$9:$X$304,$AS163,COLUMNS($AV$9:BC162)),""))</f>
        <v>Ambush</v>
      </c>
      <c r="BD163" s="1" t="str">
        <f>IF(IFERROR(INDEX($A$9:$X$304,$AS163,COLUMNS($AV$9:BD162)),"")=0,"",IFERROR(INDEX($A$9:$X$304,$AS163,COLUMNS($AV$9:BD162)),""))</f>
        <v>(Cards with ambush may be played any time you can play an event.)</v>
      </c>
      <c r="BE163" s="1" t="str">
        <f>IF(IFERROR(INDEX($A$9:$X$304,$AS163,COLUMNS($AV$9:BE162)),"")=0,"",IFERROR(INDEX($A$9:$X$304,$AS163,COLUMNS($AV$9:BE162)),""))</f>
        <v/>
      </c>
      <c r="BF163" s="1" t="str">
        <f>IF(IFERROR(INDEX($A$9:$X$304,$AS163,COLUMNS($AV$9:BF162)),"")=0,"",IFERROR(INDEX($A$9:$X$304,$AS163,COLUMNS($AV$9:BF162)),""))</f>
        <v/>
      </c>
      <c r="BG163" s="1" t="str">
        <f>IF(IFERROR(INDEX($A$9:$X$304,$AS163,COLUMNS($AV$9:BG162)),"")=0,"",IFERROR(INDEX($A$9:$X$304,$AS163,COLUMNS($AV$9:BG162)),""))</f>
        <v/>
      </c>
      <c r="BH163" s="1" t="str">
        <f>IF(IFERROR(INDEX($A$9:$X$304,$AS163,COLUMNS($AV$9:BH162)),"")=0,"",IFERROR(INDEX($A$9:$X$304,$AS163,COLUMNS($AV$9:BH162)),""))</f>
        <v/>
      </c>
      <c r="BI163" s="1" t="str">
        <f>IF(IFERROR(INDEX($A$9:$X$304,$AS163,COLUMNS($AV$9:BI162)),"")=0,"",IFERROR(INDEX($A$9:$X$304,$AS163,COLUMNS($AV$9:BI162)),""))</f>
        <v/>
      </c>
      <c r="BJ163" s="1" t="str">
        <f>IF(IFERROR(INDEX($A$9:$X$304,$AS163,COLUMNS($AV$9:BJ162)),"")=0,"",IFERROR(INDEX($A$9:$X$304,$AS163,COLUMNS($AV$9:BJ162)),""))</f>
        <v>GIANT</v>
      </c>
      <c r="BK163" s="1" t="str">
        <f>IF(IFERROR(INDEX($A$9:$X$304,$AS163,COLUMNS($AV$9:BK162)),"")=0,"",IFERROR(INDEX($A$9:$X$304,$AS163,COLUMNS($AV$9:BK162)),""))</f>
        <v>Common</v>
      </c>
      <c r="BL163" s="1" t="str">
        <f>IF(IFERROR(INDEX($A$9:$X$304,$AS163,COLUMNS($AV$9:BL162)),"")=0,"",IFERROR(INDEX($A$9:$X$304,$AS163,COLUMNS($AV$9:BL162)),""))</f>
        <v>L.Sean</v>
      </c>
      <c r="BM163" s="1" t="str">
        <f>IF(IFERROR(INDEX($A$9:$X$304,$AS163,COLUMNS($AV$9:BM162)),"")=0,"",IFERROR(INDEX($A$9:$X$304,$AS163,COLUMNS($AV$9:BM162)),""))</f>
        <v>Base Set</v>
      </c>
      <c r="BN163" s="3" t="b">
        <f>IF(IFERROR(INDEX($A$9:$X$304,$AS163,COLUMNS($AV$9:BN162)),"")=0,"",IFERROR(INDEX($A$9:$X$304,$AS163,COLUMNS($AV$9:BN162)),""))</f>
        <v>1</v>
      </c>
      <c r="BO163" s="3" t="b">
        <f>IF(IFERROR(INDEX($A$9:$X$304,$AS163,COLUMNS($AV$9:BO162)),"")=0,"",IFERROR(INDEX($A$9:$X$304,$AS163,COLUMNS($AV$9:BO162)),""))</f>
        <v>0</v>
      </c>
      <c r="BP163" s="3" t="b">
        <f>IF(IFERROR(INDEX($A$9:$X$304,$AS163,COLUMNS($AV$9:BP162)),"")=0,"",IFERROR(INDEX($A$9:$X$304,$AS163,COLUMNS($AV$9:BP162)),""))</f>
        <v>0</v>
      </c>
      <c r="BQ163" s="3" t="b">
        <f>IF(IFERROR(INDEX($A$9:$X$304,$AS163,COLUMNS($AV$9:BQ162)),"")=0,"",IFERROR(INDEX($A$9:$X$304,$AS163,COLUMNS($AV$9:BQ162)),""))</f>
        <v>0</v>
      </c>
      <c r="BR163" s="3" t="str">
        <f>IF(IFERROR(INDEX($A$9:$X$304,$AS163,COLUMNS($AV$9:BR162)),"")=0,"",IFERROR(INDEX($A$9:$X$304,$AS163,COLUMNS($AV$9:BR162)),""))</f>
        <v>http://www.epiccardgame.com/wp-content/uploads/2015/09/lurking_giant-215x300.jpg</v>
      </c>
      <c r="BS163" s="3" t="str">
        <f>IF(IFERROR(INDEX($A$9:$X$304,$AS163,COLUMNS($AV$9:BS162)),"")=0,"",IFERROR(INDEX($A$9:$X$304,$AS163,COLUMNS($AV$9:BS162)),""))</f>
        <v/>
      </c>
      <c r="BT163" s="3"/>
      <c r="BU163" s="15"/>
      <c r="BV163" t="s">
        <v>184</v>
      </c>
    </row>
    <row r="164" spans="1:74" ht="225" customHeight="1" x14ac:dyDescent="0.25">
      <c r="A164" t="s">
        <v>478</v>
      </c>
      <c r="B164">
        <v>1</v>
      </c>
      <c r="C164" t="s">
        <v>616</v>
      </c>
      <c r="E164" t="s">
        <v>619</v>
      </c>
      <c r="H164" t="s">
        <v>627</v>
      </c>
      <c r="I164" t="s">
        <v>870</v>
      </c>
      <c r="O164" t="s">
        <v>1062</v>
      </c>
      <c r="P164" t="s">
        <v>1112</v>
      </c>
      <c r="Q164" t="s">
        <v>1124</v>
      </c>
      <c r="R164" t="s">
        <v>1171</v>
      </c>
      <c r="S164" t="b">
        <v>1</v>
      </c>
      <c r="T164" t="b">
        <v>1</v>
      </c>
      <c r="U164" t="b">
        <v>0</v>
      </c>
      <c r="V164" t="b">
        <v>0</v>
      </c>
      <c r="W164" s="2" t="s">
        <v>1339</v>
      </c>
      <c r="X164" s="2"/>
      <c r="Y164" s="24">
        <v>156</v>
      </c>
      <c r="Z164">
        <f t="shared" si="40"/>
        <v>156</v>
      </c>
      <c r="AA164">
        <f t="shared" si="41"/>
        <v>156</v>
      </c>
      <c r="AB164">
        <f t="shared" si="42"/>
        <v>156</v>
      </c>
      <c r="AC164">
        <f t="shared" si="43"/>
        <v>0</v>
      </c>
      <c r="AD164">
        <f t="shared" si="44"/>
        <v>156</v>
      </c>
      <c r="AE164">
        <f t="shared" si="45"/>
        <v>0</v>
      </c>
      <c r="AF164">
        <f t="shared" si="46"/>
        <v>0</v>
      </c>
      <c r="AG164">
        <f t="shared" si="47"/>
        <v>156</v>
      </c>
      <c r="AH164">
        <f t="shared" si="48"/>
        <v>156</v>
      </c>
      <c r="AI164">
        <f t="shared" si="49"/>
        <v>0</v>
      </c>
      <c r="AJ164">
        <f t="shared" si="50"/>
        <v>0</v>
      </c>
      <c r="AK164">
        <f t="shared" si="51"/>
        <v>0</v>
      </c>
      <c r="AL164">
        <f t="shared" si="52"/>
        <v>0</v>
      </c>
      <c r="AM164">
        <f t="shared" si="53"/>
        <v>0</v>
      </c>
      <c r="AN164">
        <f t="shared" si="54"/>
        <v>156</v>
      </c>
      <c r="AO164">
        <f t="shared" si="55"/>
        <v>156</v>
      </c>
      <c r="AP164">
        <f t="shared" si="56"/>
        <v>156</v>
      </c>
      <c r="AQ164">
        <f t="shared" si="57"/>
        <v>156</v>
      </c>
      <c r="AR164" s="6">
        <f t="shared" si="58"/>
        <v>156</v>
      </c>
      <c r="AS164">
        <f t="shared" si="59"/>
        <v>156</v>
      </c>
      <c r="AV164" s="1" t="str">
        <f>IF(IFERROR(INDEX($A$9:$W$304,$AS164,COLUMNS($AV$9:AV163)),"")=0,"",IFERROR(INDEX($A$9:$W$304,$AS164,COLUMNS($AV$9:AV163)),""))</f>
        <v>Lying in Wait</v>
      </c>
      <c r="AW164" s="1">
        <f>IFERROR(INDEX($A$9:$W$304,$AS164,COLUMNS($AV$9:AW163)),"")</f>
        <v>1</v>
      </c>
      <c r="AX164" s="1" t="str">
        <f>IF(IFERROR(INDEX($A$9:$X$304,$AS164,COLUMNS($AV$9:AX163)),"")=0,"",IFERROR(INDEX($A$9:$X$304,$AS164,COLUMNS($AV$9:AX163)),""))</f>
        <v>SAGE</v>
      </c>
      <c r="AY164" s="1" t="str">
        <f>IF(IFERROR(INDEX($A$9:$X$304,$AS164,COLUMNS($AV$9:AY163)),"")=0,"",IFERROR(INDEX($A$9:$X$304,$AS164,COLUMNS($AV$9:AY163)),""))</f>
        <v/>
      </c>
      <c r="AZ164" s="1" t="str">
        <f>IF(IFERROR(INDEX($A$9:$X$304,$AS164,COLUMNS($AV$9:AZ163)),"")=0,"",IFERROR(INDEX($A$9:$X$304,$AS164,COLUMNS($AV$9:AZ163)),""))</f>
        <v>EVENT</v>
      </c>
      <c r="BA164" s="1" t="str">
        <f>IF(IFERROR(INDEX($A$9:$X$304,$AS164,COLUMNS($AV$9:BA163)),"")=0,"",IFERROR(INDEX($A$9:$X$304,$AS164,COLUMNS($AV$9:BA163)),""))</f>
        <v/>
      </c>
      <c r="BB164" s="1" t="str">
        <f>IF(IFERROR(INDEX($A$9:$X$304,$AS164,COLUMNS($AV$9:BB163)),"")=0,"",IFERROR(INDEX($A$9:$X$304,$AS164,COLUMNS($AV$9:BB163)),""))</f>
        <v/>
      </c>
      <c r="BC164" s="1" t="str">
        <f>IF(IFERROR(INDEX($A$9:$X$304,$AS164,COLUMNS($AV$9:BC163)),"")=0,"",IFERROR(INDEX($A$9:$X$304,$AS164,COLUMNS($AV$9:BC163)),""))</f>
        <v>Draw two cards.</v>
      </c>
      <c r="BD164" s="1" t="str">
        <f>IF(IFERROR(INDEX($A$9:$X$304,$AS164,COLUMNS($AV$9:BD163)),"")=0,"",IFERROR(INDEX($A$9:$X$304,$AS164,COLUMNS($AV$9:BD163)),""))</f>
        <v>If a champion is attacking alone, banish it.</v>
      </c>
      <c r="BE164" s="1" t="str">
        <f>IF(IFERROR(INDEX($A$9:$X$304,$AS164,COLUMNS($AV$9:BE163)),"")=0,"",IFERROR(INDEX($A$9:$X$304,$AS164,COLUMNS($AV$9:BE163)),""))</f>
        <v/>
      </c>
      <c r="BF164" s="1" t="str">
        <f>IF(IFERROR(INDEX($A$9:$X$304,$AS164,COLUMNS($AV$9:BF163)),"")=0,"",IFERROR(INDEX($A$9:$X$304,$AS164,COLUMNS($AV$9:BF163)),""))</f>
        <v/>
      </c>
      <c r="BG164" s="1" t="str">
        <f>IF(IFERROR(INDEX($A$9:$X$304,$AS164,COLUMNS($AV$9:BG163)),"")=0,"",IFERROR(INDEX($A$9:$X$304,$AS164,COLUMNS($AV$9:BG163)),""))</f>
        <v/>
      </c>
      <c r="BH164" s="1" t="str">
        <f>IF(IFERROR(INDEX($A$9:$X$304,$AS164,COLUMNS($AV$9:BH163)),"")=0,"",IFERROR(INDEX($A$9:$X$304,$AS164,COLUMNS($AV$9:BH163)),""))</f>
        <v/>
      </c>
      <c r="BI164" s="1" t="str">
        <f>IF(IFERROR(INDEX($A$9:$X$304,$AS164,COLUMNS($AV$9:BI163)),"")=0,"",IFERROR(INDEX($A$9:$X$304,$AS164,COLUMNS($AV$9:BI163)),""))</f>
        <v/>
      </c>
      <c r="BJ164" s="1" t="str">
        <f>IF(IFERROR(INDEX($A$9:$X$304,$AS164,COLUMNS($AV$9:BJ163)),"")=0,"",IFERROR(INDEX($A$9:$X$304,$AS164,COLUMNS($AV$9:BJ163)),""))</f>
        <v>None</v>
      </c>
      <c r="BK164" s="1" t="str">
        <f>IF(IFERROR(INDEX($A$9:$X$304,$AS164,COLUMNS($AV$9:BK163)),"")=0,"",IFERROR(INDEX($A$9:$X$304,$AS164,COLUMNS($AV$9:BK163)),""))</f>
        <v>Common</v>
      </c>
      <c r="BL164" s="1" t="str">
        <f>IF(IFERROR(INDEX($A$9:$X$304,$AS164,COLUMNS($AV$9:BL163)),"")=0,"",IFERROR(INDEX($A$9:$X$304,$AS164,COLUMNS($AV$9:BL163)),""))</f>
        <v>Souveraine</v>
      </c>
      <c r="BM164" s="1" t="str">
        <f>IF(IFERROR(INDEX($A$9:$X$304,$AS164,COLUMNS($AV$9:BM163)),"")=0,"",IFERROR(INDEX($A$9:$X$304,$AS164,COLUMNS($AV$9:BM163)),""))</f>
        <v>Base Set</v>
      </c>
      <c r="BN164" s="3" t="b">
        <f>IF(IFERROR(INDEX($A$9:$X$304,$AS164,COLUMNS($AV$9:BN163)),"")=0,"",IFERROR(INDEX($A$9:$X$304,$AS164,COLUMNS($AV$9:BN163)),""))</f>
        <v>1</v>
      </c>
      <c r="BO164" s="3" t="b">
        <f>IF(IFERROR(INDEX($A$9:$X$304,$AS164,COLUMNS($AV$9:BO163)),"")=0,"",IFERROR(INDEX($A$9:$X$304,$AS164,COLUMNS($AV$9:BO163)),""))</f>
        <v>1</v>
      </c>
      <c r="BP164" s="3" t="b">
        <f>IF(IFERROR(INDEX($A$9:$X$304,$AS164,COLUMNS($AV$9:BP163)),"")=0,"",IFERROR(INDEX($A$9:$X$304,$AS164,COLUMNS($AV$9:BP163)),""))</f>
        <v>0</v>
      </c>
      <c r="BQ164" s="3" t="b">
        <f>IF(IFERROR(INDEX($A$9:$X$304,$AS164,COLUMNS($AV$9:BQ163)),"")=0,"",IFERROR(INDEX($A$9:$X$304,$AS164,COLUMNS($AV$9:BQ163)),""))</f>
        <v>0</v>
      </c>
      <c r="BR164" s="3" t="str">
        <f>IF(IFERROR(INDEX($A$9:$X$304,$AS164,COLUMNS($AV$9:BR163)),"")=0,"",IFERROR(INDEX($A$9:$X$304,$AS164,COLUMNS($AV$9:BR163)),""))</f>
        <v>http://www.epiccardgame.com/wp-content/uploads/2015/09/lying_in_wait-215x300.jpg</v>
      </c>
      <c r="BS164" s="3" t="str">
        <f>IF(IFERROR(INDEX($A$9:$X$304,$AS164,COLUMNS($AV$9:BS163)),"")=0,"",IFERROR(INDEX($A$9:$X$304,$AS164,COLUMNS($AV$9:BS163)),""))</f>
        <v/>
      </c>
      <c r="BT164" s="3"/>
      <c r="BU164" s="15"/>
      <c r="BV164" t="s">
        <v>185</v>
      </c>
    </row>
    <row r="165" spans="1:74" ht="161.25" customHeight="1" x14ac:dyDescent="0.25">
      <c r="A165" t="s">
        <v>479</v>
      </c>
      <c r="B165">
        <v>0</v>
      </c>
      <c r="C165" t="s">
        <v>616</v>
      </c>
      <c r="D165" t="s">
        <v>618</v>
      </c>
      <c r="E165" t="s">
        <v>621</v>
      </c>
      <c r="H165" t="s">
        <v>703</v>
      </c>
      <c r="O165" t="s">
        <v>1090</v>
      </c>
      <c r="Q165" t="s">
        <v>1127</v>
      </c>
      <c r="R165" t="s">
        <v>1174</v>
      </c>
      <c r="S165" t="b">
        <v>0</v>
      </c>
      <c r="T165" t="b">
        <v>0</v>
      </c>
      <c r="U165" t="b">
        <v>0</v>
      </c>
      <c r="V165" t="b">
        <v>0</v>
      </c>
      <c r="W165" s="2" t="s">
        <v>1340</v>
      </c>
      <c r="X165" s="2"/>
      <c r="Y165" s="24">
        <v>157</v>
      </c>
      <c r="Z165">
        <f t="shared" si="40"/>
        <v>157</v>
      </c>
      <c r="AA165">
        <f t="shared" si="41"/>
        <v>157</v>
      </c>
      <c r="AB165">
        <f t="shared" si="42"/>
        <v>157</v>
      </c>
      <c r="AC165">
        <f t="shared" si="43"/>
        <v>157</v>
      </c>
      <c r="AD165">
        <f t="shared" si="44"/>
        <v>157</v>
      </c>
      <c r="AE165">
        <f t="shared" si="45"/>
        <v>0</v>
      </c>
      <c r="AF165">
        <f t="shared" si="46"/>
        <v>0</v>
      </c>
      <c r="AG165">
        <f t="shared" si="47"/>
        <v>157</v>
      </c>
      <c r="AH165">
        <f t="shared" si="48"/>
        <v>0</v>
      </c>
      <c r="AI165">
        <f t="shared" si="49"/>
        <v>0</v>
      </c>
      <c r="AJ165">
        <f t="shared" si="50"/>
        <v>0</v>
      </c>
      <c r="AK165">
        <f t="shared" si="51"/>
        <v>0</v>
      </c>
      <c r="AL165">
        <f t="shared" si="52"/>
        <v>0</v>
      </c>
      <c r="AM165">
        <f t="shared" si="53"/>
        <v>0</v>
      </c>
      <c r="AN165">
        <f t="shared" si="54"/>
        <v>157</v>
      </c>
      <c r="AO165">
        <f t="shared" si="55"/>
        <v>0</v>
      </c>
      <c r="AP165">
        <f t="shared" si="56"/>
        <v>157</v>
      </c>
      <c r="AQ165">
        <f t="shared" si="57"/>
        <v>157</v>
      </c>
      <c r="AR165" s="6">
        <f t="shared" si="58"/>
        <v>157</v>
      </c>
      <c r="AS165">
        <f t="shared" si="59"/>
        <v>157</v>
      </c>
      <c r="AV165" s="1" t="str">
        <f>IF(IFERROR(INDEX($A$9:$W$304,$AS165,COLUMNS($AV$9:AV164)),"")=0,"",IFERROR(INDEX($A$9:$W$304,$AS165,COLUMNS($AV$9:AV164)),""))</f>
        <v>Maligus, the Dark One</v>
      </c>
      <c r="AW165" s="1">
        <f>IFERROR(INDEX($A$9:$W$304,$AS165,COLUMNS($AV$9:AW164)),"")</f>
        <v>0</v>
      </c>
      <c r="AX165" s="1" t="str">
        <f>IF(IFERROR(INDEX($A$9:$X$304,$AS165,COLUMNS($AV$9:AX164)),"")=0,"",IFERROR(INDEX($A$9:$X$304,$AS165,COLUMNS($AV$9:AX164)),""))</f>
        <v>SAGE</v>
      </c>
      <c r="AY165" s="1" t="str">
        <f>IF(IFERROR(INDEX($A$9:$X$304,$AS165,COLUMNS($AV$9:AY164)),"")=0,"",IFERROR(INDEX($A$9:$X$304,$AS165,COLUMNS($AV$9:AY164)),""))</f>
        <v>EVIL</v>
      </c>
      <c r="AZ165" s="1" t="str">
        <f>IF(IFERROR(INDEX($A$9:$X$304,$AS165,COLUMNS($AV$9:AZ164)),"")=0,"",IFERROR(INDEX($A$9:$X$304,$AS165,COLUMNS($AV$9:AZ164)),""))</f>
        <v>DEITY</v>
      </c>
      <c r="BA165" s="1" t="str">
        <f>IF(IFERROR(INDEX($A$9:$X$304,$AS165,COLUMNS($AV$9:BA164)),"")=0,"",IFERROR(INDEX($A$9:$X$304,$AS165,COLUMNS($AV$9:BA164)),""))</f>
        <v/>
      </c>
      <c r="BB165" s="1" t="str">
        <f>IF(IFERROR(INDEX($A$9:$X$304,$AS165,COLUMNS($AV$9:BB164)),"")=0,"",IFERROR(INDEX($A$9:$X$304,$AS165,COLUMNS($AV$9:BB164)),""))</f>
        <v/>
      </c>
      <c r="BC165" s="1" t="str">
        <f>IF(IFERROR(INDEX($A$9:$X$304,$AS165,COLUMNS($AV$9:BC164)),"")=0,"",IFERROR(INDEX($A$9:$X$304,$AS165,COLUMNS($AV$9:BC164)),""))</f>
        <v>At the start of your turn → Either return target champion to its owner’s hand and that player discards a card, or put two zombie tokens into play and gain 4 health.</v>
      </c>
      <c r="BD165" s="1" t="str">
        <f>IF(IFERROR(INDEX($A$9:$X$304,$AS165,COLUMNS($AV$9:BD164)),"")=0,"",IFERROR(INDEX($A$9:$X$304,$AS165,COLUMNS($AV$9:BD164)),""))</f>
        <v/>
      </c>
      <c r="BE165" s="1" t="str">
        <f>IF(IFERROR(INDEX($A$9:$X$304,$AS165,COLUMNS($AV$9:BE164)),"")=0,"",IFERROR(INDEX($A$9:$X$304,$AS165,COLUMNS($AV$9:BE164)),""))</f>
        <v/>
      </c>
      <c r="BF165" s="1" t="str">
        <f>IF(IFERROR(INDEX($A$9:$X$304,$AS165,COLUMNS($AV$9:BF164)),"")=0,"",IFERROR(INDEX($A$9:$X$304,$AS165,COLUMNS($AV$9:BF164)),""))</f>
        <v/>
      </c>
      <c r="BG165" s="1" t="str">
        <f>IF(IFERROR(INDEX($A$9:$X$304,$AS165,COLUMNS($AV$9:BG164)),"")=0,"",IFERROR(INDEX($A$9:$X$304,$AS165,COLUMNS($AV$9:BG164)),""))</f>
        <v/>
      </c>
      <c r="BH165" s="1" t="str">
        <f>IF(IFERROR(INDEX($A$9:$X$304,$AS165,COLUMNS($AV$9:BH164)),"")=0,"",IFERROR(INDEX($A$9:$X$304,$AS165,COLUMNS($AV$9:BH164)),""))</f>
        <v/>
      </c>
      <c r="BI165" s="1" t="str">
        <f>IF(IFERROR(INDEX($A$9:$X$304,$AS165,COLUMNS($AV$9:BI164)),"")=0,"",IFERROR(INDEX($A$9:$X$304,$AS165,COLUMNS($AV$9:BI164)),""))</f>
        <v/>
      </c>
      <c r="BJ165" s="1" t="str">
        <f>IF(IFERROR(INDEX($A$9:$X$304,$AS165,COLUMNS($AV$9:BJ164)),"")=0,"",IFERROR(INDEX($A$9:$X$304,$AS165,COLUMNS($AV$9:BJ164)),""))</f>
        <v>Elder God</v>
      </c>
      <c r="BK165" s="1" t="str">
        <f>IF(IFERROR(INDEX($A$9:$X$304,$AS165,COLUMNS($AV$9:BK164)),"")=0,"",IFERROR(INDEX($A$9:$X$304,$AS165,COLUMNS($AV$9:BK164)),""))</f>
        <v/>
      </c>
      <c r="BL165" s="1" t="str">
        <f>IF(IFERROR(INDEX($A$9:$X$304,$AS165,COLUMNS($AV$9:BL164)),"")=0,"",IFERROR(INDEX($A$9:$X$304,$AS165,COLUMNS($AV$9:BL164)),""))</f>
        <v>Johnny Morrow</v>
      </c>
      <c r="BM165" s="1" t="str">
        <f>IF(IFERROR(INDEX($A$9:$X$304,$AS165,COLUMNS($AV$9:BM164)),"")=0,"",IFERROR(INDEX($A$9:$X$304,$AS165,COLUMNS($AV$9:BM164)),""))</f>
        <v>Pantheon: Furios vs Maligus</v>
      </c>
      <c r="BN165" s="3" t="b">
        <f>IF(IFERROR(INDEX($A$9:$X$304,$AS165,COLUMNS($AV$9:BN164)),"")=0,"",IFERROR(INDEX($A$9:$X$304,$AS165,COLUMNS($AV$9:BN164)),""))</f>
        <v>0</v>
      </c>
      <c r="BO165" s="3" t="b">
        <f>IF(IFERROR(INDEX($A$9:$X$304,$AS165,COLUMNS($AV$9:BO164)),"")=0,"",IFERROR(INDEX($A$9:$X$304,$AS165,COLUMNS($AV$9:BO164)),""))</f>
        <v>0</v>
      </c>
      <c r="BP165" s="3" t="b">
        <f>IF(IFERROR(INDEX($A$9:$X$304,$AS165,COLUMNS($AV$9:BP164)),"")=0,"",IFERROR(INDEX($A$9:$X$304,$AS165,COLUMNS($AV$9:BP164)),""))</f>
        <v>0</v>
      </c>
      <c r="BQ165" s="3" t="b">
        <f>IF(IFERROR(INDEX($A$9:$X$304,$AS165,COLUMNS($AV$9:BQ164)),"")=0,"",IFERROR(INDEX($A$9:$X$304,$AS165,COLUMNS($AV$9:BQ164)),""))</f>
        <v>0</v>
      </c>
      <c r="BR165" s="3" t="str">
        <f>IF(IFERROR(INDEX($A$9:$X$304,$AS165,COLUMNS($AV$9:BR164)),"")=0,"",IFERROR(INDEX($A$9:$X$304,$AS165,COLUMNS($AV$9:BR164)),""))</f>
        <v>https://www.epiccardgame.com/wp-content/uploads/2017/11/PNF-EN-09-maligus.jpg</v>
      </c>
      <c r="BS165" s="3" t="str">
        <f>IF(IFERROR(INDEX($A$9:$X$304,$AS165,COLUMNS($AV$9:BS164)),"")=0,"",IFERROR(INDEX($A$9:$X$304,$AS165,COLUMNS($AV$9:BS164)),""))</f>
        <v/>
      </c>
      <c r="BT165" s="3"/>
      <c r="BU165" s="15"/>
      <c r="BV165" t="s">
        <v>186</v>
      </c>
    </row>
    <row r="166" spans="1:74" ht="225.2" customHeight="1" x14ac:dyDescent="0.25">
      <c r="A166" t="s">
        <v>480</v>
      </c>
      <c r="B166">
        <v>1</v>
      </c>
      <c r="C166" t="s">
        <v>617</v>
      </c>
      <c r="E166" t="s">
        <v>620</v>
      </c>
      <c r="F166">
        <v>10</v>
      </c>
      <c r="G166">
        <v>10</v>
      </c>
      <c r="H166" t="s">
        <v>704</v>
      </c>
      <c r="I166" t="s">
        <v>871</v>
      </c>
      <c r="J166" t="s">
        <v>854</v>
      </c>
      <c r="O166" t="s">
        <v>1094</v>
      </c>
      <c r="P166" t="s">
        <v>1113</v>
      </c>
      <c r="Q166" t="s">
        <v>1143</v>
      </c>
      <c r="R166" t="s">
        <v>1176</v>
      </c>
      <c r="S166" t="b">
        <v>1</v>
      </c>
      <c r="T166" t="b">
        <v>0</v>
      </c>
      <c r="U166" t="b">
        <v>0</v>
      </c>
      <c r="V166" t="b">
        <v>0</v>
      </c>
      <c r="W166" s="2" t="s">
        <v>1341</v>
      </c>
      <c r="X166" s="2"/>
      <c r="Y166" s="24">
        <v>158</v>
      </c>
      <c r="Z166">
        <f t="shared" si="40"/>
        <v>158</v>
      </c>
      <c r="AA166">
        <f t="shared" si="41"/>
        <v>158</v>
      </c>
      <c r="AB166">
        <f t="shared" si="42"/>
        <v>158</v>
      </c>
      <c r="AC166">
        <f t="shared" si="43"/>
        <v>0</v>
      </c>
      <c r="AD166">
        <f t="shared" si="44"/>
        <v>158</v>
      </c>
      <c r="AE166">
        <f t="shared" si="45"/>
        <v>158</v>
      </c>
      <c r="AF166">
        <f t="shared" si="46"/>
        <v>158</v>
      </c>
      <c r="AG166">
        <f t="shared" si="47"/>
        <v>158</v>
      </c>
      <c r="AH166">
        <f t="shared" si="48"/>
        <v>158</v>
      </c>
      <c r="AI166">
        <f t="shared" si="49"/>
        <v>158</v>
      </c>
      <c r="AJ166">
        <f t="shared" si="50"/>
        <v>0</v>
      </c>
      <c r="AK166">
        <f t="shared" si="51"/>
        <v>0</v>
      </c>
      <c r="AL166">
        <f t="shared" si="52"/>
        <v>0</v>
      </c>
      <c r="AM166">
        <f t="shared" si="53"/>
        <v>0</v>
      </c>
      <c r="AN166">
        <f t="shared" si="54"/>
        <v>158</v>
      </c>
      <c r="AO166">
        <f t="shared" si="55"/>
        <v>158</v>
      </c>
      <c r="AP166">
        <f t="shared" si="56"/>
        <v>158</v>
      </c>
      <c r="AQ166">
        <f t="shared" si="57"/>
        <v>158</v>
      </c>
      <c r="AR166" s="6">
        <f t="shared" si="58"/>
        <v>158</v>
      </c>
      <c r="AS166">
        <f t="shared" si="59"/>
        <v>158</v>
      </c>
      <c r="AV166" s="1" t="str">
        <f>IF(IFERROR(INDEX($A$9:$W$304,$AS166,COLUMNS($AV$9:AV165)),"")=0,"",IFERROR(INDEX($A$9:$W$304,$AS166,COLUMNS($AV$9:AV165)),""))</f>
        <v>Markus, Watch Captain</v>
      </c>
      <c r="AW166" s="1">
        <f>IFERROR(INDEX($A$9:$W$304,$AS166,COLUMNS($AV$9:AW165)),"")</f>
        <v>1</v>
      </c>
      <c r="AX166" s="1" t="str">
        <f>IF(IFERROR(INDEX($A$9:$X$304,$AS166,COLUMNS($AV$9:AX165)),"")=0,"",IFERROR(INDEX($A$9:$X$304,$AS166,COLUMNS($AV$9:AX165)),""))</f>
        <v>GOOD</v>
      </c>
      <c r="AY166" s="1" t="str">
        <f>IF(IFERROR(INDEX($A$9:$X$304,$AS166,COLUMNS($AV$9:AY165)),"")=0,"",IFERROR(INDEX($A$9:$X$304,$AS166,COLUMNS($AV$9:AY165)),""))</f>
        <v/>
      </c>
      <c r="AZ166" s="1" t="str">
        <f>IF(IFERROR(INDEX($A$9:$X$304,$AS166,COLUMNS($AV$9:AZ165)),"")=0,"",IFERROR(INDEX($A$9:$X$304,$AS166,COLUMNS($AV$9:AZ165)),""))</f>
        <v>CHAMPION</v>
      </c>
      <c r="BA166" s="1">
        <f>IF(IFERROR(INDEX($A$9:$X$304,$AS166,COLUMNS($AV$9:BA165)),"")=0,"",IFERROR(INDEX($A$9:$X$304,$AS166,COLUMNS($AV$9:BA165)),""))</f>
        <v>10</v>
      </c>
      <c r="BB166" s="1">
        <f>IF(IFERROR(INDEX($A$9:$X$304,$AS166,COLUMNS($AV$9:BB165)),"")=0,"",IFERROR(INDEX($A$9:$X$304,$AS166,COLUMNS($AV$9:BB165)),""))</f>
        <v>10</v>
      </c>
      <c r="BC166" s="1" t="str">
        <f>IF(IFERROR(INDEX($A$9:$X$304,$AS166,COLUMNS($AV$9:BC165)),"")=0,"",IFERROR(INDEX($A$9:$X$304,$AS166,COLUMNS($AV$9:BC165)),""))</f>
        <v>If an opponent causes you to discard this card, put it into play instead.</v>
      </c>
      <c r="BD166" s="1" t="str">
        <f>IF(IFERROR(INDEX($A$9:$X$304,$AS166,COLUMNS($AV$9:BD165)),"")=0,"",IFERROR(INDEX($A$9:$X$304,$AS166,COLUMNS($AV$9:BD165)),""))</f>
        <v>Tribute → You may banish up to three target token champions.</v>
      </c>
      <c r="BE166" s="1" t="str">
        <f>IF(IFERROR(INDEX($A$9:$X$304,$AS166,COLUMNS($AV$9:BE165)),"")=0,"",IFERROR(INDEX($A$9:$X$304,$AS166,COLUMNS($AV$9:BE165)),""))</f>
        <v>Loyalty 2 → Draw a card.</v>
      </c>
      <c r="BF166" s="1" t="str">
        <f>IF(IFERROR(INDEX($A$9:$X$304,$AS166,COLUMNS($AV$9:BF165)),"")=0,"",IFERROR(INDEX($A$9:$X$304,$AS166,COLUMNS($AV$9:BF165)),""))</f>
        <v/>
      </c>
      <c r="BG166" s="1" t="str">
        <f>IF(IFERROR(INDEX($A$9:$X$304,$AS166,COLUMNS($AV$9:BG165)),"")=0,"",IFERROR(INDEX($A$9:$X$304,$AS166,COLUMNS($AV$9:BG165)),""))</f>
        <v/>
      </c>
      <c r="BH166" s="1" t="str">
        <f>IF(IFERROR(INDEX($A$9:$X$304,$AS166,COLUMNS($AV$9:BH165)),"")=0,"",IFERROR(INDEX($A$9:$X$304,$AS166,COLUMNS($AV$9:BH165)),""))</f>
        <v/>
      </c>
      <c r="BI166" s="1" t="str">
        <f>IF(IFERROR(INDEX($A$9:$X$304,$AS166,COLUMNS($AV$9:BI165)),"")=0,"",IFERROR(INDEX($A$9:$X$304,$AS166,COLUMNS($AV$9:BI165)),""))</f>
        <v/>
      </c>
      <c r="BJ166" s="1" t="str">
        <f>IF(IFERROR(INDEX($A$9:$X$304,$AS166,COLUMNS($AV$9:BJ165)),"")=0,"",IFERROR(INDEX($A$9:$X$304,$AS166,COLUMNS($AV$9:BJ165)),""))</f>
        <v>HUMAN TYRANT</v>
      </c>
      <c r="BK166" s="1" t="str">
        <f>IF(IFERROR(INDEX($A$9:$X$304,$AS166,COLUMNS($AV$9:BK165)),"")=0,"",IFERROR(INDEX($A$9:$X$304,$AS166,COLUMNS($AV$9:BK165)),""))</f>
        <v>Rare</v>
      </c>
      <c r="BL166" s="1" t="str">
        <f>IF(IFERROR(INDEX($A$9:$X$304,$AS166,COLUMNS($AV$9:BL165)),"")=0,"",IFERROR(INDEX($A$9:$X$304,$AS166,COLUMNS($AV$9:BL165)),""))</f>
        <v>Ina Wong</v>
      </c>
      <c r="BM166" s="1" t="str">
        <f>IF(IFERROR(INDEX($A$9:$X$304,$AS166,COLUMNS($AV$9:BM165)),"")=0,"",IFERROR(INDEX($A$9:$X$304,$AS166,COLUMNS($AV$9:BM165)),""))</f>
        <v>Tyrants: Markus' Command</v>
      </c>
      <c r="BN166" s="3" t="b">
        <f>IF(IFERROR(INDEX($A$9:$X$304,$AS166,COLUMNS($AV$9:BN165)),"")=0,"",IFERROR(INDEX($A$9:$X$304,$AS166,COLUMNS($AV$9:BN165)),""))</f>
        <v>1</v>
      </c>
      <c r="BO166" s="3" t="b">
        <f>IF(IFERROR(INDEX($A$9:$X$304,$AS166,COLUMNS($AV$9:BO165)),"")=0,"",IFERROR(INDEX($A$9:$X$304,$AS166,COLUMNS($AV$9:BO165)),""))</f>
        <v>0</v>
      </c>
      <c r="BP166" s="3" t="b">
        <f>IF(IFERROR(INDEX($A$9:$X$304,$AS166,COLUMNS($AV$9:BP165)),"")=0,"",IFERROR(INDEX($A$9:$X$304,$AS166,COLUMNS($AV$9:BP165)),""))</f>
        <v>0</v>
      </c>
      <c r="BQ166" s="3" t="b">
        <f>IF(IFERROR(INDEX($A$9:$X$304,$AS166,COLUMNS($AV$9:BQ165)),"")=0,"",IFERROR(INDEX($A$9:$X$304,$AS166,COLUMNS($AV$9:BQ165)),""))</f>
        <v>0</v>
      </c>
      <c r="BR166" s="3" t="str">
        <f>IF(IFERROR(INDEX($A$9:$X$304,$AS166,COLUMNS($AV$9:BR165)),"")=0,"",IFERROR(INDEX($A$9:$X$304,$AS166,COLUMNS($AV$9:BR165)),""))</f>
        <v>http://www.epiccardgame.com/wp-content/uploads/2016/03/markus_watch_captain-214x300.jpg</v>
      </c>
      <c r="BS166" s="3" t="str">
        <f>IF(IFERROR(INDEX($A$9:$X$304,$AS166,COLUMNS($AV$9:BS165)),"")=0,"",IFERROR(INDEX($A$9:$X$304,$AS166,COLUMNS($AV$9:BS165)),""))</f>
        <v/>
      </c>
      <c r="BT166" s="3"/>
      <c r="BU166" s="15"/>
      <c r="BV166" t="s">
        <v>187</v>
      </c>
    </row>
    <row r="167" spans="1:74" ht="225.2" customHeight="1" x14ac:dyDescent="0.25">
      <c r="A167" t="s">
        <v>481</v>
      </c>
      <c r="B167">
        <v>1</v>
      </c>
      <c r="C167" t="s">
        <v>617</v>
      </c>
      <c r="E167" t="s">
        <v>619</v>
      </c>
      <c r="H167" t="s">
        <v>705</v>
      </c>
      <c r="I167" t="s">
        <v>872</v>
      </c>
      <c r="J167" t="s">
        <v>1004</v>
      </c>
      <c r="O167" t="s">
        <v>1062</v>
      </c>
      <c r="P167" t="s">
        <v>1112</v>
      </c>
      <c r="Q167" t="s">
        <v>1135</v>
      </c>
      <c r="R167" t="s">
        <v>1181</v>
      </c>
      <c r="S167" t="b">
        <v>1</v>
      </c>
      <c r="T167" t="b">
        <v>1</v>
      </c>
      <c r="U167" t="b">
        <v>0</v>
      </c>
      <c r="V167" t="b">
        <v>0</v>
      </c>
      <c r="W167" s="2" t="s">
        <v>1342</v>
      </c>
      <c r="X167" s="2"/>
      <c r="Y167" s="24">
        <v>159</v>
      </c>
      <c r="Z167">
        <f t="shared" si="40"/>
        <v>159</v>
      </c>
      <c r="AA167">
        <f t="shared" si="41"/>
        <v>159</v>
      </c>
      <c r="AB167">
        <f t="shared" si="42"/>
        <v>159</v>
      </c>
      <c r="AC167">
        <f t="shared" si="43"/>
        <v>0</v>
      </c>
      <c r="AD167">
        <f t="shared" si="44"/>
        <v>159</v>
      </c>
      <c r="AE167">
        <f t="shared" si="45"/>
        <v>0</v>
      </c>
      <c r="AF167">
        <f t="shared" si="46"/>
        <v>0</v>
      </c>
      <c r="AG167">
        <f t="shared" si="47"/>
        <v>159</v>
      </c>
      <c r="AH167">
        <f t="shared" si="48"/>
        <v>159</v>
      </c>
      <c r="AI167">
        <f t="shared" si="49"/>
        <v>159</v>
      </c>
      <c r="AJ167">
        <f t="shared" si="50"/>
        <v>0</v>
      </c>
      <c r="AK167">
        <f t="shared" si="51"/>
        <v>0</v>
      </c>
      <c r="AL167">
        <f t="shared" si="52"/>
        <v>0</v>
      </c>
      <c r="AM167">
        <f t="shared" si="53"/>
        <v>0</v>
      </c>
      <c r="AN167">
        <f t="shared" si="54"/>
        <v>159</v>
      </c>
      <c r="AO167">
        <f t="shared" si="55"/>
        <v>159</v>
      </c>
      <c r="AP167">
        <f t="shared" si="56"/>
        <v>159</v>
      </c>
      <c r="AQ167">
        <f t="shared" si="57"/>
        <v>159</v>
      </c>
      <c r="AR167" s="6">
        <f t="shared" si="58"/>
        <v>159</v>
      </c>
      <c r="AS167">
        <f t="shared" si="59"/>
        <v>159</v>
      </c>
      <c r="AV167" s="1" t="str">
        <f>IF(IFERROR(INDEX($A$9:$W$304,$AS167,COLUMNS($AV$9:AV166)),"")=0,"",IFERROR(INDEX($A$9:$W$304,$AS167,COLUMNS($AV$9:AV166)),""))</f>
        <v>Martial Law</v>
      </c>
      <c r="AW167" s="1">
        <f>IFERROR(INDEX($A$9:$W$304,$AS167,COLUMNS($AV$9:AW166)),"")</f>
        <v>1</v>
      </c>
      <c r="AX167" s="1" t="str">
        <f>IF(IFERROR(INDEX($A$9:$X$304,$AS167,COLUMNS($AV$9:AX166)),"")=0,"",IFERROR(INDEX($A$9:$X$304,$AS167,COLUMNS($AV$9:AX166)),""))</f>
        <v>GOOD</v>
      </c>
      <c r="AY167" s="1" t="str">
        <f>IF(IFERROR(INDEX($A$9:$X$304,$AS167,COLUMNS($AV$9:AY166)),"")=0,"",IFERROR(INDEX($A$9:$X$304,$AS167,COLUMNS($AV$9:AY166)),""))</f>
        <v/>
      </c>
      <c r="AZ167" s="1" t="str">
        <f>IF(IFERROR(INDEX($A$9:$X$304,$AS167,COLUMNS($AV$9:AZ166)),"")=0,"",IFERROR(INDEX($A$9:$X$304,$AS167,COLUMNS($AV$9:AZ166)),""))</f>
        <v>EVENT</v>
      </c>
      <c r="BA167" s="1" t="str">
        <f>IF(IFERROR(INDEX($A$9:$X$304,$AS167,COLUMNS($AV$9:BA166)),"")=0,"",IFERROR(INDEX($A$9:$X$304,$AS167,COLUMNS($AV$9:BA166)),""))</f>
        <v/>
      </c>
      <c r="BB167" s="1" t="str">
        <f>IF(IFERROR(INDEX($A$9:$X$304,$AS167,COLUMNS($AV$9:BB166)),"")=0,"",IFERROR(INDEX($A$9:$X$304,$AS167,COLUMNS($AV$9:BB166)),""))</f>
        <v/>
      </c>
      <c r="BC167" s="1" t="str">
        <f>IF(IFERROR(INDEX($A$9:$X$304,$AS167,COLUMNS($AV$9:BC166)),"")=0,"",IFERROR(INDEX($A$9:$X$304,$AS167,COLUMNS($AV$9:BC166)),""))</f>
        <v>Put five human tokens into play.</v>
      </c>
      <c r="BD167" s="1" t="str">
        <f>IF(IFERROR(INDEX($A$9:$X$304,$AS167,COLUMNS($AV$9:BD166)),"")=0,"",IFERROR(INDEX($A$9:$X$304,$AS167,COLUMNS($AV$9:BD166)),""))</f>
        <v>Banish all champions.</v>
      </c>
      <c r="BE167" s="1" t="str">
        <f>IF(IFERROR(INDEX($A$9:$X$304,$AS167,COLUMNS($AV$9:BE166)),"")=0,"",IFERROR(INDEX($A$9:$X$304,$AS167,COLUMNS($AV$9:BE166)),""))</f>
        <v>If it is an opponent's turn, that player puts four human tokens into play.</v>
      </c>
      <c r="BF167" s="1" t="str">
        <f>IF(IFERROR(INDEX($A$9:$X$304,$AS167,COLUMNS($AV$9:BF166)),"")=0,"",IFERROR(INDEX($A$9:$X$304,$AS167,COLUMNS($AV$9:BF166)),""))</f>
        <v/>
      </c>
      <c r="BG167" s="1" t="str">
        <f>IF(IFERROR(INDEX($A$9:$X$304,$AS167,COLUMNS($AV$9:BG166)),"")=0,"",IFERROR(INDEX($A$9:$X$304,$AS167,COLUMNS($AV$9:BG166)),""))</f>
        <v/>
      </c>
      <c r="BH167" s="1" t="str">
        <f>IF(IFERROR(INDEX($A$9:$X$304,$AS167,COLUMNS($AV$9:BH166)),"")=0,"",IFERROR(INDEX($A$9:$X$304,$AS167,COLUMNS($AV$9:BH166)),""))</f>
        <v/>
      </c>
      <c r="BI167" s="1" t="str">
        <f>IF(IFERROR(INDEX($A$9:$X$304,$AS167,COLUMNS($AV$9:BI166)),"")=0,"",IFERROR(INDEX($A$9:$X$304,$AS167,COLUMNS($AV$9:BI166)),""))</f>
        <v/>
      </c>
      <c r="BJ167" s="1" t="str">
        <f>IF(IFERROR(INDEX($A$9:$X$304,$AS167,COLUMNS($AV$9:BJ166)),"")=0,"",IFERROR(INDEX($A$9:$X$304,$AS167,COLUMNS($AV$9:BJ166)),""))</f>
        <v>None</v>
      </c>
      <c r="BK167" s="1" t="str">
        <f>IF(IFERROR(INDEX($A$9:$X$304,$AS167,COLUMNS($AV$9:BK166)),"")=0,"",IFERROR(INDEX($A$9:$X$304,$AS167,COLUMNS($AV$9:BK166)),""))</f>
        <v>Common</v>
      </c>
      <c r="BL167" s="1" t="str">
        <f>IF(IFERROR(INDEX($A$9:$X$304,$AS167,COLUMNS($AV$9:BL166)),"")=0,"",IFERROR(INDEX($A$9:$X$304,$AS167,COLUMNS($AV$9:BL166)),""))</f>
        <v>Trevor Smith</v>
      </c>
      <c r="BM167" s="1" t="str">
        <f>IF(IFERROR(INDEX($A$9:$X$304,$AS167,COLUMNS($AV$9:BM166)),"")=0,"",IFERROR(INDEX($A$9:$X$304,$AS167,COLUMNS($AV$9:BM166)),""))</f>
        <v>Uprising: Kark's Edict</v>
      </c>
      <c r="BN167" s="3" t="b">
        <f>IF(IFERROR(INDEX($A$9:$X$304,$AS167,COLUMNS($AV$9:BN166)),"")=0,"",IFERROR(INDEX($A$9:$X$304,$AS167,COLUMNS($AV$9:BN166)),""))</f>
        <v>1</v>
      </c>
      <c r="BO167" s="3" t="b">
        <f>IF(IFERROR(INDEX($A$9:$X$304,$AS167,COLUMNS($AV$9:BO166)),"")=0,"",IFERROR(INDEX($A$9:$X$304,$AS167,COLUMNS($AV$9:BO166)),""))</f>
        <v>1</v>
      </c>
      <c r="BP167" s="3" t="b">
        <f>IF(IFERROR(INDEX($A$9:$X$304,$AS167,COLUMNS($AV$9:BP166)),"")=0,"",IFERROR(INDEX($A$9:$X$304,$AS167,COLUMNS($AV$9:BP166)),""))</f>
        <v>0</v>
      </c>
      <c r="BQ167" s="3" t="b">
        <f>IF(IFERROR(INDEX($A$9:$X$304,$AS167,COLUMNS($AV$9:BQ166)),"")=0,"",IFERROR(INDEX($A$9:$X$304,$AS167,COLUMNS($AV$9:BQ166)),""))</f>
        <v>0</v>
      </c>
      <c r="BR167" s="3" t="str">
        <f>IF(IFERROR(INDEX($A$9:$X$304,$AS167,COLUMNS($AV$9:BR166)),"")=0,"",IFERROR(INDEX($A$9:$X$304,$AS167,COLUMNS($AV$9:BR166)),""))</f>
        <v>https://www.epiccardgame.com/wp-content/uploads/2017/11/UPK-EN-martial-law.jpg</v>
      </c>
      <c r="BS167" s="3" t="str">
        <f>IF(IFERROR(INDEX($A$9:$X$304,$AS167,COLUMNS($AV$9:BS166)),"")=0,"",IFERROR(INDEX($A$9:$X$304,$AS167,COLUMNS($AV$9:BS166)),""))</f>
        <v/>
      </c>
      <c r="BT167" s="3"/>
      <c r="BU167" s="15"/>
      <c r="BV167" t="s">
        <v>188</v>
      </c>
    </row>
    <row r="168" spans="1:74" ht="225" customHeight="1" x14ac:dyDescent="0.25">
      <c r="A168" t="s">
        <v>482</v>
      </c>
      <c r="B168">
        <v>1</v>
      </c>
      <c r="C168" t="s">
        <v>616</v>
      </c>
      <c r="E168" t="s">
        <v>620</v>
      </c>
      <c r="F168">
        <v>4</v>
      </c>
      <c r="G168">
        <v>7</v>
      </c>
      <c r="H168" t="s">
        <v>696</v>
      </c>
      <c r="I168" t="s">
        <v>873</v>
      </c>
      <c r="J168" t="s">
        <v>1005</v>
      </c>
      <c r="O168" t="s">
        <v>1063</v>
      </c>
      <c r="P168" t="s">
        <v>1112</v>
      </c>
      <c r="Q168" t="s">
        <v>1153</v>
      </c>
      <c r="R168" t="s">
        <v>1179</v>
      </c>
      <c r="S168" t="b">
        <v>1</v>
      </c>
      <c r="T168" t="b">
        <v>0</v>
      </c>
      <c r="U168" t="b">
        <v>0</v>
      </c>
      <c r="V168" t="b">
        <v>0</v>
      </c>
      <c r="W168" s="2" t="s">
        <v>1343</v>
      </c>
      <c r="X168" s="2"/>
      <c r="Y168" s="24">
        <v>160</v>
      </c>
      <c r="Z168">
        <f t="shared" si="40"/>
        <v>160</v>
      </c>
      <c r="AA168">
        <f t="shared" si="41"/>
        <v>160</v>
      </c>
      <c r="AB168">
        <f t="shared" si="42"/>
        <v>160</v>
      </c>
      <c r="AC168">
        <f t="shared" si="43"/>
        <v>0</v>
      </c>
      <c r="AD168">
        <f t="shared" si="44"/>
        <v>160</v>
      </c>
      <c r="AE168">
        <f t="shared" si="45"/>
        <v>160</v>
      </c>
      <c r="AF168">
        <f t="shared" si="46"/>
        <v>160</v>
      </c>
      <c r="AG168">
        <f t="shared" si="47"/>
        <v>160</v>
      </c>
      <c r="AH168">
        <f t="shared" si="48"/>
        <v>160</v>
      </c>
      <c r="AI168">
        <f t="shared" si="49"/>
        <v>160</v>
      </c>
      <c r="AJ168">
        <f t="shared" si="50"/>
        <v>0</v>
      </c>
      <c r="AK168">
        <f t="shared" si="51"/>
        <v>0</v>
      </c>
      <c r="AL168">
        <f t="shared" si="52"/>
        <v>0</v>
      </c>
      <c r="AM168">
        <f t="shared" si="53"/>
        <v>0</v>
      </c>
      <c r="AN168">
        <f t="shared" si="54"/>
        <v>160</v>
      </c>
      <c r="AO168">
        <f t="shared" si="55"/>
        <v>160</v>
      </c>
      <c r="AP168">
        <f t="shared" si="56"/>
        <v>160</v>
      </c>
      <c r="AQ168">
        <f t="shared" si="57"/>
        <v>160</v>
      </c>
      <c r="AR168" s="6">
        <f t="shared" si="58"/>
        <v>160</v>
      </c>
      <c r="AS168">
        <f t="shared" si="59"/>
        <v>160</v>
      </c>
      <c r="AV168" s="1" t="str">
        <f>IF(IFERROR(INDEX($A$9:$W$304,$AS168,COLUMNS($AV$9:AV167)),"")=0,"",IFERROR(INDEX($A$9:$W$304,$AS168,COLUMNS($AV$9:AV167)),""))</f>
        <v>Master Forcemage</v>
      </c>
      <c r="AW168" s="1">
        <f>IFERROR(INDEX($A$9:$W$304,$AS168,COLUMNS($AV$9:AW167)),"")</f>
        <v>1</v>
      </c>
      <c r="AX168" s="1" t="str">
        <f>IF(IFERROR(INDEX($A$9:$X$304,$AS168,COLUMNS($AV$9:AX167)),"")=0,"",IFERROR(INDEX($A$9:$X$304,$AS168,COLUMNS($AV$9:AX167)),""))</f>
        <v>SAGE</v>
      </c>
      <c r="AY168" s="1" t="str">
        <f>IF(IFERROR(INDEX($A$9:$X$304,$AS168,COLUMNS($AV$9:AY167)),"")=0,"",IFERROR(INDEX($A$9:$X$304,$AS168,COLUMNS($AV$9:AY167)),""))</f>
        <v/>
      </c>
      <c r="AZ168" s="1" t="str">
        <f>IF(IFERROR(INDEX($A$9:$X$304,$AS168,COLUMNS($AV$9:AZ167)),"")=0,"",IFERROR(INDEX($A$9:$X$304,$AS168,COLUMNS($AV$9:AZ167)),""))</f>
        <v>CHAMPION</v>
      </c>
      <c r="BA168" s="1">
        <f>IF(IFERROR(INDEX($A$9:$X$304,$AS168,COLUMNS($AV$9:BA167)),"")=0,"",IFERROR(INDEX($A$9:$X$304,$AS168,COLUMNS($AV$9:BA167)),""))</f>
        <v>4</v>
      </c>
      <c r="BB168" s="1">
        <f>IF(IFERROR(INDEX($A$9:$X$304,$AS168,COLUMNS($AV$9:BB167)),"")=0,"",IFERROR(INDEX($A$9:$X$304,$AS168,COLUMNS($AV$9:BB167)),""))</f>
        <v>7</v>
      </c>
      <c r="BC168" s="1" t="str">
        <f>IF(IFERROR(INDEX($A$9:$X$304,$AS168,COLUMNS($AV$9:BC167)),"")=0,"",IFERROR(INDEX($A$9:$X$304,$AS168,COLUMNS($AV$9:BC167)),""))</f>
        <v>Ambush ◆ Blitz</v>
      </c>
      <c r="BD168" s="1" t="str">
        <f>IF(IFERROR(INDEX($A$9:$X$304,$AS168,COLUMNS($AV$9:BD167)),"")=0,"",IFERROR(INDEX($A$9:$X$304,$AS168,COLUMNS($AV$9:BD167)),""))</f>
        <v>{sage} → Prepare this card.</v>
      </c>
      <c r="BE168" s="1" t="str">
        <f>IF(IFERROR(INDEX($A$9:$X$304,$AS168,COLUMNS($AV$9:BE167)),"")=0,"",IFERROR(INDEX($A$9:$X$304,$AS168,COLUMNS($AV$9:BE167)),""))</f>
        <v>{expend): Deal 2 damage to each of up to two targets.</v>
      </c>
      <c r="BF168" s="1" t="str">
        <f>IF(IFERROR(INDEX($A$9:$X$304,$AS168,COLUMNS($AV$9:BF167)),"")=0,"",IFERROR(INDEX($A$9:$X$304,$AS168,COLUMNS($AV$9:BF167)),""))</f>
        <v/>
      </c>
      <c r="BG168" s="1" t="str">
        <f>IF(IFERROR(INDEX($A$9:$X$304,$AS168,COLUMNS($AV$9:BG167)),"")=0,"",IFERROR(INDEX($A$9:$X$304,$AS168,COLUMNS($AV$9:BG167)),""))</f>
        <v/>
      </c>
      <c r="BH168" s="1" t="str">
        <f>IF(IFERROR(INDEX($A$9:$X$304,$AS168,COLUMNS($AV$9:BH167)),"")=0,"",IFERROR(INDEX($A$9:$X$304,$AS168,COLUMNS($AV$9:BH167)),""))</f>
        <v/>
      </c>
      <c r="BI168" s="1" t="str">
        <f>IF(IFERROR(INDEX($A$9:$X$304,$AS168,COLUMNS($AV$9:BI167)),"")=0,"",IFERROR(INDEX($A$9:$X$304,$AS168,COLUMNS($AV$9:BI167)),""))</f>
        <v/>
      </c>
      <c r="BJ168" s="1" t="str">
        <f>IF(IFERROR(INDEX($A$9:$X$304,$AS168,COLUMNS($AV$9:BJ167)),"")=0,"",IFERROR(INDEX($A$9:$X$304,$AS168,COLUMNS($AV$9:BJ167)),""))</f>
        <v>HUMAN</v>
      </c>
      <c r="BK168" s="1" t="str">
        <f>IF(IFERROR(INDEX($A$9:$X$304,$AS168,COLUMNS($AV$9:BK167)),"")=0,"",IFERROR(INDEX($A$9:$X$304,$AS168,COLUMNS($AV$9:BK167)),""))</f>
        <v>Common</v>
      </c>
      <c r="BL168" s="1" t="str">
        <f>IF(IFERROR(INDEX($A$9:$X$304,$AS168,COLUMNS($AV$9:BL167)),"")=0,"",IFERROR(INDEX($A$9:$X$304,$AS168,COLUMNS($AV$9:BL167)),""))</f>
        <v>Grzegorz Pedrycz</v>
      </c>
      <c r="BM168" s="1" t="str">
        <f>IF(IFERROR(INDEX($A$9:$X$304,$AS168,COLUMNS($AV$9:BM167)),"")=0,"",IFERROR(INDEX($A$9:$X$304,$AS168,COLUMNS($AV$9:BM167)),""))</f>
        <v>Pantheon: Gareth vs Lashnok</v>
      </c>
      <c r="BN168" s="3" t="b">
        <f>IF(IFERROR(INDEX($A$9:$X$304,$AS168,COLUMNS($AV$9:BN167)),"")=0,"",IFERROR(INDEX($A$9:$X$304,$AS168,COLUMNS($AV$9:BN167)),""))</f>
        <v>1</v>
      </c>
      <c r="BO168" s="3" t="b">
        <f>IF(IFERROR(INDEX($A$9:$X$304,$AS168,COLUMNS($AV$9:BO167)),"")=0,"",IFERROR(INDEX($A$9:$X$304,$AS168,COLUMNS($AV$9:BO167)),""))</f>
        <v>0</v>
      </c>
      <c r="BP168" s="3" t="b">
        <f>IF(IFERROR(INDEX($A$9:$X$304,$AS168,COLUMNS($AV$9:BP167)),"")=0,"",IFERROR(INDEX($A$9:$X$304,$AS168,COLUMNS($AV$9:BP167)),""))</f>
        <v>0</v>
      </c>
      <c r="BQ168" s="3" t="b">
        <f>IF(IFERROR(INDEX($A$9:$X$304,$AS168,COLUMNS($AV$9:BQ167)),"")=0,"",IFERROR(INDEX($A$9:$X$304,$AS168,COLUMNS($AV$9:BQ167)),""))</f>
        <v>0</v>
      </c>
      <c r="BR168" s="3" t="str">
        <f>IF(IFERROR(INDEX($A$9:$X$304,$AS168,COLUMNS($AV$9:BR167)),"")=0,"",IFERROR(INDEX($A$9:$X$304,$AS168,COLUMNS($AV$9:BR167)),""))</f>
        <v>https://www.epiccardgame.com/wp-content/uploads/2017/11/PNG-EN-05-master-forcemage.jpg</v>
      </c>
      <c r="BS168" s="3" t="str">
        <f>IF(IFERROR(INDEX($A$9:$X$304,$AS168,COLUMNS($AV$9:BS167)),"")=0,"",IFERROR(INDEX($A$9:$X$304,$AS168,COLUMNS($AV$9:BS167)),""))</f>
        <v/>
      </c>
      <c r="BT168" s="3"/>
      <c r="BU168" s="15"/>
      <c r="BV168" t="s">
        <v>189</v>
      </c>
    </row>
    <row r="169" spans="1:74" ht="225.2" customHeight="1" x14ac:dyDescent="0.25">
      <c r="A169" t="s">
        <v>483</v>
      </c>
      <c r="B169">
        <v>1</v>
      </c>
      <c r="C169" t="s">
        <v>617</v>
      </c>
      <c r="E169" t="s">
        <v>620</v>
      </c>
      <c r="F169">
        <v>9</v>
      </c>
      <c r="G169">
        <v>8</v>
      </c>
      <c r="H169" t="s">
        <v>21</v>
      </c>
      <c r="I169" t="s">
        <v>874</v>
      </c>
      <c r="O169" t="s">
        <v>1063</v>
      </c>
      <c r="P169" t="s">
        <v>1112</v>
      </c>
      <c r="Q169" t="s">
        <v>1156</v>
      </c>
      <c r="R169" t="s">
        <v>1180</v>
      </c>
      <c r="S169" t="b">
        <v>1</v>
      </c>
      <c r="T169" t="b">
        <v>0</v>
      </c>
      <c r="U169" t="b">
        <v>0</v>
      </c>
      <c r="V169" t="b">
        <v>0</v>
      </c>
      <c r="W169" s="2" t="s">
        <v>1344</v>
      </c>
      <c r="X169" s="2"/>
      <c r="Y169" s="24">
        <v>161</v>
      </c>
      <c r="Z169">
        <f t="shared" si="40"/>
        <v>161</v>
      </c>
      <c r="AA169">
        <f t="shared" si="41"/>
        <v>161</v>
      </c>
      <c r="AB169">
        <f t="shared" si="42"/>
        <v>161</v>
      </c>
      <c r="AC169">
        <f t="shared" si="43"/>
        <v>0</v>
      </c>
      <c r="AD169">
        <f t="shared" si="44"/>
        <v>161</v>
      </c>
      <c r="AE169">
        <f t="shared" si="45"/>
        <v>161</v>
      </c>
      <c r="AF169">
        <f t="shared" si="46"/>
        <v>161</v>
      </c>
      <c r="AG169">
        <f t="shared" si="47"/>
        <v>161</v>
      </c>
      <c r="AH169">
        <f t="shared" si="48"/>
        <v>161</v>
      </c>
      <c r="AI169">
        <f t="shared" si="49"/>
        <v>0</v>
      </c>
      <c r="AJ169">
        <f t="shared" si="50"/>
        <v>0</v>
      </c>
      <c r="AK169">
        <f t="shared" si="51"/>
        <v>0</v>
      </c>
      <c r="AL169">
        <f t="shared" si="52"/>
        <v>0</v>
      </c>
      <c r="AM169">
        <f t="shared" si="53"/>
        <v>0</v>
      </c>
      <c r="AN169">
        <f t="shared" si="54"/>
        <v>161</v>
      </c>
      <c r="AO169">
        <f t="shared" si="55"/>
        <v>161</v>
      </c>
      <c r="AP169">
        <f t="shared" si="56"/>
        <v>161</v>
      </c>
      <c r="AQ169">
        <f t="shared" si="57"/>
        <v>161</v>
      </c>
      <c r="AR169" s="6">
        <f t="shared" si="58"/>
        <v>161</v>
      </c>
      <c r="AS169">
        <f t="shared" si="59"/>
        <v>161</v>
      </c>
      <c r="AV169" s="1" t="str">
        <f>IF(IFERROR(INDEX($A$9:$W$304,$AS169,COLUMNS($AV$9:AV168)),"")=0,"",IFERROR(INDEX($A$9:$W$304,$AS169,COLUMNS($AV$9:AV168)),""))</f>
        <v>Master Zo</v>
      </c>
      <c r="AW169" s="1">
        <f>IFERROR(INDEX($A$9:$W$304,$AS169,COLUMNS($AV$9:AW168)),"")</f>
        <v>1</v>
      </c>
      <c r="AX169" s="1" t="str">
        <f>IF(IFERROR(INDEX($A$9:$X$304,$AS169,COLUMNS($AV$9:AX168)),"")=0,"",IFERROR(INDEX($A$9:$X$304,$AS169,COLUMNS($AV$9:AX168)),""))</f>
        <v>GOOD</v>
      </c>
      <c r="AY169" s="1" t="str">
        <f>IF(IFERROR(INDEX($A$9:$X$304,$AS169,COLUMNS($AV$9:AY168)),"")=0,"",IFERROR(INDEX($A$9:$X$304,$AS169,COLUMNS($AV$9:AY168)),""))</f>
        <v/>
      </c>
      <c r="AZ169" s="1" t="str">
        <f>IF(IFERROR(INDEX($A$9:$X$304,$AS169,COLUMNS($AV$9:AZ168)),"")=0,"",IFERROR(INDEX($A$9:$X$304,$AS169,COLUMNS($AV$9:AZ168)),""))</f>
        <v>CHAMPION</v>
      </c>
      <c r="BA169" s="1">
        <f>IF(IFERROR(INDEX($A$9:$X$304,$AS169,COLUMNS($AV$9:BA168)),"")=0,"",IFERROR(INDEX($A$9:$X$304,$AS169,COLUMNS($AV$9:BA168)),""))</f>
        <v>9</v>
      </c>
      <c r="BB169" s="1">
        <f>IF(IFERROR(INDEX($A$9:$X$304,$AS169,COLUMNS($AV$9:BB168)),"")=0,"",IFERROR(INDEX($A$9:$X$304,$AS169,COLUMNS($AV$9:BB168)),""))</f>
        <v>8</v>
      </c>
      <c r="BC169" s="1" t="str">
        <f>IF(IFERROR(INDEX($A$9:$X$304,$AS169,COLUMNS($AV$9:BC168)),"")=0,"",IFERROR(INDEX($A$9:$X$304,$AS169,COLUMNS($AV$9:BC168)),""))</f>
        <v>Ambush</v>
      </c>
      <c r="BD169" s="1" t="str">
        <f>IF(IFERROR(INDEX($A$9:$X$304,$AS169,COLUMNS($AV$9:BD168)),"")=0,"",IFERROR(INDEX($A$9:$X$304,$AS169,COLUMNS($AV$9:BD168)),""))</f>
        <v>When this card attacks or blocks → This card gains unbreakable this turn.</v>
      </c>
      <c r="BE169" s="1" t="str">
        <f>IF(IFERROR(INDEX($A$9:$X$304,$AS169,COLUMNS($AV$9:BE168)),"")=0,"",IFERROR(INDEX($A$9:$X$304,$AS169,COLUMNS($AV$9:BE168)),""))</f>
        <v/>
      </c>
      <c r="BF169" s="1" t="str">
        <f>IF(IFERROR(INDEX($A$9:$X$304,$AS169,COLUMNS($AV$9:BF168)),"")=0,"",IFERROR(INDEX($A$9:$X$304,$AS169,COLUMNS($AV$9:BF168)),""))</f>
        <v/>
      </c>
      <c r="BG169" s="1" t="str">
        <f>IF(IFERROR(INDEX($A$9:$X$304,$AS169,COLUMNS($AV$9:BG168)),"")=0,"",IFERROR(INDEX($A$9:$X$304,$AS169,COLUMNS($AV$9:BG168)),""))</f>
        <v/>
      </c>
      <c r="BH169" s="1" t="str">
        <f>IF(IFERROR(INDEX($A$9:$X$304,$AS169,COLUMNS($AV$9:BH168)),"")=0,"",IFERROR(INDEX($A$9:$X$304,$AS169,COLUMNS($AV$9:BH168)),""))</f>
        <v/>
      </c>
      <c r="BI169" s="1" t="str">
        <f>IF(IFERROR(INDEX($A$9:$X$304,$AS169,COLUMNS($AV$9:BI168)),"")=0,"",IFERROR(INDEX($A$9:$X$304,$AS169,COLUMNS($AV$9:BI168)),""))</f>
        <v/>
      </c>
      <c r="BJ169" s="1" t="str">
        <f>IF(IFERROR(INDEX($A$9:$X$304,$AS169,COLUMNS($AV$9:BJ168)),"")=0,"",IFERROR(INDEX($A$9:$X$304,$AS169,COLUMNS($AV$9:BJ168)),""))</f>
        <v>HUMAN</v>
      </c>
      <c r="BK169" s="1" t="str">
        <f>IF(IFERROR(INDEX($A$9:$X$304,$AS169,COLUMNS($AV$9:BK168)),"")=0,"",IFERROR(INDEX($A$9:$X$304,$AS169,COLUMNS($AV$9:BK168)),""))</f>
        <v>Common</v>
      </c>
      <c r="BL169" s="1" t="str">
        <f>IF(IFERROR(INDEX($A$9:$X$304,$AS169,COLUMNS($AV$9:BL168)),"")=0,"",IFERROR(INDEX($A$9:$X$304,$AS169,COLUMNS($AV$9:BL168)),""))</f>
        <v>Dhennis Balontong</v>
      </c>
      <c r="BM169" s="1" t="str">
        <f>IF(IFERROR(INDEX($A$9:$X$304,$AS169,COLUMNS($AV$9:BM168)),"")=0,"",IFERROR(INDEX($A$9:$X$304,$AS169,COLUMNS($AV$9:BM168)),""))</f>
        <v>Uprising: Flames of Scarros</v>
      </c>
      <c r="BN169" s="3" t="b">
        <f>IF(IFERROR(INDEX($A$9:$X$304,$AS169,COLUMNS($AV$9:BN168)),"")=0,"",IFERROR(INDEX($A$9:$X$304,$AS169,COLUMNS($AV$9:BN168)),""))</f>
        <v>1</v>
      </c>
      <c r="BO169" s="3" t="b">
        <f>IF(IFERROR(INDEX($A$9:$X$304,$AS169,COLUMNS($AV$9:BO168)),"")=0,"",IFERROR(INDEX($A$9:$X$304,$AS169,COLUMNS($AV$9:BO168)),""))</f>
        <v>0</v>
      </c>
      <c r="BP169" s="3" t="b">
        <f>IF(IFERROR(INDEX($A$9:$X$304,$AS169,COLUMNS($AV$9:BP168)),"")=0,"",IFERROR(INDEX($A$9:$X$304,$AS169,COLUMNS($AV$9:BP168)),""))</f>
        <v>0</v>
      </c>
      <c r="BQ169" s="3" t="b">
        <f>IF(IFERROR(INDEX($A$9:$X$304,$AS169,COLUMNS($AV$9:BQ168)),"")=0,"",IFERROR(INDEX($A$9:$X$304,$AS169,COLUMNS($AV$9:BQ168)),""))</f>
        <v>0</v>
      </c>
      <c r="BR169" s="3" t="str">
        <f>IF(IFERROR(INDEX($A$9:$X$304,$AS169,COLUMNS($AV$9:BR168)),"")=0,"",IFERROR(INDEX($A$9:$X$304,$AS169,COLUMNS($AV$9:BR168)),""))</f>
        <v>https://www.epiccardgame.com/wp-content/uploads/2017/11/UPS-EN-master-zo.jpg</v>
      </c>
      <c r="BS169" s="3" t="str">
        <f>IF(IFERROR(INDEX($A$9:$X$304,$AS169,COLUMNS($AV$9:BS168)),"")=0,"",IFERROR(INDEX($A$9:$X$304,$AS169,COLUMNS($AV$9:BS168)),""))</f>
        <v/>
      </c>
      <c r="BT169" s="3"/>
      <c r="BU169" s="15"/>
      <c r="BV169" t="s">
        <v>190</v>
      </c>
    </row>
    <row r="170" spans="1:74" ht="225.2" customHeight="1" x14ac:dyDescent="0.25">
      <c r="A170" t="s">
        <v>484</v>
      </c>
      <c r="B170">
        <v>1</v>
      </c>
      <c r="C170" t="s">
        <v>618</v>
      </c>
      <c r="E170" t="s">
        <v>620</v>
      </c>
      <c r="F170">
        <v>6</v>
      </c>
      <c r="G170">
        <v>8</v>
      </c>
      <c r="H170" t="s">
        <v>21</v>
      </c>
      <c r="I170" t="s">
        <v>875</v>
      </c>
      <c r="O170" t="s">
        <v>1078</v>
      </c>
      <c r="P170" t="s">
        <v>1112</v>
      </c>
      <c r="Q170" t="s">
        <v>1118</v>
      </c>
      <c r="R170" t="s">
        <v>1171</v>
      </c>
      <c r="S170" t="b">
        <v>1</v>
      </c>
      <c r="T170" t="b">
        <v>0</v>
      </c>
      <c r="U170" t="b">
        <v>0</v>
      </c>
      <c r="V170" t="b">
        <v>0</v>
      </c>
      <c r="W170" s="2" t="s">
        <v>1345</v>
      </c>
      <c r="X170" s="2"/>
      <c r="Y170" s="24">
        <v>162</v>
      </c>
      <c r="Z170">
        <f t="shared" si="40"/>
        <v>162</v>
      </c>
      <c r="AA170">
        <f t="shared" si="41"/>
        <v>162</v>
      </c>
      <c r="AB170">
        <f t="shared" si="42"/>
        <v>162</v>
      </c>
      <c r="AC170">
        <f t="shared" si="43"/>
        <v>0</v>
      </c>
      <c r="AD170">
        <f t="shared" si="44"/>
        <v>162</v>
      </c>
      <c r="AE170">
        <f t="shared" si="45"/>
        <v>162</v>
      </c>
      <c r="AF170">
        <f t="shared" si="46"/>
        <v>162</v>
      </c>
      <c r="AG170">
        <f t="shared" si="47"/>
        <v>162</v>
      </c>
      <c r="AH170">
        <f t="shared" si="48"/>
        <v>162</v>
      </c>
      <c r="AI170">
        <f t="shared" si="49"/>
        <v>0</v>
      </c>
      <c r="AJ170">
        <f t="shared" si="50"/>
        <v>0</v>
      </c>
      <c r="AK170">
        <f t="shared" si="51"/>
        <v>0</v>
      </c>
      <c r="AL170">
        <f t="shared" si="52"/>
        <v>0</v>
      </c>
      <c r="AM170">
        <f t="shared" si="53"/>
        <v>0</v>
      </c>
      <c r="AN170">
        <f t="shared" si="54"/>
        <v>162</v>
      </c>
      <c r="AO170">
        <f t="shared" si="55"/>
        <v>162</v>
      </c>
      <c r="AP170">
        <f t="shared" si="56"/>
        <v>162</v>
      </c>
      <c r="AQ170">
        <f t="shared" si="57"/>
        <v>162</v>
      </c>
      <c r="AR170" s="6">
        <f t="shared" si="58"/>
        <v>162</v>
      </c>
      <c r="AS170">
        <f t="shared" si="59"/>
        <v>162</v>
      </c>
      <c r="AV170" s="1" t="str">
        <f>IF(IFERROR(INDEX($A$9:$W$304,$AS170,COLUMNS($AV$9:AV169)),"")=0,"",IFERROR(INDEX($A$9:$W$304,$AS170,COLUMNS($AV$9:AV169)),""))</f>
        <v>Medusa</v>
      </c>
      <c r="AW170" s="1">
        <f>IFERROR(INDEX($A$9:$W$304,$AS170,COLUMNS($AV$9:AW169)),"")</f>
        <v>1</v>
      </c>
      <c r="AX170" s="1" t="str">
        <f>IF(IFERROR(INDEX($A$9:$X$304,$AS170,COLUMNS($AV$9:AX169)),"")=0,"",IFERROR(INDEX($A$9:$X$304,$AS170,COLUMNS($AV$9:AX169)),""))</f>
        <v>EVIL</v>
      </c>
      <c r="AY170" s="1" t="str">
        <f>IF(IFERROR(INDEX($A$9:$X$304,$AS170,COLUMNS($AV$9:AY169)),"")=0,"",IFERROR(INDEX($A$9:$X$304,$AS170,COLUMNS($AV$9:AY169)),""))</f>
        <v/>
      </c>
      <c r="AZ170" s="1" t="str">
        <f>IF(IFERROR(INDEX($A$9:$X$304,$AS170,COLUMNS($AV$9:AZ169)),"")=0,"",IFERROR(INDEX($A$9:$X$304,$AS170,COLUMNS($AV$9:AZ169)),""))</f>
        <v>CHAMPION</v>
      </c>
      <c r="BA170" s="1">
        <f>IF(IFERROR(INDEX($A$9:$X$304,$AS170,COLUMNS($AV$9:BA169)),"")=0,"",IFERROR(INDEX($A$9:$X$304,$AS170,COLUMNS($AV$9:BA169)),""))</f>
        <v>6</v>
      </c>
      <c r="BB170" s="1">
        <f>IF(IFERROR(INDEX($A$9:$X$304,$AS170,COLUMNS($AV$9:BB169)),"")=0,"",IFERROR(INDEX($A$9:$X$304,$AS170,COLUMNS($AV$9:BB169)),""))</f>
        <v>8</v>
      </c>
      <c r="BC170" s="1" t="str">
        <f>IF(IFERROR(INDEX($A$9:$X$304,$AS170,COLUMNS($AV$9:BC169)),"")=0,"",IFERROR(INDEX($A$9:$X$304,$AS170,COLUMNS($AV$9:BC169)),""))</f>
        <v>Ambush</v>
      </c>
      <c r="BD170" s="1" t="str">
        <f>IF(IFERROR(INDEX($A$9:$X$304,$AS170,COLUMNS($AV$9:BD169)),"")=0,"",IFERROR(INDEX($A$9:$X$304,$AS170,COLUMNS($AV$9:BD169)),""))</f>
        <v>Loyalty 2 → Break target champion.</v>
      </c>
      <c r="BE170" s="1" t="str">
        <f>IF(IFERROR(INDEX($A$9:$X$304,$AS170,COLUMNS($AV$9:BE169)),"")=0,"",IFERROR(INDEX($A$9:$X$304,$AS170,COLUMNS($AV$9:BE169)),""))</f>
        <v/>
      </c>
      <c r="BF170" s="1" t="str">
        <f>IF(IFERROR(INDEX($A$9:$X$304,$AS170,COLUMNS($AV$9:BF169)),"")=0,"",IFERROR(INDEX($A$9:$X$304,$AS170,COLUMNS($AV$9:BF169)),""))</f>
        <v/>
      </c>
      <c r="BG170" s="1" t="str">
        <f>IF(IFERROR(INDEX($A$9:$X$304,$AS170,COLUMNS($AV$9:BG169)),"")=0,"",IFERROR(INDEX($A$9:$X$304,$AS170,COLUMNS($AV$9:BG169)),""))</f>
        <v/>
      </c>
      <c r="BH170" s="1" t="str">
        <f>IF(IFERROR(INDEX($A$9:$X$304,$AS170,COLUMNS($AV$9:BH169)),"")=0,"",IFERROR(INDEX($A$9:$X$304,$AS170,COLUMNS($AV$9:BH169)),""))</f>
        <v/>
      </c>
      <c r="BI170" s="1" t="str">
        <f>IF(IFERROR(INDEX($A$9:$X$304,$AS170,COLUMNS($AV$9:BI169)),"")=0,"",IFERROR(INDEX($A$9:$X$304,$AS170,COLUMNS($AV$9:BI169)),""))</f>
        <v/>
      </c>
      <c r="BJ170" s="1" t="str">
        <f>IF(IFERROR(INDEX($A$9:$X$304,$AS170,COLUMNS($AV$9:BJ169)),"")=0,"",IFERROR(INDEX($A$9:$X$304,$AS170,COLUMNS($AV$9:BJ169)),""))</f>
        <v>DEMON</v>
      </c>
      <c r="BK170" s="1" t="str">
        <f>IF(IFERROR(INDEX($A$9:$X$304,$AS170,COLUMNS($AV$9:BK169)),"")=0,"",IFERROR(INDEX($A$9:$X$304,$AS170,COLUMNS($AV$9:BK169)),""))</f>
        <v>Common</v>
      </c>
      <c r="BL170" s="1" t="str">
        <f>IF(IFERROR(INDEX($A$9:$X$304,$AS170,COLUMNS($AV$9:BL169)),"")=0,"",IFERROR(INDEX($A$9:$X$304,$AS170,COLUMNS($AV$9:BL169)),""))</f>
        <v>L.Sean</v>
      </c>
      <c r="BM170" s="1" t="str">
        <f>IF(IFERROR(INDEX($A$9:$X$304,$AS170,COLUMNS($AV$9:BM169)),"")=0,"",IFERROR(INDEX($A$9:$X$304,$AS170,COLUMNS($AV$9:BM169)),""))</f>
        <v>Base Set</v>
      </c>
      <c r="BN170" s="3" t="b">
        <f>IF(IFERROR(INDEX($A$9:$X$304,$AS170,COLUMNS($AV$9:BN169)),"")=0,"",IFERROR(INDEX($A$9:$X$304,$AS170,COLUMNS($AV$9:BN169)),""))</f>
        <v>1</v>
      </c>
      <c r="BO170" s="3" t="b">
        <f>IF(IFERROR(INDEX($A$9:$X$304,$AS170,COLUMNS($AV$9:BO169)),"")=0,"",IFERROR(INDEX($A$9:$X$304,$AS170,COLUMNS($AV$9:BO169)),""))</f>
        <v>0</v>
      </c>
      <c r="BP170" s="3" t="b">
        <f>IF(IFERROR(INDEX($A$9:$X$304,$AS170,COLUMNS($AV$9:BP169)),"")=0,"",IFERROR(INDEX($A$9:$X$304,$AS170,COLUMNS($AV$9:BP169)),""))</f>
        <v>0</v>
      </c>
      <c r="BQ170" s="3" t="b">
        <f>IF(IFERROR(INDEX($A$9:$X$304,$AS170,COLUMNS($AV$9:BQ169)),"")=0,"",IFERROR(INDEX($A$9:$X$304,$AS170,COLUMNS($AV$9:BQ169)),""))</f>
        <v>0</v>
      </c>
      <c r="BR170" s="3" t="str">
        <f>IF(IFERROR(INDEX($A$9:$X$304,$AS170,COLUMNS($AV$9:BR169)),"")=0,"",IFERROR(INDEX($A$9:$X$304,$AS170,COLUMNS($AV$9:BR169)),""))</f>
        <v>http://www.epiccardgame.com/wp-content/uploads/2015/09/medusa-215x300.jpg</v>
      </c>
      <c r="BS170" s="3" t="str">
        <f>IF(IFERROR(INDEX($A$9:$X$304,$AS170,COLUMNS($AV$9:BS169)),"")=0,"",IFERROR(INDEX($A$9:$X$304,$AS170,COLUMNS($AV$9:BS169)),""))</f>
        <v/>
      </c>
      <c r="BT170" s="3"/>
      <c r="BU170" s="15"/>
      <c r="BV170" t="s">
        <v>191</v>
      </c>
    </row>
    <row r="171" spans="1:74" ht="225" customHeight="1" x14ac:dyDescent="0.25">
      <c r="A171" t="s">
        <v>485</v>
      </c>
      <c r="B171">
        <v>1</v>
      </c>
      <c r="C171" t="s">
        <v>616</v>
      </c>
      <c r="E171" t="s">
        <v>620</v>
      </c>
      <c r="F171">
        <v>5</v>
      </c>
      <c r="G171">
        <v>4</v>
      </c>
      <c r="H171" t="s">
        <v>690</v>
      </c>
      <c r="I171" t="s">
        <v>876</v>
      </c>
      <c r="O171" t="s">
        <v>1088</v>
      </c>
      <c r="P171" t="s">
        <v>1113</v>
      </c>
      <c r="Q171" t="s">
        <v>1135</v>
      </c>
      <c r="R171" t="s">
        <v>1171</v>
      </c>
      <c r="S171" t="b">
        <v>1</v>
      </c>
      <c r="T171" t="b">
        <v>0</v>
      </c>
      <c r="U171" t="b">
        <v>0</v>
      </c>
      <c r="V171" t="b">
        <v>0</v>
      </c>
      <c r="W171" s="2" t="s">
        <v>1346</v>
      </c>
      <c r="X171" s="2"/>
      <c r="Y171" s="24">
        <v>163</v>
      </c>
      <c r="Z171">
        <f t="shared" si="40"/>
        <v>163</v>
      </c>
      <c r="AA171">
        <f t="shared" si="41"/>
        <v>163</v>
      </c>
      <c r="AB171">
        <f t="shared" si="42"/>
        <v>163</v>
      </c>
      <c r="AC171">
        <f t="shared" si="43"/>
        <v>0</v>
      </c>
      <c r="AD171">
        <f t="shared" si="44"/>
        <v>163</v>
      </c>
      <c r="AE171">
        <f t="shared" si="45"/>
        <v>163</v>
      </c>
      <c r="AF171">
        <f t="shared" si="46"/>
        <v>163</v>
      </c>
      <c r="AG171">
        <f t="shared" si="47"/>
        <v>163</v>
      </c>
      <c r="AH171">
        <f t="shared" si="48"/>
        <v>163</v>
      </c>
      <c r="AI171">
        <f t="shared" si="49"/>
        <v>0</v>
      </c>
      <c r="AJ171">
        <f t="shared" si="50"/>
        <v>0</v>
      </c>
      <c r="AK171">
        <f t="shared" si="51"/>
        <v>0</v>
      </c>
      <c r="AL171">
        <f t="shared" si="52"/>
        <v>0</v>
      </c>
      <c r="AM171">
        <f t="shared" si="53"/>
        <v>0</v>
      </c>
      <c r="AN171">
        <f t="shared" si="54"/>
        <v>163</v>
      </c>
      <c r="AO171">
        <f t="shared" si="55"/>
        <v>163</v>
      </c>
      <c r="AP171">
        <f t="shared" si="56"/>
        <v>163</v>
      </c>
      <c r="AQ171">
        <f t="shared" si="57"/>
        <v>163</v>
      </c>
      <c r="AR171" s="6">
        <f t="shared" si="58"/>
        <v>163</v>
      </c>
      <c r="AS171">
        <f t="shared" si="59"/>
        <v>163</v>
      </c>
      <c r="AV171" s="1" t="str">
        <f>IF(IFERROR(INDEX($A$9:$W$304,$AS171,COLUMNS($AV$9:AV170)),"")=0,"",IFERROR(INDEX($A$9:$W$304,$AS171,COLUMNS($AV$9:AV170)),""))</f>
        <v>Memory Spirit</v>
      </c>
      <c r="AW171" s="1">
        <f>IFERROR(INDEX($A$9:$W$304,$AS171,COLUMNS($AV$9:AW170)),"")</f>
        <v>1</v>
      </c>
      <c r="AX171" s="1" t="str">
        <f>IF(IFERROR(INDEX($A$9:$X$304,$AS171,COLUMNS($AV$9:AX170)),"")=0,"",IFERROR(INDEX($A$9:$X$304,$AS171,COLUMNS($AV$9:AX170)),""))</f>
        <v>SAGE</v>
      </c>
      <c r="AY171" s="1" t="str">
        <f>IF(IFERROR(INDEX($A$9:$X$304,$AS171,COLUMNS($AV$9:AY170)),"")=0,"",IFERROR(INDEX($A$9:$X$304,$AS171,COLUMNS($AV$9:AY170)),""))</f>
        <v/>
      </c>
      <c r="AZ171" s="1" t="str">
        <f>IF(IFERROR(INDEX($A$9:$X$304,$AS171,COLUMNS($AV$9:AZ170)),"")=0,"",IFERROR(INDEX($A$9:$X$304,$AS171,COLUMNS($AV$9:AZ170)),""))</f>
        <v>CHAMPION</v>
      </c>
      <c r="BA171" s="1">
        <f>IF(IFERROR(INDEX($A$9:$X$304,$AS171,COLUMNS($AV$9:BA170)),"")=0,"",IFERROR(INDEX($A$9:$X$304,$AS171,COLUMNS($AV$9:BA170)),""))</f>
        <v>5</v>
      </c>
      <c r="BB171" s="1">
        <f>IF(IFERROR(INDEX($A$9:$X$304,$AS171,COLUMNS($AV$9:BB170)),"")=0,"",IFERROR(INDEX($A$9:$X$304,$AS171,COLUMNS($AV$9:BB170)),""))</f>
        <v>4</v>
      </c>
      <c r="BC171" s="1" t="str">
        <f>IF(IFERROR(INDEX($A$9:$X$304,$AS171,COLUMNS($AV$9:BC170)),"")=0,"",IFERROR(INDEX($A$9:$X$304,$AS171,COLUMNS($AV$9:BC170)),""))</f>
        <v>Airborne ◆ Ambush</v>
      </c>
      <c r="BD171" s="1" t="str">
        <f>IF(IFERROR(INDEX($A$9:$X$304,$AS171,COLUMNS($AV$9:BD170)),"")=0,"",IFERROR(INDEX($A$9:$X$304,$AS171,COLUMNS($AV$9:BD170)),""))</f>
        <v>Tribute → You may return target event card from your discard pile to your hand.</v>
      </c>
      <c r="BE171" s="1" t="str">
        <f>IF(IFERROR(INDEX($A$9:$X$304,$AS171,COLUMNS($AV$9:BE170)),"")=0,"",IFERROR(INDEX($A$9:$X$304,$AS171,COLUMNS($AV$9:BE170)),""))</f>
        <v/>
      </c>
      <c r="BF171" s="1" t="str">
        <f>IF(IFERROR(INDEX($A$9:$X$304,$AS171,COLUMNS($AV$9:BF170)),"")=0,"",IFERROR(INDEX($A$9:$X$304,$AS171,COLUMNS($AV$9:BF170)),""))</f>
        <v/>
      </c>
      <c r="BG171" s="1" t="str">
        <f>IF(IFERROR(INDEX($A$9:$X$304,$AS171,COLUMNS($AV$9:BG170)),"")=0,"",IFERROR(INDEX($A$9:$X$304,$AS171,COLUMNS($AV$9:BG170)),""))</f>
        <v/>
      </c>
      <c r="BH171" s="1" t="str">
        <f>IF(IFERROR(INDEX($A$9:$X$304,$AS171,COLUMNS($AV$9:BH170)),"")=0,"",IFERROR(INDEX($A$9:$X$304,$AS171,COLUMNS($AV$9:BH170)),""))</f>
        <v/>
      </c>
      <c r="BI171" s="1" t="str">
        <f>IF(IFERROR(INDEX($A$9:$X$304,$AS171,COLUMNS($AV$9:BI170)),"")=0,"",IFERROR(INDEX($A$9:$X$304,$AS171,COLUMNS($AV$9:BI170)),""))</f>
        <v/>
      </c>
      <c r="BJ171" s="1" t="str">
        <f>IF(IFERROR(INDEX($A$9:$X$304,$AS171,COLUMNS($AV$9:BJ170)),"")=0,"",IFERROR(INDEX($A$9:$X$304,$AS171,COLUMNS($AV$9:BJ170)),""))</f>
        <v>SPIRIT</v>
      </c>
      <c r="BK171" s="1" t="str">
        <f>IF(IFERROR(INDEX($A$9:$X$304,$AS171,COLUMNS($AV$9:BK170)),"")=0,"",IFERROR(INDEX($A$9:$X$304,$AS171,COLUMNS($AV$9:BK170)),""))</f>
        <v>Rare</v>
      </c>
      <c r="BL171" s="1" t="str">
        <f>IF(IFERROR(INDEX($A$9:$X$304,$AS171,COLUMNS($AV$9:BL170)),"")=0,"",IFERROR(INDEX($A$9:$X$304,$AS171,COLUMNS($AV$9:BL170)),""))</f>
        <v>Trevor Smith</v>
      </c>
      <c r="BM171" s="1" t="str">
        <f>IF(IFERROR(INDEX($A$9:$X$304,$AS171,COLUMNS($AV$9:BM170)),"")=0,"",IFERROR(INDEX($A$9:$X$304,$AS171,COLUMNS($AV$9:BM170)),""))</f>
        <v>Base Set</v>
      </c>
      <c r="BN171" s="3" t="b">
        <f>IF(IFERROR(INDEX($A$9:$X$304,$AS171,COLUMNS($AV$9:BN170)),"")=0,"",IFERROR(INDEX($A$9:$X$304,$AS171,COLUMNS($AV$9:BN170)),""))</f>
        <v>1</v>
      </c>
      <c r="BO171" s="3" t="b">
        <f>IF(IFERROR(INDEX($A$9:$X$304,$AS171,COLUMNS($AV$9:BO170)),"")=0,"",IFERROR(INDEX($A$9:$X$304,$AS171,COLUMNS($AV$9:BO170)),""))</f>
        <v>0</v>
      </c>
      <c r="BP171" s="3" t="b">
        <f>IF(IFERROR(INDEX($A$9:$X$304,$AS171,COLUMNS($AV$9:BP170)),"")=0,"",IFERROR(INDEX($A$9:$X$304,$AS171,COLUMNS($AV$9:BP170)),""))</f>
        <v>0</v>
      </c>
      <c r="BQ171" s="3" t="b">
        <f>IF(IFERROR(INDEX($A$9:$X$304,$AS171,COLUMNS($AV$9:BQ170)),"")=0,"",IFERROR(INDEX($A$9:$X$304,$AS171,COLUMNS($AV$9:BQ170)),""))</f>
        <v>0</v>
      </c>
      <c r="BR171" s="3" t="str">
        <f>IF(IFERROR(INDEX($A$9:$X$304,$AS171,COLUMNS($AV$9:BR170)),"")=0,"",IFERROR(INDEX($A$9:$X$304,$AS171,COLUMNS($AV$9:BR170)),""))</f>
        <v>http://www.epiccardgame.com/wp-content/uploads/2015/09/memory_spirit-215x300.jpg</v>
      </c>
      <c r="BS171" s="3" t="str">
        <f>IF(IFERROR(INDEX($A$9:$X$304,$AS171,COLUMNS($AV$9:BS170)),"")=0,"",IFERROR(INDEX($A$9:$X$304,$AS171,COLUMNS($AV$9:BS170)),""))</f>
        <v/>
      </c>
      <c r="BT171" s="3"/>
      <c r="BU171" s="15"/>
      <c r="BV171" t="s">
        <v>192</v>
      </c>
    </row>
    <row r="172" spans="1:74" ht="225.2" customHeight="1" x14ac:dyDescent="0.25">
      <c r="A172" t="s">
        <v>486</v>
      </c>
      <c r="B172">
        <v>1</v>
      </c>
      <c r="C172" t="s">
        <v>615</v>
      </c>
      <c r="E172" t="s">
        <v>619</v>
      </c>
      <c r="H172" t="s">
        <v>627</v>
      </c>
      <c r="I172" t="s">
        <v>877</v>
      </c>
      <c r="O172" t="s">
        <v>1089</v>
      </c>
      <c r="P172" t="s">
        <v>1112</v>
      </c>
      <c r="Q172" t="s">
        <v>1124</v>
      </c>
      <c r="R172" t="s">
        <v>1171</v>
      </c>
      <c r="S172" t="b">
        <v>1</v>
      </c>
      <c r="T172" t="b">
        <v>1</v>
      </c>
      <c r="U172" t="b">
        <v>0</v>
      </c>
      <c r="V172" t="b">
        <v>0</v>
      </c>
      <c r="W172" s="2" t="s">
        <v>1347</v>
      </c>
      <c r="X172" s="2"/>
      <c r="Y172" s="24">
        <v>164</v>
      </c>
      <c r="Z172">
        <f t="shared" si="40"/>
        <v>164</v>
      </c>
      <c r="AA172">
        <f t="shared" si="41"/>
        <v>164</v>
      </c>
      <c r="AB172">
        <f t="shared" si="42"/>
        <v>164</v>
      </c>
      <c r="AC172">
        <f t="shared" si="43"/>
        <v>0</v>
      </c>
      <c r="AD172">
        <f t="shared" si="44"/>
        <v>164</v>
      </c>
      <c r="AE172">
        <f t="shared" si="45"/>
        <v>0</v>
      </c>
      <c r="AF172">
        <f t="shared" si="46"/>
        <v>0</v>
      </c>
      <c r="AG172">
        <f t="shared" si="47"/>
        <v>164</v>
      </c>
      <c r="AH172">
        <f t="shared" si="48"/>
        <v>164</v>
      </c>
      <c r="AI172">
        <f t="shared" si="49"/>
        <v>0</v>
      </c>
      <c r="AJ172">
        <f t="shared" si="50"/>
        <v>0</v>
      </c>
      <c r="AK172">
        <f t="shared" si="51"/>
        <v>0</v>
      </c>
      <c r="AL172">
        <f t="shared" si="52"/>
        <v>0</v>
      </c>
      <c r="AM172">
        <f t="shared" si="53"/>
        <v>0</v>
      </c>
      <c r="AN172">
        <f t="shared" si="54"/>
        <v>164</v>
      </c>
      <c r="AO172">
        <f t="shared" si="55"/>
        <v>164</v>
      </c>
      <c r="AP172">
        <f t="shared" si="56"/>
        <v>164</v>
      </c>
      <c r="AQ172">
        <f t="shared" si="57"/>
        <v>164</v>
      </c>
      <c r="AR172" s="6">
        <f t="shared" si="58"/>
        <v>164</v>
      </c>
      <c r="AS172">
        <f t="shared" si="59"/>
        <v>164</v>
      </c>
      <c r="AV172" s="1" t="str">
        <f>IF(IFERROR(INDEX($A$9:$W$304,$AS172,COLUMNS($AV$9:AV171)),"")=0,"",IFERROR(INDEX($A$9:$W$304,$AS172,COLUMNS($AV$9:AV171)),""))</f>
        <v>Mighty Blow</v>
      </c>
      <c r="AW172" s="1">
        <f>IFERROR(INDEX($A$9:$W$304,$AS172,COLUMNS($AV$9:AW171)),"")</f>
        <v>1</v>
      </c>
      <c r="AX172" s="1" t="str">
        <f>IF(IFERROR(INDEX($A$9:$X$304,$AS172,COLUMNS($AV$9:AX171)),"")=0,"",IFERROR(INDEX($A$9:$X$304,$AS172,COLUMNS($AV$9:AX171)),""))</f>
        <v>WILD</v>
      </c>
      <c r="AY172" s="1" t="str">
        <f>IF(IFERROR(INDEX($A$9:$X$304,$AS172,COLUMNS($AV$9:AY171)),"")=0,"",IFERROR(INDEX($A$9:$X$304,$AS172,COLUMNS($AV$9:AY171)),""))</f>
        <v/>
      </c>
      <c r="AZ172" s="1" t="str">
        <f>IF(IFERROR(INDEX($A$9:$X$304,$AS172,COLUMNS($AV$9:AZ171)),"")=0,"",IFERROR(INDEX($A$9:$X$304,$AS172,COLUMNS($AV$9:AZ171)),""))</f>
        <v>EVENT</v>
      </c>
      <c r="BA172" s="1" t="str">
        <f>IF(IFERROR(INDEX($A$9:$X$304,$AS172,COLUMNS($AV$9:BA171)),"")=0,"",IFERROR(INDEX($A$9:$X$304,$AS172,COLUMNS($AV$9:BA171)),""))</f>
        <v/>
      </c>
      <c r="BB172" s="1" t="str">
        <f>IF(IFERROR(INDEX($A$9:$X$304,$AS172,COLUMNS($AV$9:BB171)),"")=0,"",IFERROR(INDEX($A$9:$X$304,$AS172,COLUMNS($AV$9:BB171)),""))</f>
        <v/>
      </c>
      <c r="BC172" s="1" t="str">
        <f>IF(IFERROR(INDEX($A$9:$X$304,$AS172,COLUMNS($AV$9:BC171)),"")=0,"",IFERROR(INDEX($A$9:$X$304,$AS172,COLUMNS($AV$9:BC171)),""))</f>
        <v>Draw two cards.</v>
      </c>
      <c r="BD172" s="1" t="str">
        <f>IF(IFERROR(INDEX($A$9:$X$304,$AS172,COLUMNS($AV$9:BD171)),"")=0,"",IFERROR(INDEX($A$9:$X$304,$AS172,COLUMNS($AV$9:BD171)),""))</f>
        <v>Target champion gains unbreakable and +10 {offense} this turn.</v>
      </c>
      <c r="BE172" s="1" t="str">
        <f>IF(IFERROR(INDEX($A$9:$X$304,$AS172,COLUMNS($AV$9:BE171)),"")=0,"",IFERROR(INDEX($A$9:$X$304,$AS172,COLUMNS($AV$9:BE171)),""))</f>
        <v/>
      </c>
      <c r="BF172" s="1" t="str">
        <f>IF(IFERROR(INDEX($A$9:$X$304,$AS172,COLUMNS($AV$9:BF171)),"")=0,"",IFERROR(INDEX($A$9:$X$304,$AS172,COLUMNS($AV$9:BF171)),""))</f>
        <v/>
      </c>
      <c r="BG172" s="1" t="str">
        <f>IF(IFERROR(INDEX($A$9:$X$304,$AS172,COLUMNS($AV$9:BG171)),"")=0,"",IFERROR(INDEX($A$9:$X$304,$AS172,COLUMNS($AV$9:BG171)),""))</f>
        <v/>
      </c>
      <c r="BH172" s="1" t="str">
        <f>IF(IFERROR(INDEX($A$9:$X$304,$AS172,COLUMNS($AV$9:BH171)),"")=0,"",IFERROR(INDEX($A$9:$X$304,$AS172,COLUMNS($AV$9:BH171)),""))</f>
        <v/>
      </c>
      <c r="BI172" s="1" t="str">
        <f>IF(IFERROR(INDEX($A$9:$X$304,$AS172,COLUMNS($AV$9:BI171)),"")=0,"",IFERROR(INDEX($A$9:$X$304,$AS172,COLUMNS($AV$9:BI171)),""))</f>
        <v/>
      </c>
      <c r="BJ172" s="1" t="str">
        <f>IF(IFERROR(INDEX($A$9:$X$304,$AS172,COLUMNS($AV$9:BJ171)),"")=0,"",IFERROR(INDEX($A$9:$X$304,$AS172,COLUMNS($AV$9:BJ171)),""))</f>
        <v>GIANT</v>
      </c>
      <c r="BK172" s="1" t="str">
        <f>IF(IFERROR(INDEX($A$9:$X$304,$AS172,COLUMNS($AV$9:BK171)),"")=0,"",IFERROR(INDEX($A$9:$X$304,$AS172,COLUMNS($AV$9:BK171)),""))</f>
        <v>Common</v>
      </c>
      <c r="BL172" s="1" t="str">
        <f>IF(IFERROR(INDEX($A$9:$X$304,$AS172,COLUMNS($AV$9:BL171)),"")=0,"",IFERROR(INDEX($A$9:$X$304,$AS172,COLUMNS($AV$9:BL171)),""))</f>
        <v>Souveraine</v>
      </c>
      <c r="BM172" s="1" t="str">
        <f>IF(IFERROR(INDEX($A$9:$X$304,$AS172,COLUMNS($AV$9:BM171)),"")=0,"",IFERROR(INDEX($A$9:$X$304,$AS172,COLUMNS($AV$9:BM171)),""))</f>
        <v>Base Set</v>
      </c>
      <c r="BN172" s="3" t="b">
        <f>IF(IFERROR(INDEX($A$9:$X$304,$AS172,COLUMNS($AV$9:BN171)),"")=0,"",IFERROR(INDEX($A$9:$X$304,$AS172,COLUMNS($AV$9:BN171)),""))</f>
        <v>1</v>
      </c>
      <c r="BO172" s="3" t="b">
        <f>IF(IFERROR(INDEX($A$9:$X$304,$AS172,COLUMNS($AV$9:BO171)),"")=0,"",IFERROR(INDEX($A$9:$X$304,$AS172,COLUMNS($AV$9:BO171)),""))</f>
        <v>1</v>
      </c>
      <c r="BP172" s="3" t="b">
        <f>IF(IFERROR(INDEX($A$9:$X$304,$AS172,COLUMNS($AV$9:BP171)),"")=0,"",IFERROR(INDEX($A$9:$X$304,$AS172,COLUMNS($AV$9:BP171)),""))</f>
        <v>0</v>
      </c>
      <c r="BQ172" s="3" t="b">
        <f>IF(IFERROR(INDEX($A$9:$X$304,$AS172,COLUMNS($AV$9:BQ171)),"")=0,"",IFERROR(INDEX($A$9:$X$304,$AS172,COLUMNS($AV$9:BQ171)),""))</f>
        <v>0</v>
      </c>
      <c r="BR172" s="3" t="str">
        <f>IF(IFERROR(INDEX($A$9:$X$304,$AS172,COLUMNS($AV$9:BR171)),"")=0,"",IFERROR(INDEX($A$9:$X$304,$AS172,COLUMNS($AV$9:BR171)),""))</f>
        <v>http://www.epiccardgame.com/wp-content/uploads/2015/09/mighty_blow-215x300.jpg</v>
      </c>
      <c r="BS172" s="3" t="str">
        <f>IF(IFERROR(INDEX($A$9:$X$304,$AS172,COLUMNS($AV$9:BS171)),"")=0,"",IFERROR(INDEX($A$9:$X$304,$AS172,COLUMNS($AV$9:BS171)),""))</f>
        <v/>
      </c>
      <c r="BT172" s="3"/>
      <c r="BU172" s="15"/>
      <c r="BV172" t="s">
        <v>193</v>
      </c>
    </row>
    <row r="173" spans="1:74" ht="225" customHeight="1" x14ac:dyDescent="0.25">
      <c r="A173" t="s">
        <v>487</v>
      </c>
      <c r="B173">
        <v>1</v>
      </c>
      <c r="C173" t="s">
        <v>616</v>
      </c>
      <c r="E173" t="s">
        <v>620</v>
      </c>
      <c r="F173">
        <v>3</v>
      </c>
      <c r="G173">
        <v>2</v>
      </c>
      <c r="H173" t="s">
        <v>25</v>
      </c>
      <c r="I173" t="s">
        <v>878</v>
      </c>
      <c r="O173" t="s">
        <v>1086</v>
      </c>
      <c r="P173" t="s">
        <v>1112</v>
      </c>
      <c r="Q173" t="s">
        <v>1152</v>
      </c>
      <c r="R173" t="s">
        <v>1178</v>
      </c>
      <c r="S173" t="b">
        <v>1</v>
      </c>
      <c r="T173" t="b">
        <v>0</v>
      </c>
      <c r="U173" t="b">
        <v>0</v>
      </c>
      <c r="V173" t="b">
        <v>0</v>
      </c>
      <c r="W173" s="2" t="s">
        <v>1348</v>
      </c>
      <c r="X173" s="2"/>
      <c r="Y173" s="24">
        <v>165</v>
      </c>
      <c r="Z173">
        <f t="shared" si="40"/>
        <v>165</v>
      </c>
      <c r="AA173">
        <f t="shared" si="41"/>
        <v>165</v>
      </c>
      <c r="AB173">
        <f t="shared" si="42"/>
        <v>165</v>
      </c>
      <c r="AC173">
        <f t="shared" si="43"/>
        <v>0</v>
      </c>
      <c r="AD173">
        <f t="shared" si="44"/>
        <v>165</v>
      </c>
      <c r="AE173">
        <f t="shared" si="45"/>
        <v>165</v>
      </c>
      <c r="AF173">
        <f t="shared" si="46"/>
        <v>165</v>
      </c>
      <c r="AG173">
        <f t="shared" si="47"/>
        <v>165</v>
      </c>
      <c r="AH173">
        <f t="shared" si="48"/>
        <v>165</v>
      </c>
      <c r="AI173">
        <f t="shared" si="49"/>
        <v>0</v>
      </c>
      <c r="AJ173">
        <f t="shared" si="50"/>
        <v>0</v>
      </c>
      <c r="AK173">
        <f t="shared" si="51"/>
        <v>0</v>
      </c>
      <c r="AL173">
        <f t="shared" si="52"/>
        <v>0</v>
      </c>
      <c r="AM173">
        <f t="shared" si="53"/>
        <v>0</v>
      </c>
      <c r="AN173">
        <f t="shared" si="54"/>
        <v>165</v>
      </c>
      <c r="AO173">
        <f t="shared" si="55"/>
        <v>165</v>
      </c>
      <c r="AP173">
        <f t="shared" si="56"/>
        <v>165</v>
      </c>
      <c r="AQ173">
        <f t="shared" si="57"/>
        <v>165</v>
      </c>
      <c r="AR173" s="6">
        <f t="shared" si="58"/>
        <v>165</v>
      </c>
      <c r="AS173">
        <f t="shared" si="59"/>
        <v>165</v>
      </c>
      <c r="AV173" s="1" t="str">
        <f>IF(IFERROR(INDEX($A$9:$W$304,$AS173,COLUMNS($AV$9:AV172)),"")=0,"",IFERROR(INDEX($A$9:$W$304,$AS173,COLUMNS($AV$9:AV172)),""))</f>
        <v>Mist Guide Herald</v>
      </c>
      <c r="AW173" s="1">
        <f>IFERROR(INDEX($A$9:$W$304,$AS173,COLUMNS($AV$9:AW172)),"")</f>
        <v>1</v>
      </c>
      <c r="AX173" s="1" t="str">
        <f>IF(IFERROR(INDEX($A$9:$X$304,$AS173,COLUMNS($AV$9:AX172)),"")=0,"",IFERROR(INDEX($A$9:$X$304,$AS173,COLUMNS($AV$9:AX172)),""))</f>
        <v>SAGE</v>
      </c>
      <c r="AY173" s="1" t="str">
        <f>IF(IFERROR(INDEX($A$9:$X$304,$AS173,COLUMNS($AV$9:AY172)),"")=0,"",IFERROR(INDEX($A$9:$X$304,$AS173,COLUMNS($AV$9:AY172)),""))</f>
        <v/>
      </c>
      <c r="AZ173" s="1" t="str">
        <f>IF(IFERROR(INDEX($A$9:$X$304,$AS173,COLUMNS($AV$9:AZ172)),"")=0,"",IFERROR(INDEX($A$9:$X$304,$AS173,COLUMNS($AV$9:AZ172)),""))</f>
        <v>CHAMPION</v>
      </c>
      <c r="BA173" s="1">
        <f>IF(IFERROR(INDEX($A$9:$X$304,$AS173,COLUMNS($AV$9:BA172)),"")=0,"",IFERROR(INDEX($A$9:$X$304,$AS173,COLUMNS($AV$9:BA172)),""))</f>
        <v>3</v>
      </c>
      <c r="BB173" s="1">
        <f>IF(IFERROR(INDEX($A$9:$X$304,$AS173,COLUMNS($AV$9:BB172)),"")=0,"",IFERROR(INDEX($A$9:$X$304,$AS173,COLUMNS($AV$9:BB172)),""))</f>
        <v>2</v>
      </c>
      <c r="BC173" s="1" t="str">
        <f>IF(IFERROR(INDEX($A$9:$X$304,$AS173,COLUMNS($AV$9:BC172)),"")=0,"",IFERROR(INDEX($A$9:$X$304,$AS173,COLUMNS($AV$9:BC172)),""))</f>
        <v>Airborne</v>
      </c>
      <c r="BD173" s="1" t="str">
        <f>IF(IFERROR(INDEX($A$9:$X$304,$AS173,COLUMNS($AV$9:BD172)),"")=0,"",IFERROR(INDEX($A$9:$X$304,$AS173,COLUMNS($AV$9:BD172)),""))</f>
        <v>Tribute → Reveal the top 5 cards of your deck. You may choose a champion card among them and put it into play. Banish the rest.</v>
      </c>
      <c r="BE173" s="1" t="str">
        <f>IF(IFERROR(INDEX($A$9:$X$304,$AS173,COLUMNS($AV$9:BE172)),"")=0,"",IFERROR(INDEX($A$9:$X$304,$AS173,COLUMNS($AV$9:BE172)),""))</f>
        <v/>
      </c>
      <c r="BF173" s="1" t="str">
        <f>IF(IFERROR(INDEX($A$9:$X$304,$AS173,COLUMNS($AV$9:BF172)),"")=0,"",IFERROR(INDEX($A$9:$X$304,$AS173,COLUMNS($AV$9:BF172)),""))</f>
        <v/>
      </c>
      <c r="BG173" s="1" t="str">
        <f>IF(IFERROR(INDEX($A$9:$X$304,$AS173,COLUMNS($AV$9:BG172)),"")=0,"",IFERROR(INDEX($A$9:$X$304,$AS173,COLUMNS($AV$9:BG172)),""))</f>
        <v/>
      </c>
      <c r="BH173" s="1" t="str">
        <f>IF(IFERROR(INDEX($A$9:$X$304,$AS173,COLUMNS($AV$9:BH172)),"")=0,"",IFERROR(INDEX($A$9:$X$304,$AS173,COLUMNS($AV$9:BH172)),""))</f>
        <v/>
      </c>
      <c r="BI173" s="1" t="str">
        <f>IF(IFERROR(INDEX($A$9:$X$304,$AS173,COLUMNS($AV$9:BI172)),"")=0,"",IFERROR(INDEX($A$9:$X$304,$AS173,COLUMNS($AV$9:BI172)),""))</f>
        <v/>
      </c>
      <c r="BJ173" s="1" t="str">
        <f>IF(IFERROR(INDEX($A$9:$X$304,$AS173,COLUMNS($AV$9:BJ172)),"")=0,"",IFERROR(INDEX($A$9:$X$304,$AS173,COLUMNS($AV$9:BJ172)),""))</f>
        <v>FAIRY</v>
      </c>
      <c r="BK173" s="1" t="str">
        <f>IF(IFERROR(INDEX($A$9:$X$304,$AS173,COLUMNS($AV$9:BK172)),"")=0,"",IFERROR(INDEX($A$9:$X$304,$AS173,COLUMNS($AV$9:BK172)),""))</f>
        <v>Common</v>
      </c>
      <c r="BL173" s="1" t="str">
        <f>IF(IFERROR(INDEX($A$9:$X$304,$AS173,COLUMNS($AV$9:BL172)),"")=0,"",IFERROR(INDEX($A$9:$X$304,$AS173,COLUMNS($AV$9:BL172)),""))</f>
        <v>Gialer Liew</v>
      </c>
      <c r="BM173" s="1" t="str">
        <f>IF(IFERROR(INDEX($A$9:$X$304,$AS173,COLUMNS($AV$9:BM172)),"")=0,"",IFERROR(INDEX($A$9:$X$304,$AS173,COLUMNS($AV$9:BM172)),""))</f>
        <v>Tyrants: Draka's Rage</v>
      </c>
      <c r="BN173" s="3" t="b">
        <f>IF(IFERROR(INDEX($A$9:$X$304,$AS173,COLUMNS($AV$9:BN172)),"")=0,"",IFERROR(INDEX($A$9:$X$304,$AS173,COLUMNS($AV$9:BN172)),""))</f>
        <v>1</v>
      </c>
      <c r="BO173" s="3" t="b">
        <f>IF(IFERROR(INDEX($A$9:$X$304,$AS173,COLUMNS($AV$9:BO172)),"")=0,"",IFERROR(INDEX($A$9:$X$304,$AS173,COLUMNS($AV$9:BO172)),""))</f>
        <v>0</v>
      </c>
      <c r="BP173" s="3" t="b">
        <f>IF(IFERROR(INDEX($A$9:$X$304,$AS173,COLUMNS($AV$9:BP172)),"")=0,"",IFERROR(INDEX($A$9:$X$304,$AS173,COLUMNS($AV$9:BP172)),""))</f>
        <v>0</v>
      </c>
      <c r="BQ173" s="3" t="b">
        <f>IF(IFERROR(INDEX($A$9:$X$304,$AS173,COLUMNS($AV$9:BQ172)),"")=0,"",IFERROR(INDEX($A$9:$X$304,$AS173,COLUMNS($AV$9:BQ172)),""))</f>
        <v>0</v>
      </c>
      <c r="BR173" s="3" t="str">
        <f>IF(IFERROR(INDEX($A$9:$X$304,$AS173,COLUMNS($AV$9:BR172)),"")=0,"",IFERROR(INDEX($A$9:$X$304,$AS173,COLUMNS($AV$9:BR172)),""))</f>
        <v>http://www.epiccardgame.com/wp-content/uploads/2016/03/mist_guide_herald-214x300.jpg</v>
      </c>
      <c r="BS173" s="3" t="str">
        <f>IF(IFERROR(INDEX($A$9:$X$304,$AS173,COLUMNS($AV$9:BS172)),"")=0,"",IFERROR(INDEX($A$9:$X$304,$AS173,COLUMNS($AV$9:BS172)),""))</f>
        <v/>
      </c>
      <c r="BT173" s="3"/>
      <c r="BU173" s="15"/>
      <c r="BV173" t="s">
        <v>194</v>
      </c>
    </row>
    <row r="174" spans="1:74" ht="225.2" customHeight="1" x14ac:dyDescent="0.25">
      <c r="A174" t="s">
        <v>488</v>
      </c>
      <c r="B174">
        <v>1</v>
      </c>
      <c r="C174" t="s">
        <v>618</v>
      </c>
      <c r="E174" t="s">
        <v>620</v>
      </c>
      <c r="F174">
        <v>2</v>
      </c>
      <c r="G174">
        <v>6</v>
      </c>
      <c r="H174" t="s">
        <v>706</v>
      </c>
      <c r="I174" t="s">
        <v>879</v>
      </c>
      <c r="O174" t="s">
        <v>1074</v>
      </c>
      <c r="P174" t="s">
        <v>1113</v>
      </c>
      <c r="Q174" t="s">
        <v>1117</v>
      </c>
      <c r="R174" t="s">
        <v>1171</v>
      </c>
      <c r="S174" t="b">
        <v>1</v>
      </c>
      <c r="T174" t="b">
        <v>0</v>
      </c>
      <c r="U174" t="b">
        <v>0</v>
      </c>
      <c r="V174" t="b">
        <v>0</v>
      </c>
      <c r="W174" s="2" t="s">
        <v>1349</v>
      </c>
      <c r="X174" s="2"/>
      <c r="Y174" s="24">
        <v>166</v>
      </c>
      <c r="Z174">
        <f t="shared" si="40"/>
        <v>166</v>
      </c>
      <c r="AA174">
        <f t="shared" si="41"/>
        <v>166</v>
      </c>
      <c r="AB174">
        <f t="shared" si="42"/>
        <v>166</v>
      </c>
      <c r="AC174">
        <f t="shared" si="43"/>
        <v>0</v>
      </c>
      <c r="AD174">
        <f t="shared" si="44"/>
        <v>166</v>
      </c>
      <c r="AE174">
        <f t="shared" si="45"/>
        <v>166</v>
      </c>
      <c r="AF174">
        <f t="shared" si="46"/>
        <v>166</v>
      </c>
      <c r="AG174">
        <f t="shared" si="47"/>
        <v>166</v>
      </c>
      <c r="AH174">
        <f t="shared" si="48"/>
        <v>166</v>
      </c>
      <c r="AI174">
        <f t="shared" si="49"/>
        <v>0</v>
      </c>
      <c r="AJ174">
        <f t="shared" si="50"/>
        <v>0</v>
      </c>
      <c r="AK174">
        <f t="shared" si="51"/>
        <v>0</v>
      </c>
      <c r="AL174">
        <f t="shared" si="52"/>
        <v>0</v>
      </c>
      <c r="AM174">
        <f t="shared" si="53"/>
        <v>0</v>
      </c>
      <c r="AN174">
        <f t="shared" si="54"/>
        <v>166</v>
      </c>
      <c r="AO174">
        <f t="shared" si="55"/>
        <v>166</v>
      </c>
      <c r="AP174">
        <f t="shared" si="56"/>
        <v>166</v>
      </c>
      <c r="AQ174">
        <f t="shared" si="57"/>
        <v>166</v>
      </c>
      <c r="AR174" s="6">
        <f t="shared" si="58"/>
        <v>166</v>
      </c>
      <c r="AS174">
        <f t="shared" si="59"/>
        <v>166</v>
      </c>
      <c r="AV174" s="1" t="str">
        <f>IF(IFERROR(INDEX($A$9:$W$304,$AS174,COLUMNS($AV$9:AV173)),"")=0,"",IFERROR(INDEX($A$9:$W$304,$AS174,COLUMNS($AV$9:AV173)),""))</f>
        <v>Murderous Necromancer</v>
      </c>
      <c r="AW174" s="1">
        <f>IFERROR(INDEX($A$9:$W$304,$AS174,COLUMNS($AV$9:AW173)),"")</f>
        <v>1</v>
      </c>
      <c r="AX174" s="1" t="str">
        <f>IF(IFERROR(INDEX($A$9:$X$304,$AS174,COLUMNS($AV$9:AX173)),"")=0,"",IFERROR(INDEX($A$9:$X$304,$AS174,COLUMNS($AV$9:AX173)),""))</f>
        <v>EVIL</v>
      </c>
      <c r="AY174" s="1" t="str">
        <f>IF(IFERROR(INDEX($A$9:$X$304,$AS174,COLUMNS($AV$9:AY173)),"")=0,"",IFERROR(INDEX($A$9:$X$304,$AS174,COLUMNS($AV$9:AY173)),""))</f>
        <v/>
      </c>
      <c r="AZ174" s="1" t="str">
        <f>IF(IFERROR(INDEX($A$9:$X$304,$AS174,COLUMNS($AV$9:AZ173)),"")=0,"",IFERROR(INDEX($A$9:$X$304,$AS174,COLUMNS($AV$9:AZ173)),""))</f>
        <v>CHAMPION</v>
      </c>
      <c r="BA174" s="1">
        <f>IF(IFERROR(INDEX($A$9:$X$304,$AS174,COLUMNS($AV$9:BA173)),"")=0,"",IFERROR(INDEX($A$9:$X$304,$AS174,COLUMNS($AV$9:BA173)),""))</f>
        <v>2</v>
      </c>
      <c r="BB174" s="1">
        <f>IF(IFERROR(INDEX($A$9:$X$304,$AS174,COLUMNS($AV$9:BB173)),"")=0,"",IFERROR(INDEX($A$9:$X$304,$AS174,COLUMNS($AV$9:BB173)),""))</f>
        <v>6</v>
      </c>
      <c r="BC174" s="1" t="str">
        <f>IF(IFERROR(INDEX($A$9:$X$304,$AS174,COLUMNS($AV$9:BC173)),"")=0,"",IFERROR(INDEX($A$9:$X$304,$AS174,COLUMNS($AV$9:BC173)),""))</f>
        <v>Loyalty 2 → Put three zombie tokens into play.</v>
      </c>
      <c r="BD174" s="1" t="str">
        <f>IF(IFERROR(INDEX($A$9:$X$304,$AS174,COLUMNS($AV$9:BD173)),"")=0,"",IFERROR(INDEX($A$9:$X$304,$AS174,COLUMNS($AV$9:BD173)),""))</f>
        <v>{expend}: Break target champion, then put a zombie token into play under your control.</v>
      </c>
      <c r="BE174" s="1" t="str">
        <f>IF(IFERROR(INDEX($A$9:$X$304,$AS174,COLUMNS($AV$9:BE173)),"")=0,"",IFERROR(INDEX($A$9:$X$304,$AS174,COLUMNS($AV$9:BE173)),""))</f>
        <v/>
      </c>
      <c r="BF174" s="1" t="str">
        <f>IF(IFERROR(INDEX($A$9:$X$304,$AS174,COLUMNS($AV$9:BF173)),"")=0,"",IFERROR(INDEX($A$9:$X$304,$AS174,COLUMNS($AV$9:BF173)),""))</f>
        <v/>
      </c>
      <c r="BG174" s="1" t="str">
        <f>IF(IFERROR(INDEX($A$9:$X$304,$AS174,COLUMNS($AV$9:BG173)),"")=0,"",IFERROR(INDEX($A$9:$X$304,$AS174,COLUMNS($AV$9:BG173)),""))</f>
        <v/>
      </c>
      <c r="BH174" s="1" t="str">
        <f>IF(IFERROR(INDEX($A$9:$X$304,$AS174,COLUMNS($AV$9:BH173)),"")=0,"",IFERROR(INDEX($A$9:$X$304,$AS174,COLUMNS($AV$9:BH173)),""))</f>
        <v/>
      </c>
      <c r="BI174" s="1" t="str">
        <f>IF(IFERROR(INDEX($A$9:$X$304,$AS174,COLUMNS($AV$9:BI173)),"")=0,"",IFERROR(INDEX($A$9:$X$304,$AS174,COLUMNS($AV$9:BI173)),""))</f>
        <v/>
      </c>
      <c r="BJ174" s="1" t="str">
        <f>IF(IFERROR(INDEX($A$9:$X$304,$AS174,COLUMNS($AV$9:BJ173)),"")=0,"",IFERROR(INDEX($A$9:$X$304,$AS174,COLUMNS($AV$9:BJ173)),""))</f>
        <v>HUMAN MAGE</v>
      </c>
      <c r="BK174" s="1" t="str">
        <f>IF(IFERROR(INDEX($A$9:$X$304,$AS174,COLUMNS($AV$9:BK173)),"")=0,"",IFERROR(INDEX($A$9:$X$304,$AS174,COLUMNS($AV$9:BK173)),""))</f>
        <v>Rare</v>
      </c>
      <c r="BL174" s="1" t="str">
        <f>IF(IFERROR(INDEX($A$9:$X$304,$AS174,COLUMNS($AV$9:BL173)),"")=0,"",IFERROR(INDEX($A$9:$X$304,$AS174,COLUMNS($AV$9:BL173)),""))</f>
        <v>Antonis Papantoniou</v>
      </c>
      <c r="BM174" s="1" t="str">
        <f>IF(IFERROR(INDEX($A$9:$X$304,$AS174,COLUMNS($AV$9:BM173)),"")=0,"",IFERROR(INDEX($A$9:$X$304,$AS174,COLUMNS($AV$9:BM173)),""))</f>
        <v>Base Set</v>
      </c>
      <c r="BN174" s="3" t="b">
        <f>IF(IFERROR(INDEX($A$9:$X$304,$AS174,COLUMNS($AV$9:BN173)),"")=0,"",IFERROR(INDEX($A$9:$X$304,$AS174,COLUMNS($AV$9:BN173)),""))</f>
        <v>1</v>
      </c>
      <c r="BO174" s="3" t="b">
        <f>IF(IFERROR(INDEX($A$9:$X$304,$AS174,COLUMNS($AV$9:BO173)),"")=0,"",IFERROR(INDEX($A$9:$X$304,$AS174,COLUMNS($AV$9:BO173)),""))</f>
        <v>0</v>
      </c>
      <c r="BP174" s="3" t="b">
        <f>IF(IFERROR(INDEX($A$9:$X$304,$AS174,COLUMNS($AV$9:BP173)),"")=0,"",IFERROR(INDEX($A$9:$X$304,$AS174,COLUMNS($AV$9:BP173)),""))</f>
        <v>0</v>
      </c>
      <c r="BQ174" s="3" t="b">
        <f>IF(IFERROR(INDEX($A$9:$X$304,$AS174,COLUMNS($AV$9:BQ173)),"")=0,"",IFERROR(INDEX($A$9:$X$304,$AS174,COLUMNS($AV$9:BQ173)),""))</f>
        <v>0</v>
      </c>
      <c r="BR174" s="3" t="str">
        <f>IF(IFERROR(INDEX($A$9:$X$304,$AS174,COLUMNS($AV$9:BR173)),"")=0,"",IFERROR(INDEX($A$9:$X$304,$AS174,COLUMNS($AV$9:BR173)),""))</f>
        <v>http://www.epiccardgame.com/wp-content/uploads/2015/09/murderous_necromancer-215x300.jpg</v>
      </c>
      <c r="BS174" s="3" t="str">
        <f>IF(IFERROR(INDEX($A$9:$X$304,$AS174,COLUMNS($AV$9:BS173)),"")=0,"",IFERROR(INDEX($A$9:$X$304,$AS174,COLUMNS($AV$9:BS173)),""))</f>
        <v/>
      </c>
      <c r="BT174" s="3"/>
      <c r="BU174" s="15"/>
      <c r="BV174" t="s">
        <v>195</v>
      </c>
    </row>
    <row r="175" spans="1:74" ht="225" customHeight="1" x14ac:dyDescent="0.25">
      <c r="A175" t="s">
        <v>489</v>
      </c>
      <c r="B175">
        <v>0</v>
      </c>
      <c r="C175" t="s">
        <v>616</v>
      </c>
      <c r="E175" t="s">
        <v>620</v>
      </c>
      <c r="F175">
        <v>2</v>
      </c>
      <c r="G175">
        <v>2</v>
      </c>
      <c r="H175" t="s">
        <v>690</v>
      </c>
      <c r="I175" t="s">
        <v>880</v>
      </c>
      <c r="O175" t="s">
        <v>1088</v>
      </c>
      <c r="P175" t="s">
        <v>1112</v>
      </c>
      <c r="Q175" t="s">
        <v>1114</v>
      </c>
      <c r="R175" t="s">
        <v>1171</v>
      </c>
      <c r="S175" t="b">
        <v>0</v>
      </c>
      <c r="T175" t="b">
        <v>0</v>
      </c>
      <c r="U175" t="b">
        <v>0</v>
      </c>
      <c r="V175" t="b">
        <v>0</v>
      </c>
      <c r="W175" s="2" t="s">
        <v>1350</v>
      </c>
      <c r="X175" s="2"/>
      <c r="Y175" s="24">
        <v>167</v>
      </c>
      <c r="Z175">
        <f t="shared" si="40"/>
        <v>167</v>
      </c>
      <c r="AA175">
        <f t="shared" si="41"/>
        <v>167</v>
      </c>
      <c r="AB175">
        <f t="shared" si="42"/>
        <v>167</v>
      </c>
      <c r="AC175">
        <f t="shared" si="43"/>
        <v>0</v>
      </c>
      <c r="AD175">
        <f t="shared" si="44"/>
        <v>167</v>
      </c>
      <c r="AE175">
        <f t="shared" si="45"/>
        <v>167</v>
      </c>
      <c r="AF175">
        <f t="shared" si="46"/>
        <v>167</v>
      </c>
      <c r="AG175">
        <f t="shared" si="47"/>
        <v>167</v>
      </c>
      <c r="AH175">
        <f t="shared" si="48"/>
        <v>167</v>
      </c>
      <c r="AI175">
        <f t="shared" si="49"/>
        <v>0</v>
      </c>
      <c r="AJ175">
        <f t="shared" si="50"/>
        <v>0</v>
      </c>
      <c r="AK175">
        <f t="shared" si="51"/>
        <v>0</v>
      </c>
      <c r="AL175">
        <f t="shared" si="52"/>
        <v>0</v>
      </c>
      <c r="AM175">
        <f t="shared" si="53"/>
        <v>0</v>
      </c>
      <c r="AN175">
        <f t="shared" si="54"/>
        <v>167</v>
      </c>
      <c r="AO175">
        <f t="shared" si="55"/>
        <v>167</v>
      </c>
      <c r="AP175">
        <f t="shared" si="56"/>
        <v>167</v>
      </c>
      <c r="AQ175">
        <f t="shared" si="57"/>
        <v>167</v>
      </c>
      <c r="AR175" s="6">
        <f t="shared" si="58"/>
        <v>167</v>
      </c>
      <c r="AS175">
        <f t="shared" si="59"/>
        <v>167</v>
      </c>
      <c r="AV175" s="1" t="str">
        <f>IF(IFERROR(INDEX($A$9:$W$304,$AS175,COLUMNS($AV$9:AV174)),"")=0,"",IFERROR(INDEX($A$9:$W$304,$AS175,COLUMNS($AV$9:AV174)),""))</f>
        <v>Muse</v>
      </c>
      <c r="AW175" s="1">
        <f>IFERROR(INDEX($A$9:$W$304,$AS175,COLUMNS($AV$9:AW174)),"")</f>
        <v>0</v>
      </c>
      <c r="AX175" s="1" t="str">
        <f>IF(IFERROR(INDEX($A$9:$X$304,$AS175,COLUMNS($AV$9:AX174)),"")=0,"",IFERROR(INDEX($A$9:$X$304,$AS175,COLUMNS($AV$9:AX174)),""))</f>
        <v>SAGE</v>
      </c>
      <c r="AY175" s="1" t="str">
        <f>IF(IFERROR(INDEX($A$9:$X$304,$AS175,COLUMNS($AV$9:AY174)),"")=0,"",IFERROR(INDEX($A$9:$X$304,$AS175,COLUMNS($AV$9:AY174)),""))</f>
        <v/>
      </c>
      <c r="AZ175" s="1" t="str">
        <f>IF(IFERROR(INDEX($A$9:$X$304,$AS175,COLUMNS($AV$9:AZ174)),"")=0,"",IFERROR(INDEX($A$9:$X$304,$AS175,COLUMNS($AV$9:AZ174)),""))</f>
        <v>CHAMPION</v>
      </c>
      <c r="BA175" s="1">
        <f>IF(IFERROR(INDEX($A$9:$X$304,$AS175,COLUMNS($AV$9:BA174)),"")=0,"",IFERROR(INDEX($A$9:$X$304,$AS175,COLUMNS($AV$9:BA174)),""))</f>
        <v>2</v>
      </c>
      <c r="BB175" s="1">
        <f>IF(IFERROR(INDEX($A$9:$X$304,$AS175,COLUMNS($AV$9:BB174)),"")=0,"",IFERROR(INDEX($A$9:$X$304,$AS175,COLUMNS($AV$9:BB174)),""))</f>
        <v>2</v>
      </c>
      <c r="BC175" s="1" t="str">
        <f>IF(IFERROR(INDEX($A$9:$X$304,$AS175,COLUMNS($AV$9:BC174)),"")=0,"",IFERROR(INDEX($A$9:$X$304,$AS175,COLUMNS($AV$9:BC174)),""))</f>
        <v>Airborne ◆ Ambush</v>
      </c>
      <c r="BD175" s="1" t="str">
        <f>IF(IFERROR(INDEX($A$9:$X$304,$AS175,COLUMNS($AV$9:BD174)),"")=0,"",IFERROR(INDEX($A$9:$X$304,$AS175,COLUMNS($AV$9:BD174)),""))</f>
        <v>At the start of your turn → You may draw a card.</v>
      </c>
      <c r="BE175" s="1" t="str">
        <f>IF(IFERROR(INDEX($A$9:$X$304,$AS175,COLUMNS($AV$9:BE174)),"")=0,"",IFERROR(INDEX($A$9:$X$304,$AS175,COLUMNS($AV$9:BE174)),""))</f>
        <v/>
      </c>
      <c r="BF175" s="1" t="str">
        <f>IF(IFERROR(INDEX($A$9:$X$304,$AS175,COLUMNS($AV$9:BF174)),"")=0,"",IFERROR(INDEX($A$9:$X$304,$AS175,COLUMNS($AV$9:BF174)),""))</f>
        <v/>
      </c>
      <c r="BG175" s="1" t="str">
        <f>IF(IFERROR(INDEX($A$9:$X$304,$AS175,COLUMNS($AV$9:BG174)),"")=0,"",IFERROR(INDEX($A$9:$X$304,$AS175,COLUMNS($AV$9:BG174)),""))</f>
        <v/>
      </c>
      <c r="BH175" s="1" t="str">
        <f>IF(IFERROR(INDEX($A$9:$X$304,$AS175,COLUMNS($AV$9:BH174)),"")=0,"",IFERROR(INDEX($A$9:$X$304,$AS175,COLUMNS($AV$9:BH174)),""))</f>
        <v/>
      </c>
      <c r="BI175" s="1" t="str">
        <f>IF(IFERROR(INDEX($A$9:$X$304,$AS175,COLUMNS($AV$9:BI174)),"")=0,"",IFERROR(INDEX($A$9:$X$304,$AS175,COLUMNS($AV$9:BI174)),""))</f>
        <v/>
      </c>
      <c r="BJ175" s="1" t="str">
        <f>IF(IFERROR(INDEX($A$9:$X$304,$AS175,COLUMNS($AV$9:BJ174)),"")=0,"",IFERROR(INDEX($A$9:$X$304,$AS175,COLUMNS($AV$9:BJ174)),""))</f>
        <v>SPIRIT</v>
      </c>
      <c r="BK175" s="1" t="str">
        <f>IF(IFERROR(INDEX($A$9:$X$304,$AS175,COLUMNS($AV$9:BK174)),"")=0,"",IFERROR(INDEX($A$9:$X$304,$AS175,COLUMNS($AV$9:BK174)),""))</f>
        <v>Common</v>
      </c>
      <c r="BL175" s="1" t="str">
        <f>IF(IFERROR(INDEX($A$9:$X$304,$AS175,COLUMNS($AV$9:BL174)),"")=0,"",IFERROR(INDEX($A$9:$X$304,$AS175,COLUMNS($AV$9:BL174)),""))</f>
        <v>Jaan-Paul van Eeden</v>
      </c>
      <c r="BM175" s="1" t="str">
        <f>IF(IFERROR(INDEX($A$9:$X$304,$AS175,COLUMNS($AV$9:BM174)),"")=0,"",IFERROR(INDEX($A$9:$X$304,$AS175,COLUMNS($AV$9:BM174)),""))</f>
        <v>Base Set</v>
      </c>
      <c r="BN175" s="3" t="b">
        <f>IF(IFERROR(INDEX($A$9:$X$304,$AS175,COLUMNS($AV$9:BN174)),"")=0,"",IFERROR(INDEX($A$9:$X$304,$AS175,COLUMNS($AV$9:BN174)),""))</f>
        <v>0</v>
      </c>
      <c r="BO175" s="3" t="b">
        <f>IF(IFERROR(INDEX($A$9:$X$304,$AS175,COLUMNS($AV$9:BO174)),"")=0,"",IFERROR(INDEX($A$9:$X$304,$AS175,COLUMNS($AV$9:BO174)),""))</f>
        <v>0</v>
      </c>
      <c r="BP175" s="3" t="b">
        <f>IF(IFERROR(INDEX($A$9:$X$304,$AS175,COLUMNS($AV$9:BP174)),"")=0,"",IFERROR(INDEX($A$9:$X$304,$AS175,COLUMNS($AV$9:BP174)),""))</f>
        <v>0</v>
      </c>
      <c r="BQ175" s="3" t="b">
        <f>IF(IFERROR(INDEX($A$9:$X$304,$AS175,COLUMNS($AV$9:BQ174)),"")=0,"",IFERROR(INDEX($A$9:$X$304,$AS175,COLUMNS($AV$9:BQ174)),""))</f>
        <v>0</v>
      </c>
      <c r="BR175" s="3" t="str">
        <f>IF(IFERROR(INDEX($A$9:$X$304,$AS175,COLUMNS($AV$9:BR174)),"")=0,"",IFERROR(INDEX($A$9:$X$304,$AS175,COLUMNS($AV$9:BR174)),""))</f>
        <v>http://www.epiccardgame.com/wp-content/uploads/2015/09/muse-215x300.jpg</v>
      </c>
      <c r="BS175" s="3" t="str">
        <f>IF(IFERROR(INDEX($A$9:$X$304,$AS175,COLUMNS($AV$9:BS174)),"")=0,"",IFERROR(INDEX($A$9:$X$304,$AS175,COLUMNS($AV$9:BS174)),""))</f>
        <v/>
      </c>
      <c r="BT175" s="3"/>
      <c r="BU175" s="15"/>
      <c r="BV175" t="s">
        <v>196</v>
      </c>
    </row>
    <row r="176" spans="1:74" ht="225" customHeight="1" x14ac:dyDescent="0.25">
      <c r="A176" t="s">
        <v>490</v>
      </c>
      <c r="B176">
        <v>1</v>
      </c>
      <c r="C176" t="s">
        <v>616</v>
      </c>
      <c r="E176" t="s">
        <v>620</v>
      </c>
      <c r="F176">
        <v>3</v>
      </c>
      <c r="G176">
        <v>2</v>
      </c>
      <c r="H176" t="s">
        <v>682</v>
      </c>
      <c r="I176" t="s">
        <v>674</v>
      </c>
      <c r="J176" t="s">
        <v>947</v>
      </c>
      <c r="O176" t="s">
        <v>1074</v>
      </c>
      <c r="P176" t="s">
        <v>1112</v>
      </c>
      <c r="Q176" t="s">
        <v>1153</v>
      </c>
      <c r="R176" t="s">
        <v>1170</v>
      </c>
      <c r="S176" t="b">
        <v>1</v>
      </c>
      <c r="T176" t="b">
        <v>0</v>
      </c>
      <c r="U176" t="b">
        <v>0</v>
      </c>
      <c r="V176" t="b">
        <v>0</v>
      </c>
      <c r="W176" s="2" t="s">
        <v>1351</v>
      </c>
      <c r="X176" s="2"/>
      <c r="Y176" s="24">
        <v>168</v>
      </c>
      <c r="Z176">
        <f t="shared" si="40"/>
        <v>168</v>
      </c>
      <c r="AA176">
        <f t="shared" si="41"/>
        <v>168</v>
      </c>
      <c r="AB176">
        <f t="shared" si="42"/>
        <v>168</v>
      </c>
      <c r="AC176">
        <f t="shared" si="43"/>
        <v>0</v>
      </c>
      <c r="AD176">
        <f t="shared" si="44"/>
        <v>168</v>
      </c>
      <c r="AE176">
        <f t="shared" si="45"/>
        <v>168</v>
      </c>
      <c r="AF176">
        <f t="shared" si="46"/>
        <v>168</v>
      </c>
      <c r="AG176">
        <f t="shared" si="47"/>
        <v>168</v>
      </c>
      <c r="AH176">
        <f t="shared" si="48"/>
        <v>168</v>
      </c>
      <c r="AI176">
        <f t="shared" si="49"/>
        <v>168</v>
      </c>
      <c r="AJ176">
        <f t="shared" si="50"/>
        <v>0</v>
      </c>
      <c r="AK176">
        <f t="shared" si="51"/>
        <v>0</v>
      </c>
      <c r="AL176">
        <f t="shared" si="52"/>
        <v>0</v>
      </c>
      <c r="AM176">
        <f t="shared" si="53"/>
        <v>0</v>
      </c>
      <c r="AN176">
        <f t="shared" si="54"/>
        <v>168</v>
      </c>
      <c r="AO176">
        <f t="shared" si="55"/>
        <v>168</v>
      </c>
      <c r="AP176">
        <f t="shared" si="56"/>
        <v>168</v>
      </c>
      <c r="AQ176">
        <f t="shared" si="57"/>
        <v>168</v>
      </c>
      <c r="AR176" s="6">
        <f t="shared" si="58"/>
        <v>168</v>
      </c>
      <c r="AS176">
        <f t="shared" si="59"/>
        <v>168</v>
      </c>
      <c r="AV176" s="1" t="str">
        <f>IF(IFERROR(INDEX($A$9:$W$304,$AS176,COLUMNS($AV$9:AV175)),"")=0,"",IFERROR(INDEX($A$9:$W$304,$AS176,COLUMNS($AV$9:AV175)),""))</f>
        <v>Mystic Researcher</v>
      </c>
      <c r="AW176" s="1">
        <f>IFERROR(INDEX($A$9:$W$304,$AS176,COLUMNS($AV$9:AW175)),"")</f>
        <v>1</v>
      </c>
      <c r="AX176" s="1" t="str">
        <f>IF(IFERROR(INDEX($A$9:$X$304,$AS176,COLUMNS($AV$9:AX175)),"")=0,"",IFERROR(INDEX($A$9:$X$304,$AS176,COLUMNS($AV$9:AX175)),""))</f>
        <v>SAGE</v>
      </c>
      <c r="AY176" s="1" t="str">
        <f>IF(IFERROR(INDEX($A$9:$X$304,$AS176,COLUMNS($AV$9:AY175)),"")=0,"",IFERROR(INDEX($A$9:$X$304,$AS176,COLUMNS($AV$9:AY175)),""))</f>
        <v/>
      </c>
      <c r="AZ176" s="1" t="str">
        <f>IF(IFERROR(INDEX($A$9:$X$304,$AS176,COLUMNS($AV$9:AZ175)),"")=0,"",IFERROR(INDEX($A$9:$X$304,$AS176,COLUMNS($AV$9:AZ175)),""))</f>
        <v>CHAMPION</v>
      </c>
      <c r="BA176" s="1">
        <f>IF(IFERROR(INDEX($A$9:$X$304,$AS176,COLUMNS($AV$9:BA175)),"")=0,"",IFERROR(INDEX($A$9:$X$304,$AS176,COLUMNS($AV$9:BA175)),""))</f>
        <v>3</v>
      </c>
      <c r="BB176" s="1">
        <f>IF(IFERROR(INDEX($A$9:$X$304,$AS176,COLUMNS($AV$9:BB175)),"")=0,"",IFERROR(INDEX($A$9:$X$304,$AS176,COLUMNS($AV$9:BB175)),""))</f>
        <v>2</v>
      </c>
      <c r="BC176" s="1" t="str">
        <f>IF(IFERROR(INDEX($A$9:$X$304,$AS176,COLUMNS($AV$9:BC175)),"")=0,"",IFERROR(INDEX($A$9:$X$304,$AS176,COLUMNS($AV$9:BC175)),""))</f>
        <v>Tribute → Draw a card.</v>
      </c>
      <c r="BD176" s="1" t="str">
        <f>IF(IFERROR(INDEX($A$9:$X$304,$AS176,COLUMNS($AV$9:BD175)),"")=0,"",IFERROR(INDEX($A$9:$X$304,$AS176,COLUMNS($AV$9:BD175)),""))</f>
        <v>Loyalty 2 → Blitz</v>
      </c>
      <c r="BE176" s="1" t="str">
        <f>IF(IFERROR(INDEX($A$9:$X$304,$AS176,COLUMNS($AV$9:BE175)),"")=0,"",IFERROR(INDEX($A$9:$X$304,$AS176,COLUMNS($AV$9:BE175)),""))</f>
        <v>{expend}: Draw a card.</v>
      </c>
      <c r="BF176" s="1" t="str">
        <f>IF(IFERROR(INDEX($A$9:$X$304,$AS176,COLUMNS($AV$9:BF175)),"")=0,"",IFERROR(INDEX($A$9:$X$304,$AS176,COLUMNS($AV$9:BF175)),""))</f>
        <v/>
      </c>
      <c r="BG176" s="1" t="str">
        <f>IF(IFERROR(INDEX($A$9:$X$304,$AS176,COLUMNS($AV$9:BG175)),"")=0,"",IFERROR(INDEX($A$9:$X$304,$AS176,COLUMNS($AV$9:BG175)),""))</f>
        <v/>
      </c>
      <c r="BH176" s="1" t="str">
        <f>IF(IFERROR(INDEX($A$9:$X$304,$AS176,COLUMNS($AV$9:BH175)),"")=0,"",IFERROR(INDEX($A$9:$X$304,$AS176,COLUMNS($AV$9:BH175)),""))</f>
        <v/>
      </c>
      <c r="BI176" s="1" t="str">
        <f>IF(IFERROR(INDEX($A$9:$X$304,$AS176,COLUMNS($AV$9:BI175)),"")=0,"",IFERROR(INDEX($A$9:$X$304,$AS176,COLUMNS($AV$9:BI175)),""))</f>
        <v/>
      </c>
      <c r="BJ176" s="1" t="str">
        <f>IF(IFERROR(INDEX($A$9:$X$304,$AS176,COLUMNS($AV$9:BJ175)),"")=0,"",IFERROR(INDEX($A$9:$X$304,$AS176,COLUMNS($AV$9:BJ175)),""))</f>
        <v>HUMAN MAGE</v>
      </c>
      <c r="BK176" s="1" t="str">
        <f>IF(IFERROR(INDEX($A$9:$X$304,$AS176,COLUMNS($AV$9:BK175)),"")=0,"",IFERROR(INDEX($A$9:$X$304,$AS176,COLUMNS($AV$9:BK175)),""))</f>
        <v>Common</v>
      </c>
      <c r="BL176" s="1" t="str">
        <f>IF(IFERROR(INDEX($A$9:$X$304,$AS176,COLUMNS($AV$9:BL175)),"")=0,"",IFERROR(INDEX($A$9:$X$304,$AS176,COLUMNS($AV$9:BL175)),""))</f>
        <v>Grzegorz Pedrycz</v>
      </c>
      <c r="BM176" s="1" t="str">
        <f>IF(IFERROR(INDEX($A$9:$X$304,$AS176,COLUMNS($AV$9:BM175)),"")=0,"",IFERROR(INDEX($A$9:$X$304,$AS176,COLUMNS($AV$9:BM175)),""))</f>
        <v>Pantheon: Helena vs Zaltessa</v>
      </c>
      <c r="BN176" s="3" t="b">
        <f>IF(IFERROR(INDEX($A$9:$X$304,$AS176,COLUMNS($AV$9:BN175)),"")=0,"",IFERROR(INDEX($A$9:$X$304,$AS176,COLUMNS($AV$9:BN175)),""))</f>
        <v>1</v>
      </c>
      <c r="BO176" s="3" t="b">
        <f>IF(IFERROR(INDEX($A$9:$X$304,$AS176,COLUMNS($AV$9:BO175)),"")=0,"",IFERROR(INDEX($A$9:$X$304,$AS176,COLUMNS($AV$9:BO175)),""))</f>
        <v>0</v>
      </c>
      <c r="BP176" s="3" t="b">
        <f>IF(IFERROR(INDEX($A$9:$X$304,$AS176,COLUMNS($AV$9:BP175)),"")=0,"",IFERROR(INDEX($A$9:$X$304,$AS176,COLUMNS($AV$9:BP175)),""))</f>
        <v>0</v>
      </c>
      <c r="BQ176" s="3" t="b">
        <f>IF(IFERROR(INDEX($A$9:$X$304,$AS176,COLUMNS($AV$9:BQ175)),"")=0,"",IFERROR(INDEX($A$9:$X$304,$AS176,COLUMNS($AV$9:BQ175)),""))</f>
        <v>0</v>
      </c>
      <c r="BR176" s="3" t="str">
        <f>IF(IFERROR(INDEX($A$9:$X$304,$AS176,COLUMNS($AV$9:BR175)),"")=0,"",IFERROR(INDEX($A$9:$X$304,$AS176,COLUMNS($AV$9:BR175)),""))</f>
        <v>https://www.epiccardgame.com/wp-content/uploads/2017/11/PNH-EN-08-mystic-researcher.jpg</v>
      </c>
      <c r="BS176" s="3" t="str">
        <f>IF(IFERROR(INDEX($A$9:$X$304,$AS176,COLUMNS($AV$9:BS175)),"")=0,"",IFERROR(INDEX($A$9:$X$304,$AS176,COLUMNS($AV$9:BS175)),""))</f>
        <v/>
      </c>
      <c r="BT176" s="3"/>
      <c r="BU176" s="15"/>
      <c r="BV176" t="s">
        <v>197</v>
      </c>
    </row>
    <row r="177" spans="1:74" ht="225.2" customHeight="1" x14ac:dyDescent="0.25">
      <c r="A177" t="s">
        <v>491</v>
      </c>
      <c r="B177">
        <v>1</v>
      </c>
      <c r="C177" t="s">
        <v>615</v>
      </c>
      <c r="E177" t="s">
        <v>620</v>
      </c>
      <c r="F177">
        <v>13</v>
      </c>
      <c r="G177">
        <v>15</v>
      </c>
      <c r="H177" t="s">
        <v>682</v>
      </c>
      <c r="I177" t="s">
        <v>881</v>
      </c>
      <c r="O177" t="s">
        <v>1088</v>
      </c>
      <c r="P177" t="s">
        <v>1112</v>
      </c>
      <c r="Q177" t="s">
        <v>1156</v>
      </c>
      <c r="R177" t="s">
        <v>1181</v>
      </c>
      <c r="S177" t="b">
        <v>1</v>
      </c>
      <c r="T177" t="b">
        <v>0</v>
      </c>
      <c r="U177" t="b">
        <v>0</v>
      </c>
      <c r="V177" t="b">
        <v>0</v>
      </c>
      <c r="W177" s="2" t="s">
        <v>1352</v>
      </c>
      <c r="X177" s="2"/>
      <c r="Y177" s="24">
        <v>169</v>
      </c>
      <c r="Z177">
        <f t="shared" si="40"/>
        <v>169</v>
      </c>
      <c r="AA177">
        <f t="shared" si="41"/>
        <v>169</v>
      </c>
      <c r="AB177">
        <f t="shared" si="42"/>
        <v>169</v>
      </c>
      <c r="AC177">
        <f t="shared" si="43"/>
        <v>0</v>
      </c>
      <c r="AD177">
        <f t="shared" si="44"/>
        <v>169</v>
      </c>
      <c r="AE177">
        <f t="shared" si="45"/>
        <v>169</v>
      </c>
      <c r="AF177">
        <f t="shared" si="46"/>
        <v>169</v>
      </c>
      <c r="AG177">
        <f t="shared" si="47"/>
        <v>169</v>
      </c>
      <c r="AH177">
        <f t="shared" si="48"/>
        <v>169</v>
      </c>
      <c r="AI177">
        <f t="shared" si="49"/>
        <v>0</v>
      </c>
      <c r="AJ177">
        <f t="shared" si="50"/>
        <v>0</v>
      </c>
      <c r="AK177">
        <f t="shared" si="51"/>
        <v>0</v>
      </c>
      <c r="AL177">
        <f t="shared" si="52"/>
        <v>0</v>
      </c>
      <c r="AM177">
        <f t="shared" si="53"/>
        <v>0</v>
      </c>
      <c r="AN177">
        <f t="shared" si="54"/>
        <v>169</v>
      </c>
      <c r="AO177">
        <f t="shared" si="55"/>
        <v>169</v>
      </c>
      <c r="AP177">
        <f t="shared" si="56"/>
        <v>169</v>
      </c>
      <c r="AQ177">
        <f t="shared" si="57"/>
        <v>169</v>
      </c>
      <c r="AR177" s="6">
        <f t="shared" si="58"/>
        <v>169</v>
      </c>
      <c r="AS177">
        <f t="shared" si="59"/>
        <v>169</v>
      </c>
      <c r="AV177" s="1" t="str">
        <f>IF(IFERROR(INDEX($A$9:$W$304,$AS177,COLUMNS($AV$9:AV176)),"")=0,"",IFERROR(INDEX($A$9:$W$304,$AS177,COLUMNS($AV$9:AV176)),""))</f>
        <v>Mythic Monster</v>
      </c>
      <c r="AW177" s="1">
        <f>IFERROR(INDEX($A$9:$W$304,$AS177,COLUMNS($AV$9:AW176)),"")</f>
        <v>1</v>
      </c>
      <c r="AX177" s="1" t="str">
        <f>IF(IFERROR(INDEX($A$9:$X$304,$AS177,COLUMNS($AV$9:AX176)),"")=0,"",IFERROR(INDEX($A$9:$X$304,$AS177,COLUMNS($AV$9:AX176)),""))</f>
        <v>WILD</v>
      </c>
      <c r="AY177" s="1" t="str">
        <f>IF(IFERROR(INDEX($A$9:$X$304,$AS177,COLUMNS($AV$9:AY176)),"")=0,"",IFERROR(INDEX($A$9:$X$304,$AS177,COLUMNS($AV$9:AY176)),""))</f>
        <v/>
      </c>
      <c r="AZ177" s="1" t="str">
        <f>IF(IFERROR(INDEX($A$9:$X$304,$AS177,COLUMNS($AV$9:AZ176)),"")=0,"",IFERROR(INDEX($A$9:$X$304,$AS177,COLUMNS($AV$9:AZ176)),""))</f>
        <v>CHAMPION</v>
      </c>
      <c r="BA177" s="1">
        <f>IF(IFERROR(INDEX($A$9:$X$304,$AS177,COLUMNS($AV$9:BA176)),"")=0,"",IFERROR(INDEX($A$9:$X$304,$AS177,COLUMNS($AV$9:BA176)),""))</f>
        <v>13</v>
      </c>
      <c r="BB177" s="1">
        <f>IF(IFERROR(INDEX($A$9:$X$304,$AS177,COLUMNS($AV$9:BB176)),"")=0,"",IFERROR(INDEX($A$9:$X$304,$AS177,COLUMNS($AV$9:BB176)),""))</f>
        <v>15</v>
      </c>
      <c r="BC177" s="1" t="str">
        <f>IF(IFERROR(INDEX($A$9:$X$304,$AS177,COLUMNS($AV$9:BC176)),"")=0,"",IFERROR(INDEX($A$9:$X$304,$AS177,COLUMNS($AV$9:BC176)),""))</f>
        <v>Tribute → Draw a card.</v>
      </c>
      <c r="BD177" s="1" t="str">
        <f>IF(IFERROR(INDEX($A$9:$X$304,$AS177,COLUMNS($AV$9:BD176)),"")=0,"",IFERROR(INDEX($A$9:$X$304,$AS177,COLUMNS($AV$9:BD176)),""))</f>
        <v>"So that's why Draka hasn't claimed this forest..." - Sergeant Coons</v>
      </c>
      <c r="BE177" s="1" t="str">
        <f>IF(IFERROR(INDEX($A$9:$X$304,$AS177,COLUMNS($AV$9:BE176)),"")=0,"",IFERROR(INDEX($A$9:$X$304,$AS177,COLUMNS($AV$9:BE176)),""))</f>
        <v/>
      </c>
      <c r="BF177" s="1" t="str">
        <f>IF(IFERROR(INDEX($A$9:$X$304,$AS177,COLUMNS($AV$9:BF176)),"")=0,"",IFERROR(INDEX($A$9:$X$304,$AS177,COLUMNS($AV$9:BF176)),""))</f>
        <v/>
      </c>
      <c r="BG177" s="1" t="str">
        <f>IF(IFERROR(INDEX($A$9:$X$304,$AS177,COLUMNS($AV$9:BG176)),"")=0,"",IFERROR(INDEX($A$9:$X$304,$AS177,COLUMNS($AV$9:BG176)),""))</f>
        <v/>
      </c>
      <c r="BH177" s="1" t="str">
        <f>IF(IFERROR(INDEX($A$9:$X$304,$AS177,COLUMNS($AV$9:BH176)),"")=0,"",IFERROR(INDEX($A$9:$X$304,$AS177,COLUMNS($AV$9:BH176)),""))</f>
        <v/>
      </c>
      <c r="BI177" s="1" t="str">
        <f>IF(IFERROR(INDEX($A$9:$X$304,$AS177,COLUMNS($AV$9:BI176)),"")=0,"",IFERROR(INDEX($A$9:$X$304,$AS177,COLUMNS($AV$9:BI176)),""))</f>
        <v/>
      </c>
      <c r="BJ177" s="1" t="str">
        <f>IF(IFERROR(INDEX($A$9:$X$304,$AS177,COLUMNS($AV$9:BJ176)),"")=0,"",IFERROR(INDEX($A$9:$X$304,$AS177,COLUMNS($AV$9:BJ176)),""))</f>
        <v>SPIRIT</v>
      </c>
      <c r="BK177" s="1" t="str">
        <f>IF(IFERROR(INDEX($A$9:$X$304,$AS177,COLUMNS($AV$9:BK176)),"")=0,"",IFERROR(INDEX($A$9:$X$304,$AS177,COLUMNS($AV$9:BK176)),""))</f>
        <v>Common</v>
      </c>
      <c r="BL177" s="1" t="str">
        <f>IF(IFERROR(INDEX($A$9:$X$304,$AS177,COLUMNS($AV$9:BL176)),"")=0,"",IFERROR(INDEX($A$9:$X$304,$AS177,COLUMNS($AV$9:BL176)),""))</f>
        <v>Dhennis Balontong</v>
      </c>
      <c r="BM177" s="1" t="str">
        <f>IF(IFERROR(INDEX($A$9:$X$304,$AS177,COLUMNS($AV$9:BM176)),"")=0,"",IFERROR(INDEX($A$9:$X$304,$AS177,COLUMNS($AV$9:BM176)),""))</f>
        <v>Uprising: Kark's Edict</v>
      </c>
      <c r="BN177" s="3" t="b">
        <f>IF(IFERROR(INDEX($A$9:$X$304,$AS177,COLUMNS($AV$9:BN176)),"")=0,"",IFERROR(INDEX($A$9:$X$304,$AS177,COLUMNS($AV$9:BN176)),""))</f>
        <v>1</v>
      </c>
      <c r="BO177" s="3" t="b">
        <f>IF(IFERROR(INDEX($A$9:$X$304,$AS177,COLUMNS($AV$9:BO176)),"")=0,"",IFERROR(INDEX($A$9:$X$304,$AS177,COLUMNS($AV$9:BO176)),""))</f>
        <v>0</v>
      </c>
      <c r="BP177" s="3" t="b">
        <f>IF(IFERROR(INDEX($A$9:$X$304,$AS177,COLUMNS($AV$9:BP176)),"")=0,"",IFERROR(INDEX($A$9:$X$304,$AS177,COLUMNS($AV$9:BP176)),""))</f>
        <v>0</v>
      </c>
      <c r="BQ177" s="3" t="b">
        <f>IF(IFERROR(INDEX($A$9:$X$304,$AS177,COLUMNS($AV$9:BQ176)),"")=0,"",IFERROR(INDEX($A$9:$X$304,$AS177,COLUMNS($AV$9:BQ176)),""))</f>
        <v>0</v>
      </c>
      <c r="BR177" s="3" t="str">
        <f>IF(IFERROR(INDEX($A$9:$X$304,$AS177,COLUMNS($AV$9:BR176)),"")=0,"",IFERROR(INDEX($A$9:$X$304,$AS177,COLUMNS($AV$9:BR176)),""))</f>
        <v>https://www.epiccardgame.com/wp-content/uploads/2017/11/UPK-EN-mythic-monster.jpg</v>
      </c>
      <c r="BS177" s="3" t="str">
        <f>IF(IFERROR(INDEX($A$9:$X$304,$AS177,COLUMNS($AV$9:BS176)),"")=0,"",IFERROR(INDEX($A$9:$X$304,$AS177,COLUMNS($AV$9:BS176)),""))</f>
        <v/>
      </c>
      <c r="BT177" s="3"/>
      <c r="BU177" s="15"/>
      <c r="BV177" t="s">
        <v>198</v>
      </c>
    </row>
    <row r="178" spans="1:74" ht="225.2" customHeight="1" x14ac:dyDescent="0.25">
      <c r="A178" t="s">
        <v>492</v>
      </c>
      <c r="B178">
        <v>0</v>
      </c>
      <c r="C178" t="s">
        <v>618</v>
      </c>
      <c r="E178" t="s">
        <v>620</v>
      </c>
      <c r="F178">
        <v>1</v>
      </c>
      <c r="G178">
        <v>1</v>
      </c>
      <c r="H178" t="s">
        <v>22</v>
      </c>
      <c r="I178" t="s">
        <v>882</v>
      </c>
      <c r="O178" t="s">
        <v>1063</v>
      </c>
      <c r="P178" t="s">
        <v>1112</v>
      </c>
      <c r="Q178" t="s">
        <v>1114</v>
      </c>
      <c r="R178" t="s">
        <v>1169</v>
      </c>
      <c r="S178" t="b">
        <v>0</v>
      </c>
      <c r="T178" t="b">
        <v>0</v>
      </c>
      <c r="U178" t="b">
        <v>0</v>
      </c>
      <c r="V178" t="b">
        <v>0</v>
      </c>
      <c r="W178" s="2" t="s">
        <v>1353</v>
      </c>
      <c r="X178" s="2"/>
      <c r="Y178" s="24">
        <v>170</v>
      </c>
      <c r="Z178">
        <f t="shared" si="40"/>
        <v>170</v>
      </c>
      <c r="AA178">
        <f t="shared" si="41"/>
        <v>170</v>
      </c>
      <c r="AB178">
        <f t="shared" si="42"/>
        <v>170</v>
      </c>
      <c r="AC178">
        <f t="shared" si="43"/>
        <v>0</v>
      </c>
      <c r="AD178">
        <f t="shared" si="44"/>
        <v>170</v>
      </c>
      <c r="AE178">
        <f t="shared" si="45"/>
        <v>170</v>
      </c>
      <c r="AF178">
        <f t="shared" si="46"/>
        <v>170</v>
      </c>
      <c r="AG178">
        <f t="shared" si="47"/>
        <v>170</v>
      </c>
      <c r="AH178">
        <f t="shared" si="48"/>
        <v>170</v>
      </c>
      <c r="AI178">
        <f t="shared" si="49"/>
        <v>0</v>
      </c>
      <c r="AJ178">
        <f t="shared" si="50"/>
        <v>0</v>
      </c>
      <c r="AK178">
        <f t="shared" si="51"/>
        <v>0</v>
      </c>
      <c r="AL178">
        <f t="shared" si="52"/>
        <v>0</v>
      </c>
      <c r="AM178">
        <f t="shared" si="53"/>
        <v>0</v>
      </c>
      <c r="AN178">
        <f t="shared" si="54"/>
        <v>170</v>
      </c>
      <c r="AO178">
        <f t="shared" si="55"/>
        <v>170</v>
      </c>
      <c r="AP178">
        <f t="shared" si="56"/>
        <v>170</v>
      </c>
      <c r="AQ178">
        <f t="shared" si="57"/>
        <v>170</v>
      </c>
      <c r="AR178" s="6">
        <f t="shared" si="58"/>
        <v>170</v>
      </c>
      <c r="AS178">
        <f t="shared" si="59"/>
        <v>170</v>
      </c>
      <c r="AV178" s="1" t="str">
        <f>IF(IFERROR(INDEX($A$9:$W$304,$AS178,COLUMNS($AV$9:AV177)),"")=0,"",IFERROR(INDEX($A$9:$W$304,$AS178,COLUMNS($AV$9:AV177)),""))</f>
        <v>Necromancer Apprentice</v>
      </c>
      <c r="AW178" s="1">
        <f>IFERROR(INDEX($A$9:$W$304,$AS178,COLUMNS($AV$9:AW177)),"")</f>
        <v>0</v>
      </c>
      <c r="AX178" s="1" t="str">
        <f>IF(IFERROR(INDEX($A$9:$X$304,$AS178,COLUMNS($AV$9:AX177)),"")=0,"",IFERROR(INDEX($A$9:$X$304,$AS178,COLUMNS($AV$9:AX177)),""))</f>
        <v>EVIL</v>
      </c>
      <c r="AY178" s="1" t="str">
        <f>IF(IFERROR(INDEX($A$9:$X$304,$AS178,COLUMNS($AV$9:AY177)),"")=0,"",IFERROR(INDEX($A$9:$X$304,$AS178,COLUMNS($AV$9:AY177)),""))</f>
        <v/>
      </c>
      <c r="AZ178" s="1" t="str">
        <f>IF(IFERROR(INDEX($A$9:$X$304,$AS178,COLUMNS($AV$9:AZ177)),"")=0,"",IFERROR(INDEX($A$9:$X$304,$AS178,COLUMNS($AV$9:AZ177)),""))</f>
        <v>CHAMPION</v>
      </c>
      <c r="BA178" s="1">
        <f>IF(IFERROR(INDEX($A$9:$X$304,$AS178,COLUMNS($AV$9:BA177)),"")=0,"",IFERROR(INDEX($A$9:$X$304,$AS178,COLUMNS($AV$9:BA177)),""))</f>
        <v>1</v>
      </c>
      <c r="BB178" s="1">
        <f>IF(IFERROR(INDEX($A$9:$X$304,$AS178,COLUMNS($AV$9:BB177)),"")=0,"",IFERROR(INDEX($A$9:$X$304,$AS178,COLUMNS($AV$9:BB177)),""))</f>
        <v>1</v>
      </c>
      <c r="BC178" s="1" t="str">
        <f>IF(IFERROR(INDEX($A$9:$X$304,$AS178,COLUMNS($AV$9:BC177)),"")=0,"",IFERROR(INDEX($A$9:$X$304,$AS178,COLUMNS($AV$9:BC177)),""))</f>
        <v>Blitz</v>
      </c>
      <c r="BD178" s="1" t="str">
        <f>IF(IFERROR(INDEX($A$9:$X$304,$AS178,COLUMNS($AV$9:BD177)),"")=0,"",IFERROR(INDEX($A$9:$X$304,$AS178,COLUMNS($AV$9:BD177)),""))</f>
        <v>{expend}: Banish target card from any discard pile. If that card is a champion, put a zombie token into play.</v>
      </c>
      <c r="BE178" s="1" t="str">
        <f>IF(IFERROR(INDEX($A$9:$X$304,$AS178,COLUMNS($AV$9:BE177)),"")=0,"",IFERROR(INDEX($A$9:$X$304,$AS178,COLUMNS($AV$9:BE177)),""))</f>
        <v/>
      </c>
      <c r="BF178" s="1" t="str">
        <f>IF(IFERROR(INDEX($A$9:$X$304,$AS178,COLUMNS($AV$9:BF177)),"")=0,"",IFERROR(INDEX($A$9:$X$304,$AS178,COLUMNS($AV$9:BF177)),""))</f>
        <v/>
      </c>
      <c r="BG178" s="1" t="str">
        <f>IF(IFERROR(INDEX($A$9:$X$304,$AS178,COLUMNS($AV$9:BG177)),"")=0,"",IFERROR(INDEX($A$9:$X$304,$AS178,COLUMNS($AV$9:BG177)),""))</f>
        <v/>
      </c>
      <c r="BH178" s="1" t="str">
        <f>IF(IFERROR(INDEX($A$9:$X$304,$AS178,COLUMNS($AV$9:BH177)),"")=0,"",IFERROR(INDEX($A$9:$X$304,$AS178,COLUMNS($AV$9:BH177)),""))</f>
        <v/>
      </c>
      <c r="BI178" s="1" t="str">
        <f>IF(IFERROR(INDEX($A$9:$X$304,$AS178,COLUMNS($AV$9:BI177)),"")=0,"",IFERROR(INDEX($A$9:$X$304,$AS178,COLUMNS($AV$9:BI177)),""))</f>
        <v/>
      </c>
      <c r="BJ178" s="1" t="str">
        <f>IF(IFERROR(INDEX($A$9:$X$304,$AS178,COLUMNS($AV$9:BJ177)),"")=0,"",IFERROR(INDEX($A$9:$X$304,$AS178,COLUMNS($AV$9:BJ177)),""))</f>
        <v>HUMAN</v>
      </c>
      <c r="BK178" s="1" t="str">
        <f>IF(IFERROR(INDEX($A$9:$X$304,$AS178,COLUMNS($AV$9:BK177)),"")=0,"",IFERROR(INDEX($A$9:$X$304,$AS178,COLUMNS($AV$9:BK177)),""))</f>
        <v>Common</v>
      </c>
      <c r="BL178" s="1" t="str">
        <f>IF(IFERROR(INDEX($A$9:$X$304,$AS178,COLUMNS($AV$9:BL177)),"")=0,"",IFERROR(INDEX($A$9:$X$304,$AS178,COLUMNS($AV$9:BL177)),""))</f>
        <v>Jaan-Paul van Eeden</v>
      </c>
      <c r="BM178" s="1" t="str">
        <f>IF(IFERROR(INDEX($A$9:$X$304,$AS178,COLUMNS($AV$9:BM177)),"")=0,"",IFERROR(INDEX($A$9:$X$304,$AS178,COLUMNS($AV$9:BM177)),""))</f>
        <v>Kickstarter Promo</v>
      </c>
      <c r="BN178" s="3" t="b">
        <f>IF(IFERROR(INDEX($A$9:$X$304,$AS178,COLUMNS($AV$9:BN177)),"")=0,"",IFERROR(INDEX($A$9:$X$304,$AS178,COLUMNS($AV$9:BN177)),""))</f>
        <v>0</v>
      </c>
      <c r="BO178" s="3" t="b">
        <f>IF(IFERROR(INDEX($A$9:$X$304,$AS178,COLUMNS($AV$9:BO177)),"")=0,"",IFERROR(INDEX($A$9:$X$304,$AS178,COLUMNS($AV$9:BO177)),""))</f>
        <v>0</v>
      </c>
      <c r="BP178" s="3" t="b">
        <f>IF(IFERROR(INDEX($A$9:$X$304,$AS178,COLUMNS($AV$9:BP177)),"")=0,"",IFERROR(INDEX($A$9:$X$304,$AS178,COLUMNS($AV$9:BP177)),""))</f>
        <v>0</v>
      </c>
      <c r="BQ178" s="3" t="b">
        <f>IF(IFERROR(INDEX($A$9:$X$304,$AS178,COLUMNS($AV$9:BQ177)),"")=0,"",IFERROR(INDEX($A$9:$X$304,$AS178,COLUMNS($AV$9:BQ177)),""))</f>
        <v>0</v>
      </c>
      <c r="BR178" s="3" t="str">
        <f>IF(IFERROR(INDEX($A$9:$X$304,$AS178,COLUMNS($AV$9:BR177)),"")=0,"",IFERROR(INDEX($A$9:$X$304,$AS178,COLUMNS($AV$9:BR177)),""))</f>
        <v>http://www.epiccardgame.com/wp-content/uploads/2015/09/necromancer_apprentice-215x300.jpg</v>
      </c>
      <c r="BS178" s="3" t="str">
        <f>IF(IFERROR(INDEX($A$9:$X$304,$AS178,COLUMNS($AV$9:BS177)),"")=0,"",IFERROR(INDEX($A$9:$X$304,$AS178,COLUMNS($AV$9:BS177)),""))</f>
        <v/>
      </c>
      <c r="BT178" s="3"/>
      <c r="BU178" s="15"/>
      <c r="BV178" t="s">
        <v>199</v>
      </c>
    </row>
    <row r="179" spans="1:74" ht="225.2" customHeight="1" x14ac:dyDescent="0.25">
      <c r="A179" t="s">
        <v>492</v>
      </c>
      <c r="B179">
        <v>0</v>
      </c>
      <c r="C179" t="s">
        <v>618</v>
      </c>
      <c r="E179" t="s">
        <v>620</v>
      </c>
      <c r="F179">
        <v>1</v>
      </c>
      <c r="G179">
        <v>1</v>
      </c>
      <c r="H179" t="s">
        <v>22</v>
      </c>
      <c r="I179" t="s">
        <v>883</v>
      </c>
      <c r="O179" t="s">
        <v>1074</v>
      </c>
      <c r="P179" t="s">
        <v>1112</v>
      </c>
      <c r="Q179" t="s">
        <v>1157</v>
      </c>
      <c r="R179" t="s">
        <v>1170</v>
      </c>
      <c r="S179" t="b">
        <v>0</v>
      </c>
      <c r="T179" t="b">
        <v>0</v>
      </c>
      <c r="U179" t="b">
        <v>0</v>
      </c>
      <c r="V179" t="b">
        <v>0</v>
      </c>
      <c r="W179" s="2" t="s">
        <v>1354</v>
      </c>
      <c r="X179" s="2"/>
      <c r="Y179" s="24">
        <v>171</v>
      </c>
      <c r="Z179">
        <f t="shared" si="40"/>
        <v>171</v>
      </c>
      <c r="AA179">
        <f t="shared" si="41"/>
        <v>171</v>
      </c>
      <c r="AB179">
        <f t="shared" si="42"/>
        <v>171</v>
      </c>
      <c r="AC179">
        <f t="shared" si="43"/>
        <v>0</v>
      </c>
      <c r="AD179">
        <f t="shared" si="44"/>
        <v>171</v>
      </c>
      <c r="AE179">
        <f t="shared" si="45"/>
        <v>171</v>
      </c>
      <c r="AF179">
        <f t="shared" si="46"/>
        <v>171</v>
      </c>
      <c r="AG179">
        <f t="shared" si="47"/>
        <v>171</v>
      </c>
      <c r="AH179">
        <f t="shared" si="48"/>
        <v>171</v>
      </c>
      <c r="AI179">
        <f t="shared" si="49"/>
        <v>0</v>
      </c>
      <c r="AJ179">
        <f t="shared" si="50"/>
        <v>0</v>
      </c>
      <c r="AK179">
        <f t="shared" si="51"/>
        <v>0</v>
      </c>
      <c r="AL179">
        <f t="shared" si="52"/>
        <v>0</v>
      </c>
      <c r="AM179">
        <f t="shared" si="53"/>
        <v>0</v>
      </c>
      <c r="AN179">
        <f t="shared" si="54"/>
        <v>171</v>
      </c>
      <c r="AO179">
        <f t="shared" si="55"/>
        <v>171</v>
      </c>
      <c r="AP179">
        <f t="shared" si="56"/>
        <v>171</v>
      </c>
      <c r="AQ179">
        <f t="shared" si="57"/>
        <v>171</v>
      </c>
      <c r="AR179" s="6">
        <f t="shared" si="58"/>
        <v>171</v>
      </c>
      <c r="AS179">
        <f t="shared" si="59"/>
        <v>171</v>
      </c>
      <c r="AV179" s="1" t="str">
        <f>IF(IFERROR(INDEX($A$9:$W$304,$AS179,COLUMNS($AV$9:AV178)),"")=0,"",IFERROR(INDEX($A$9:$W$304,$AS179,COLUMNS($AV$9:AV178)),""))</f>
        <v>Necromancer Apprentice</v>
      </c>
      <c r="AW179" s="1">
        <f>IFERROR(INDEX($A$9:$W$304,$AS179,COLUMNS($AV$9:AW178)),"")</f>
        <v>0</v>
      </c>
      <c r="AX179" s="1" t="str">
        <f>IF(IFERROR(INDEX($A$9:$X$304,$AS179,COLUMNS($AV$9:AX178)),"")=0,"",IFERROR(INDEX($A$9:$X$304,$AS179,COLUMNS($AV$9:AX178)),""))</f>
        <v>EVIL</v>
      </c>
      <c r="AY179" s="1" t="str">
        <f>IF(IFERROR(INDEX($A$9:$X$304,$AS179,COLUMNS($AV$9:AY178)),"")=0,"",IFERROR(INDEX($A$9:$X$304,$AS179,COLUMNS($AV$9:AY178)),""))</f>
        <v/>
      </c>
      <c r="AZ179" s="1" t="str">
        <f>IF(IFERROR(INDEX($A$9:$X$304,$AS179,COLUMNS($AV$9:AZ178)),"")=0,"",IFERROR(INDEX($A$9:$X$304,$AS179,COLUMNS($AV$9:AZ178)),""))</f>
        <v>CHAMPION</v>
      </c>
      <c r="BA179" s="1">
        <f>IF(IFERROR(INDEX($A$9:$X$304,$AS179,COLUMNS($AV$9:BA178)),"")=0,"",IFERROR(INDEX($A$9:$X$304,$AS179,COLUMNS($AV$9:BA178)),""))</f>
        <v>1</v>
      </c>
      <c r="BB179" s="1">
        <f>IF(IFERROR(INDEX($A$9:$X$304,$AS179,COLUMNS($AV$9:BB178)),"")=0,"",IFERROR(INDEX($A$9:$X$304,$AS179,COLUMNS($AV$9:BB178)),""))</f>
        <v>1</v>
      </c>
      <c r="BC179" s="1" t="str">
        <f>IF(IFERROR(INDEX($A$9:$X$304,$AS179,COLUMNS($AV$9:BC178)),"")=0,"",IFERROR(INDEX($A$9:$X$304,$AS179,COLUMNS($AV$9:BC178)),""))</f>
        <v>Blitz</v>
      </c>
      <c r="BD179" s="1" t="str">
        <f>IF(IFERROR(INDEX($A$9:$X$304,$AS179,COLUMNS($AV$9:BD178)),"")=0,"",IFERROR(INDEX($A$9:$X$304,$AS179,COLUMNS($AV$9:BD178)),""))</f>
        <v>{expend}: Banish target card from any discard pile. If that card is a champion, you put a zombie token into play.</v>
      </c>
      <c r="BE179" s="1" t="str">
        <f>IF(IFERROR(INDEX($A$9:$X$304,$AS179,COLUMNS($AV$9:BE178)),"")=0,"",IFERROR(INDEX($A$9:$X$304,$AS179,COLUMNS($AV$9:BE178)),""))</f>
        <v/>
      </c>
      <c r="BF179" s="1" t="str">
        <f>IF(IFERROR(INDEX($A$9:$X$304,$AS179,COLUMNS($AV$9:BF178)),"")=0,"",IFERROR(INDEX($A$9:$X$304,$AS179,COLUMNS($AV$9:BF178)),""))</f>
        <v/>
      </c>
      <c r="BG179" s="1" t="str">
        <f>IF(IFERROR(INDEX($A$9:$X$304,$AS179,COLUMNS($AV$9:BG178)),"")=0,"",IFERROR(INDEX($A$9:$X$304,$AS179,COLUMNS($AV$9:BG178)),""))</f>
        <v/>
      </c>
      <c r="BH179" s="1" t="str">
        <f>IF(IFERROR(INDEX($A$9:$X$304,$AS179,COLUMNS($AV$9:BH178)),"")=0,"",IFERROR(INDEX($A$9:$X$304,$AS179,COLUMNS($AV$9:BH178)),""))</f>
        <v/>
      </c>
      <c r="BI179" s="1" t="str">
        <f>IF(IFERROR(INDEX($A$9:$X$304,$AS179,COLUMNS($AV$9:BI178)),"")=0,"",IFERROR(INDEX($A$9:$X$304,$AS179,COLUMNS($AV$9:BI178)),""))</f>
        <v/>
      </c>
      <c r="BJ179" s="1" t="str">
        <f>IF(IFERROR(INDEX($A$9:$X$304,$AS179,COLUMNS($AV$9:BJ178)),"")=0,"",IFERROR(INDEX($A$9:$X$304,$AS179,COLUMNS($AV$9:BJ178)),""))</f>
        <v>HUMAN MAGE</v>
      </c>
      <c r="BK179" s="1" t="str">
        <f>IF(IFERROR(INDEX($A$9:$X$304,$AS179,COLUMNS($AV$9:BK178)),"")=0,"",IFERROR(INDEX($A$9:$X$304,$AS179,COLUMNS($AV$9:BK178)),""))</f>
        <v>Common</v>
      </c>
      <c r="BL179" s="1" t="str">
        <f>IF(IFERROR(INDEX($A$9:$X$304,$AS179,COLUMNS($AV$9:BL178)),"")=0,"",IFERROR(INDEX($A$9:$X$304,$AS179,COLUMNS($AV$9:BL178)),""))</f>
        <v>Rainer Petter</v>
      </c>
      <c r="BM179" s="1" t="str">
        <f>IF(IFERROR(INDEX($A$9:$X$304,$AS179,COLUMNS($AV$9:BM178)),"")=0,"",IFERROR(INDEX($A$9:$X$304,$AS179,COLUMNS($AV$9:BM178)),""))</f>
        <v>Pantheon: Helena vs Zaltessa</v>
      </c>
      <c r="BN179" s="3" t="b">
        <f>IF(IFERROR(INDEX($A$9:$X$304,$AS179,COLUMNS($AV$9:BN178)),"")=0,"",IFERROR(INDEX($A$9:$X$304,$AS179,COLUMNS($AV$9:BN178)),""))</f>
        <v>0</v>
      </c>
      <c r="BO179" s="3" t="b">
        <f>IF(IFERROR(INDEX($A$9:$X$304,$AS179,COLUMNS($AV$9:BO178)),"")=0,"",IFERROR(INDEX($A$9:$X$304,$AS179,COLUMNS($AV$9:BO178)),""))</f>
        <v>0</v>
      </c>
      <c r="BP179" s="3" t="b">
        <f>IF(IFERROR(INDEX($A$9:$X$304,$AS179,COLUMNS($AV$9:BP178)),"")=0,"",IFERROR(INDEX($A$9:$X$304,$AS179,COLUMNS($AV$9:BP178)),""))</f>
        <v>0</v>
      </c>
      <c r="BQ179" s="3" t="b">
        <f>IF(IFERROR(INDEX($A$9:$X$304,$AS179,COLUMNS($AV$9:BQ178)),"")=0,"",IFERROR(INDEX($A$9:$X$304,$AS179,COLUMNS($AV$9:BQ178)),""))</f>
        <v>0</v>
      </c>
      <c r="BR179" s="3" t="str">
        <f>IF(IFERROR(INDEX($A$9:$X$304,$AS179,COLUMNS($AV$9:BR178)),"")=0,"",IFERROR(INDEX($A$9:$X$304,$AS179,COLUMNS($AV$9:BR178)),""))</f>
        <v>https://www.epiccardgame.com/wp-content/uploads/2017/11/PNH-EN-15-necromancer-apprentice.jpg</v>
      </c>
      <c r="BS179" s="3" t="str">
        <f>IF(IFERROR(INDEX($A$9:$X$304,$AS179,COLUMNS($AV$9:BS178)),"")=0,"",IFERROR(INDEX($A$9:$X$304,$AS179,COLUMNS($AV$9:BS178)),""))</f>
        <v/>
      </c>
      <c r="BT179" s="3"/>
      <c r="BU179" s="15"/>
      <c r="BV179" t="s">
        <v>200</v>
      </c>
    </row>
    <row r="180" spans="1:74" ht="225.2" customHeight="1" x14ac:dyDescent="0.25">
      <c r="A180" t="s">
        <v>493</v>
      </c>
      <c r="B180">
        <v>1</v>
      </c>
      <c r="C180" t="s">
        <v>618</v>
      </c>
      <c r="E180" t="s">
        <v>620</v>
      </c>
      <c r="F180">
        <v>1</v>
      </c>
      <c r="G180">
        <v>1</v>
      </c>
      <c r="H180" t="s">
        <v>674</v>
      </c>
      <c r="I180" t="s">
        <v>884</v>
      </c>
      <c r="O180" t="s">
        <v>1074</v>
      </c>
      <c r="P180" t="s">
        <v>1112</v>
      </c>
      <c r="Q180" t="s">
        <v>1124</v>
      </c>
      <c r="R180" t="s">
        <v>1171</v>
      </c>
      <c r="S180" t="b">
        <v>1</v>
      </c>
      <c r="T180" t="b">
        <v>0</v>
      </c>
      <c r="U180" t="b">
        <v>0</v>
      </c>
      <c r="V180" t="b">
        <v>0</v>
      </c>
      <c r="W180" s="2" t="s">
        <v>1355</v>
      </c>
      <c r="X180" s="2"/>
      <c r="Y180" s="24">
        <v>172</v>
      </c>
      <c r="Z180">
        <f t="shared" si="40"/>
        <v>172</v>
      </c>
      <c r="AA180">
        <f t="shared" si="41"/>
        <v>172</v>
      </c>
      <c r="AB180">
        <f t="shared" si="42"/>
        <v>172</v>
      </c>
      <c r="AC180">
        <f t="shared" si="43"/>
        <v>0</v>
      </c>
      <c r="AD180">
        <f t="shared" si="44"/>
        <v>172</v>
      </c>
      <c r="AE180">
        <f t="shared" si="45"/>
        <v>172</v>
      </c>
      <c r="AF180">
        <f t="shared" si="46"/>
        <v>172</v>
      </c>
      <c r="AG180">
        <f t="shared" si="47"/>
        <v>172</v>
      </c>
      <c r="AH180">
        <f t="shared" si="48"/>
        <v>172</v>
      </c>
      <c r="AI180">
        <f t="shared" si="49"/>
        <v>0</v>
      </c>
      <c r="AJ180">
        <f t="shared" si="50"/>
        <v>0</v>
      </c>
      <c r="AK180">
        <f t="shared" si="51"/>
        <v>0</v>
      </c>
      <c r="AL180">
        <f t="shared" si="52"/>
        <v>0</v>
      </c>
      <c r="AM180">
        <f t="shared" si="53"/>
        <v>0</v>
      </c>
      <c r="AN180">
        <f t="shared" si="54"/>
        <v>172</v>
      </c>
      <c r="AO180">
        <f t="shared" si="55"/>
        <v>172</v>
      </c>
      <c r="AP180">
        <f t="shared" si="56"/>
        <v>172</v>
      </c>
      <c r="AQ180">
        <f t="shared" si="57"/>
        <v>172</v>
      </c>
      <c r="AR180" s="6">
        <f t="shared" si="58"/>
        <v>172</v>
      </c>
      <c r="AS180">
        <f t="shared" si="59"/>
        <v>172</v>
      </c>
      <c r="AV180" s="1" t="str">
        <f>IF(IFERROR(INDEX($A$9:$W$304,$AS180,COLUMNS($AV$9:AV179)),"")=0,"",IFERROR(INDEX($A$9:$W$304,$AS180,COLUMNS($AV$9:AV179)),""))</f>
        <v>Necromancer Lord</v>
      </c>
      <c r="AW180" s="1">
        <f>IFERROR(INDEX($A$9:$W$304,$AS180,COLUMNS($AV$9:AW179)),"")</f>
        <v>1</v>
      </c>
      <c r="AX180" s="1" t="str">
        <f>IF(IFERROR(INDEX($A$9:$X$304,$AS180,COLUMNS($AV$9:AX179)),"")=0,"",IFERROR(INDEX($A$9:$X$304,$AS180,COLUMNS($AV$9:AX179)),""))</f>
        <v>EVIL</v>
      </c>
      <c r="AY180" s="1" t="str">
        <f>IF(IFERROR(INDEX($A$9:$X$304,$AS180,COLUMNS($AV$9:AY179)),"")=0,"",IFERROR(INDEX($A$9:$X$304,$AS180,COLUMNS($AV$9:AY179)),""))</f>
        <v/>
      </c>
      <c r="AZ180" s="1" t="str">
        <f>IF(IFERROR(INDEX($A$9:$X$304,$AS180,COLUMNS($AV$9:AZ179)),"")=0,"",IFERROR(INDEX($A$9:$X$304,$AS180,COLUMNS($AV$9:AZ179)),""))</f>
        <v>CHAMPION</v>
      </c>
      <c r="BA180" s="1">
        <f>IF(IFERROR(INDEX($A$9:$X$304,$AS180,COLUMNS($AV$9:BA179)),"")=0,"",IFERROR(INDEX($A$9:$X$304,$AS180,COLUMNS($AV$9:BA179)),""))</f>
        <v>1</v>
      </c>
      <c r="BB180" s="1">
        <f>IF(IFERROR(INDEX($A$9:$X$304,$AS180,COLUMNS($AV$9:BB179)),"")=0,"",IFERROR(INDEX($A$9:$X$304,$AS180,COLUMNS($AV$9:BB179)),""))</f>
        <v>1</v>
      </c>
      <c r="BC180" s="1" t="str">
        <f>IF(IFERROR(INDEX($A$9:$X$304,$AS180,COLUMNS($AV$9:BC179)),"")=0,"",IFERROR(INDEX($A$9:$X$304,$AS180,COLUMNS($AV$9:BC179)),""))</f>
        <v>Loyalty 2 → Blitz</v>
      </c>
      <c r="BD180" s="1" t="str">
        <f>IF(IFERROR(INDEX($A$9:$X$304,$AS180,COLUMNS($AV$9:BD179)),"")=0,"",IFERROR(INDEX($A$9:$X$304,$AS180,COLUMNS($AV$9:BD179)),""))</f>
        <v>{expend}: Put target champion from any discard pile into play under your control.</v>
      </c>
      <c r="BE180" s="1" t="str">
        <f>IF(IFERROR(INDEX($A$9:$X$304,$AS180,COLUMNS($AV$9:BE179)),"")=0,"",IFERROR(INDEX($A$9:$X$304,$AS180,COLUMNS($AV$9:BE179)),""))</f>
        <v/>
      </c>
      <c r="BF180" s="1" t="str">
        <f>IF(IFERROR(INDEX($A$9:$X$304,$AS180,COLUMNS($AV$9:BF179)),"")=0,"",IFERROR(INDEX($A$9:$X$304,$AS180,COLUMNS($AV$9:BF179)),""))</f>
        <v/>
      </c>
      <c r="BG180" s="1" t="str">
        <f>IF(IFERROR(INDEX($A$9:$X$304,$AS180,COLUMNS($AV$9:BG179)),"")=0,"",IFERROR(INDEX($A$9:$X$304,$AS180,COLUMNS($AV$9:BG179)),""))</f>
        <v/>
      </c>
      <c r="BH180" s="1" t="str">
        <f>IF(IFERROR(INDEX($A$9:$X$304,$AS180,COLUMNS($AV$9:BH179)),"")=0,"",IFERROR(INDEX($A$9:$X$304,$AS180,COLUMNS($AV$9:BH179)),""))</f>
        <v/>
      </c>
      <c r="BI180" s="1" t="str">
        <f>IF(IFERROR(INDEX($A$9:$X$304,$AS180,COLUMNS($AV$9:BI179)),"")=0,"",IFERROR(INDEX($A$9:$X$304,$AS180,COLUMNS($AV$9:BI179)),""))</f>
        <v/>
      </c>
      <c r="BJ180" s="1" t="str">
        <f>IF(IFERROR(INDEX($A$9:$X$304,$AS180,COLUMNS($AV$9:BJ179)),"")=0,"",IFERROR(INDEX($A$9:$X$304,$AS180,COLUMNS($AV$9:BJ179)),""))</f>
        <v>HUMAN MAGE</v>
      </c>
      <c r="BK180" s="1" t="str">
        <f>IF(IFERROR(INDEX($A$9:$X$304,$AS180,COLUMNS($AV$9:BK179)),"")=0,"",IFERROR(INDEX($A$9:$X$304,$AS180,COLUMNS($AV$9:BK179)),""))</f>
        <v>Common</v>
      </c>
      <c r="BL180" s="1" t="str">
        <f>IF(IFERROR(INDEX($A$9:$X$304,$AS180,COLUMNS($AV$9:BL179)),"")=0,"",IFERROR(INDEX($A$9:$X$304,$AS180,COLUMNS($AV$9:BL179)),""))</f>
        <v>Souveraine</v>
      </c>
      <c r="BM180" s="1" t="str">
        <f>IF(IFERROR(INDEX($A$9:$X$304,$AS180,COLUMNS($AV$9:BM179)),"")=0,"",IFERROR(INDEX($A$9:$X$304,$AS180,COLUMNS($AV$9:BM179)),""))</f>
        <v>Base Set</v>
      </c>
      <c r="BN180" s="3" t="b">
        <f>IF(IFERROR(INDEX($A$9:$X$304,$AS180,COLUMNS($AV$9:BN179)),"")=0,"",IFERROR(INDEX($A$9:$X$304,$AS180,COLUMNS($AV$9:BN179)),""))</f>
        <v>1</v>
      </c>
      <c r="BO180" s="3" t="b">
        <f>IF(IFERROR(INDEX($A$9:$X$304,$AS180,COLUMNS($AV$9:BO179)),"")=0,"",IFERROR(INDEX($A$9:$X$304,$AS180,COLUMNS($AV$9:BO179)),""))</f>
        <v>0</v>
      </c>
      <c r="BP180" s="3" t="b">
        <f>IF(IFERROR(INDEX($A$9:$X$304,$AS180,COLUMNS($AV$9:BP179)),"")=0,"",IFERROR(INDEX($A$9:$X$304,$AS180,COLUMNS($AV$9:BP179)),""))</f>
        <v>0</v>
      </c>
      <c r="BQ180" s="3" t="b">
        <f>IF(IFERROR(INDEX($A$9:$X$304,$AS180,COLUMNS($AV$9:BQ179)),"")=0,"",IFERROR(INDEX($A$9:$X$304,$AS180,COLUMNS($AV$9:BQ179)),""))</f>
        <v>0</v>
      </c>
      <c r="BR180" s="3" t="str">
        <f>IF(IFERROR(INDEX($A$9:$X$304,$AS180,COLUMNS($AV$9:BR179)),"")=0,"",IFERROR(INDEX($A$9:$X$304,$AS180,COLUMNS($AV$9:BR179)),""))</f>
        <v>http://www.epiccardgame.com/wp-content/uploads/2015/09/necromancer_lord-215x300.jpg</v>
      </c>
      <c r="BS180" s="3" t="str">
        <f>IF(IFERROR(INDEX($A$9:$X$304,$AS180,COLUMNS($AV$9:BS179)),"")=0,"",IFERROR(INDEX($A$9:$X$304,$AS180,COLUMNS($AV$9:BS179)),""))</f>
        <v/>
      </c>
      <c r="BT180" s="3"/>
      <c r="BU180" s="15"/>
      <c r="BV180" t="s">
        <v>201</v>
      </c>
    </row>
    <row r="181" spans="1:74" ht="225.2" customHeight="1" x14ac:dyDescent="0.25">
      <c r="A181" t="s">
        <v>494</v>
      </c>
      <c r="B181">
        <v>1</v>
      </c>
      <c r="C181" t="s">
        <v>618</v>
      </c>
      <c r="E181" t="s">
        <v>619</v>
      </c>
      <c r="H181" t="s">
        <v>707</v>
      </c>
      <c r="L181" t="s">
        <v>1048</v>
      </c>
      <c r="O181" t="s">
        <v>1068</v>
      </c>
      <c r="P181" t="s">
        <v>1112</v>
      </c>
      <c r="Q181" t="s">
        <v>1124</v>
      </c>
      <c r="R181" t="s">
        <v>1178</v>
      </c>
      <c r="S181" t="b">
        <v>1</v>
      </c>
      <c r="T181" t="b">
        <v>0</v>
      </c>
      <c r="U181" t="b">
        <v>0</v>
      </c>
      <c r="V181" t="b">
        <v>0</v>
      </c>
      <c r="W181" s="2" t="s">
        <v>1356</v>
      </c>
      <c r="X181" s="2"/>
      <c r="Y181" s="24">
        <v>173</v>
      </c>
      <c r="Z181">
        <f t="shared" si="40"/>
        <v>173</v>
      </c>
      <c r="AA181">
        <f t="shared" si="41"/>
        <v>173</v>
      </c>
      <c r="AB181">
        <f t="shared" si="42"/>
        <v>173</v>
      </c>
      <c r="AC181">
        <f t="shared" si="43"/>
        <v>0</v>
      </c>
      <c r="AD181">
        <f t="shared" si="44"/>
        <v>173</v>
      </c>
      <c r="AE181">
        <f t="shared" si="45"/>
        <v>0</v>
      </c>
      <c r="AF181">
        <f t="shared" si="46"/>
        <v>0</v>
      </c>
      <c r="AG181">
        <f t="shared" si="47"/>
        <v>173</v>
      </c>
      <c r="AH181">
        <f t="shared" si="48"/>
        <v>0</v>
      </c>
      <c r="AI181">
        <f t="shared" si="49"/>
        <v>0</v>
      </c>
      <c r="AJ181">
        <f t="shared" si="50"/>
        <v>0</v>
      </c>
      <c r="AK181">
        <f t="shared" si="51"/>
        <v>173</v>
      </c>
      <c r="AL181">
        <f t="shared" si="52"/>
        <v>0</v>
      </c>
      <c r="AM181">
        <f t="shared" si="53"/>
        <v>0</v>
      </c>
      <c r="AN181">
        <f t="shared" si="54"/>
        <v>173</v>
      </c>
      <c r="AO181">
        <f t="shared" si="55"/>
        <v>173</v>
      </c>
      <c r="AP181">
        <f t="shared" si="56"/>
        <v>173</v>
      </c>
      <c r="AQ181">
        <f t="shared" si="57"/>
        <v>173</v>
      </c>
      <c r="AR181" s="6">
        <f t="shared" si="58"/>
        <v>173</v>
      </c>
      <c r="AS181">
        <f t="shared" si="59"/>
        <v>173</v>
      </c>
      <c r="AV181" s="1" t="str">
        <f>IF(IFERROR(INDEX($A$9:$W$304,$AS181,COLUMNS($AV$9:AV180)),"")=0,"",IFERROR(INDEX($A$9:$W$304,$AS181,COLUMNS($AV$9:AV180)),""))</f>
        <v>Necrovirus</v>
      </c>
      <c r="AW181" s="1">
        <f>IFERROR(INDEX($A$9:$W$304,$AS181,COLUMNS($AV$9:AW180)),"")</f>
        <v>1</v>
      </c>
      <c r="AX181" s="1" t="str">
        <f>IF(IFERROR(INDEX($A$9:$X$304,$AS181,COLUMNS($AV$9:AX180)),"")=0,"",IFERROR(INDEX($A$9:$X$304,$AS181,COLUMNS($AV$9:AX180)),""))</f>
        <v>EVIL</v>
      </c>
      <c r="AY181" s="1" t="str">
        <f>IF(IFERROR(INDEX($A$9:$X$304,$AS181,COLUMNS($AV$9:AY180)),"")=0,"",IFERROR(INDEX($A$9:$X$304,$AS181,COLUMNS($AV$9:AY180)),""))</f>
        <v/>
      </c>
      <c r="AZ181" s="1" t="str">
        <f>IF(IFERROR(INDEX($A$9:$X$304,$AS181,COLUMNS($AV$9:AZ180)),"")=0,"",IFERROR(INDEX($A$9:$X$304,$AS181,COLUMNS($AV$9:AZ180)),""))</f>
        <v>EVENT</v>
      </c>
      <c r="BA181" s="1" t="str">
        <f>IF(IFERROR(INDEX($A$9:$X$304,$AS181,COLUMNS($AV$9:BA180)),"")=0,"",IFERROR(INDEX($A$9:$X$304,$AS181,COLUMNS($AV$9:BA180)),""))</f>
        <v/>
      </c>
      <c r="BB181" s="1" t="str">
        <f>IF(IFERROR(INDEX($A$9:$X$304,$AS181,COLUMNS($AV$9:BB180)),"")=0,"",IFERROR(INDEX($A$9:$X$304,$AS181,COLUMNS($AV$9:BB180)),""))</f>
        <v/>
      </c>
      <c r="BC181" s="1" t="str">
        <f>IF(IFERROR(INDEX($A$9:$X$304,$AS181,COLUMNS($AV$9:BC180)),"")=0,"",IFERROR(INDEX($A$9:$X$304,$AS181,COLUMNS($AV$9:BC180)),""))</f>
        <v>Break target champion. Each player puts a zombie token into play.</v>
      </c>
      <c r="BD181" s="1" t="str">
        <f>IF(IFERROR(INDEX($A$9:$X$304,$AS181,COLUMNS($AV$9:BD180)),"")=0,"",IFERROR(INDEX($A$9:$X$304,$AS181,COLUMNS($AV$9:BD180)),""))</f>
        <v/>
      </c>
      <c r="BE181" s="1" t="str">
        <f>IF(IFERROR(INDEX($A$9:$X$304,$AS181,COLUMNS($AV$9:BE180)),"")=0,"",IFERROR(INDEX($A$9:$X$304,$AS181,COLUMNS($AV$9:BE180)),""))</f>
        <v/>
      </c>
      <c r="BF181" s="1" t="str">
        <f>IF(IFERROR(INDEX($A$9:$X$304,$AS181,COLUMNS($AV$9:BF180)),"")=0,"",IFERROR(INDEX($A$9:$X$304,$AS181,COLUMNS($AV$9:BF180)),""))</f>
        <v/>
      </c>
      <c r="BG181" s="1" t="str">
        <f>IF(IFERROR(INDEX($A$9:$X$304,$AS181,COLUMNS($AV$9:BG180)),"")=0,"",IFERROR(INDEX($A$9:$X$304,$AS181,COLUMNS($AV$9:BG180)),""))</f>
        <v>{evil} → You may banish this card from your discard pile. If you do, put three zombie tokens into play.</v>
      </c>
      <c r="BH181" s="1" t="str">
        <f>IF(IFERROR(INDEX($A$9:$X$304,$AS181,COLUMNS($AV$9:BH180)),"")=0,"",IFERROR(INDEX($A$9:$X$304,$AS181,COLUMNS($AV$9:BH180)),""))</f>
        <v/>
      </c>
      <c r="BI181" s="1" t="str">
        <f>IF(IFERROR(INDEX($A$9:$X$304,$AS181,COLUMNS($AV$9:BI180)),"")=0,"",IFERROR(INDEX($A$9:$X$304,$AS181,COLUMNS($AV$9:BI180)),""))</f>
        <v/>
      </c>
      <c r="BJ181" s="1" t="str">
        <f>IF(IFERROR(INDEX($A$9:$X$304,$AS181,COLUMNS($AV$9:BJ180)),"")=0,"",IFERROR(INDEX($A$9:$X$304,$AS181,COLUMNS($AV$9:BJ180)),""))</f>
        <v>ZOMBIE</v>
      </c>
      <c r="BK181" s="1" t="str">
        <f>IF(IFERROR(INDEX($A$9:$X$304,$AS181,COLUMNS($AV$9:BK180)),"")=0,"",IFERROR(INDEX($A$9:$X$304,$AS181,COLUMNS($AV$9:BK180)),""))</f>
        <v>Common</v>
      </c>
      <c r="BL181" s="1" t="str">
        <f>IF(IFERROR(INDEX($A$9:$X$304,$AS181,COLUMNS($AV$9:BL180)),"")=0,"",IFERROR(INDEX($A$9:$X$304,$AS181,COLUMNS($AV$9:BL180)),""))</f>
        <v>Souveraine</v>
      </c>
      <c r="BM181" s="1" t="str">
        <f>IF(IFERROR(INDEX($A$9:$X$304,$AS181,COLUMNS($AV$9:BM180)),"")=0,"",IFERROR(INDEX($A$9:$X$304,$AS181,COLUMNS($AV$9:BM180)),""))</f>
        <v>Tyrants: Draka's Rage</v>
      </c>
      <c r="BN181" s="3" t="b">
        <f>IF(IFERROR(INDEX($A$9:$X$304,$AS181,COLUMNS($AV$9:BN180)),"")=0,"",IFERROR(INDEX($A$9:$X$304,$AS181,COLUMNS($AV$9:BN180)),""))</f>
        <v>1</v>
      </c>
      <c r="BO181" s="3" t="b">
        <f>IF(IFERROR(INDEX($A$9:$X$304,$AS181,COLUMNS($AV$9:BO180)),"")=0,"",IFERROR(INDEX($A$9:$X$304,$AS181,COLUMNS($AV$9:BO180)),""))</f>
        <v>0</v>
      </c>
      <c r="BP181" s="3" t="b">
        <f>IF(IFERROR(INDEX($A$9:$X$304,$AS181,COLUMNS($AV$9:BP180)),"")=0,"",IFERROR(INDEX($A$9:$X$304,$AS181,COLUMNS($AV$9:BP180)),""))</f>
        <v>0</v>
      </c>
      <c r="BQ181" s="3" t="b">
        <f>IF(IFERROR(INDEX($A$9:$X$304,$AS181,COLUMNS($AV$9:BQ180)),"")=0,"",IFERROR(INDEX($A$9:$X$304,$AS181,COLUMNS($AV$9:BQ180)),""))</f>
        <v>0</v>
      </c>
      <c r="BR181" s="3" t="str">
        <f>IF(IFERROR(INDEX($A$9:$X$304,$AS181,COLUMNS($AV$9:BR180)),"")=0,"",IFERROR(INDEX($A$9:$X$304,$AS181,COLUMNS($AV$9:BR180)),""))</f>
        <v>http://www.epiccardgame.com/wp-content/uploads/2016/03/necrovirus-214x300.jpg</v>
      </c>
      <c r="BS181" s="3" t="str">
        <f>IF(IFERROR(INDEX($A$9:$X$304,$AS181,COLUMNS($AV$9:BS180)),"")=0,"",IFERROR(INDEX($A$9:$X$304,$AS181,COLUMNS($AV$9:BS180)),""))</f>
        <v/>
      </c>
      <c r="BT181" s="3"/>
      <c r="BU181" s="15"/>
      <c r="BV181" t="s">
        <v>202</v>
      </c>
    </row>
    <row r="182" spans="1:74" ht="225.2" customHeight="1" x14ac:dyDescent="0.25">
      <c r="A182" t="s">
        <v>495</v>
      </c>
      <c r="B182">
        <v>1</v>
      </c>
      <c r="C182" t="s">
        <v>617</v>
      </c>
      <c r="E182" t="s">
        <v>619</v>
      </c>
      <c r="H182" t="s">
        <v>627</v>
      </c>
      <c r="I182" t="s">
        <v>885</v>
      </c>
      <c r="O182" t="s">
        <v>1062</v>
      </c>
      <c r="P182" t="s">
        <v>1113</v>
      </c>
      <c r="Q182" t="s">
        <v>1135</v>
      </c>
      <c r="R182" t="s">
        <v>1169</v>
      </c>
      <c r="S182" t="b">
        <v>1</v>
      </c>
      <c r="T182" t="b">
        <v>1</v>
      </c>
      <c r="U182" t="b">
        <v>0</v>
      </c>
      <c r="V182" t="b">
        <v>0</v>
      </c>
      <c r="W182" s="2" t="s">
        <v>1357</v>
      </c>
      <c r="X182" s="2"/>
      <c r="Y182" s="24">
        <v>174</v>
      </c>
      <c r="Z182">
        <f t="shared" si="40"/>
        <v>174</v>
      </c>
      <c r="AA182">
        <f t="shared" si="41"/>
        <v>174</v>
      </c>
      <c r="AB182">
        <f t="shared" si="42"/>
        <v>174</v>
      </c>
      <c r="AC182">
        <f t="shared" si="43"/>
        <v>0</v>
      </c>
      <c r="AD182">
        <f t="shared" si="44"/>
        <v>174</v>
      </c>
      <c r="AE182">
        <f t="shared" si="45"/>
        <v>0</v>
      </c>
      <c r="AF182">
        <f t="shared" si="46"/>
        <v>0</v>
      </c>
      <c r="AG182">
        <f t="shared" si="47"/>
        <v>174</v>
      </c>
      <c r="AH182">
        <f t="shared" si="48"/>
        <v>174</v>
      </c>
      <c r="AI182">
        <f t="shared" si="49"/>
        <v>0</v>
      </c>
      <c r="AJ182">
        <f t="shared" si="50"/>
        <v>0</v>
      </c>
      <c r="AK182">
        <f t="shared" si="51"/>
        <v>0</v>
      </c>
      <c r="AL182">
        <f t="shared" si="52"/>
        <v>0</v>
      </c>
      <c r="AM182">
        <f t="shared" si="53"/>
        <v>0</v>
      </c>
      <c r="AN182">
        <f t="shared" si="54"/>
        <v>174</v>
      </c>
      <c r="AO182">
        <f t="shared" si="55"/>
        <v>174</v>
      </c>
      <c r="AP182">
        <f t="shared" si="56"/>
        <v>174</v>
      </c>
      <c r="AQ182">
        <f t="shared" si="57"/>
        <v>174</v>
      </c>
      <c r="AR182" s="6">
        <f t="shared" si="58"/>
        <v>174</v>
      </c>
      <c r="AS182">
        <f t="shared" si="59"/>
        <v>174</v>
      </c>
      <c r="AV182" s="1" t="str">
        <f>IF(IFERROR(INDEX($A$9:$W$304,$AS182,COLUMNS($AV$9:AV181)),"")=0,"",IFERROR(INDEX($A$9:$W$304,$AS182,COLUMNS($AV$9:AV181)),""))</f>
        <v>New Dawn</v>
      </c>
      <c r="AW182" s="1">
        <f>IFERROR(INDEX($A$9:$W$304,$AS182,COLUMNS($AV$9:AW181)),"")</f>
        <v>1</v>
      </c>
      <c r="AX182" s="1" t="str">
        <f>IF(IFERROR(INDEX($A$9:$X$304,$AS182,COLUMNS($AV$9:AX181)),"")=0,"",IFERROR(INDEX($A$9:$X$304,$AS182,COLUMNS($AV$9:AX181)),""))</f>
        <v>GOOD</v>
      </c>
      <c r="AY182" s="1" t="str">
        <f>IF(IFERROR(INDEX($A$9:$X$304,$AS182,COLUMNS($AV$9:AY181)),"")=0,"",IFERROR(INDEX($A$9:$X$304,$AS182,COLUMNS($AV$9:AY181)),""))</f>
        <v/>
      </c>
      <c r="AZ182" s="1" t="str">
        <f>IF(IFERROR(INDEX($A$9:$X$304,$AS182,COLUMNS($AV$9:AZ181)),"")=0,"",IFERROR(INDEX($A$9:$X$304,$AS182,COLUMNS($AV$9:AZ181)),""))</f>
        <v>EVENT</v>
      </c>
      <c r="BA182" s="1" t="str">
        <f>IF(IFERROR(INDEX($A$9:$X$304,$AS182,COLUMNS($AV$9:BA181)),"")=0,"",IFERROR(INDEX($A$9:$X$304,$AS182,COLUMNS($AV$9:BA181)),""))</f>
        <v/>
      </c>
      <c r="BB182" s="1" t="str">
        <f>IF(IFERROR(INDEX($A$9:$X$304,$AS182,COLUMNS($AV$9:BB181)),"")=0,"",IFERROR(INDEX($A$9:$X$304,$AS182,COLUMNS($AV$9:BB181)),""))</f>
        <v/>
      </c>
      <c r="BC182" s="1" t="str">
        <f>IF(IFERROR(INDEX($A$9:$X$304,$AS182,COLUMNS($AV$9:BC181)),"")=0,"",IFERROR(INDEX($A$9:$X$304,$AS182,COLUMNS($AV$9:BC181)),""))</f>
        <v>Draw two cards.</v>
      </c>
      <c r="BD182" s="1" t="str">
        <f>IF(IFERROR(INDEX($A$9:$X$304,$AS182,COLUMNS($AV$9:BD181)),"")=0,"",IFERROR(INDEX($A$9:$X$304,$AS182,COLUMNS($AV$9:BD181)),""))</f>
        <v>If it is your turn, banish all champions, then, starting with you, each player may put a champion from their hand into play.</v>
      </c>
      <c r="BE182" s="1" t="str">
        <f>IF(IFERROR(INDEX($A$9:$X$304,$AS182,COLUMNS($AV$9:BE181)),"")=0,"",IFERROR(INDEX($A$9:$X$304,$AS182,COLUMNS($AV$9:BE181)),""))</f>
        <v/>
      </c>
      <c r="BF182" s="1" t="str">
        <f>IF(IFERROR(INDEX($A$9:$X$304,$AS182,COLUMNS($AV$9:BF181)),"")=0,"",IFERROR(INDEX($A$9:$X$304,$AS182,COLUMNS($AV$9:BF181)),""))</f>
        <v/>
      </c>
      <c r="BG182" s="1" t="str">
        <f>IF(IFERROR(INDEX($A$9:$X$304,$AS182,COLUMNS($AV$9:BG181)),"")=0,"",IFERROR(INDEX($A$9:$X$304,$AS182,COLUMNS($AV$9:BG181)),""))</f>
        <v/>
      </c>
      <c r="BH182" s="1" t="str">
        <f>IF(IFERROR(INDEX($A$9:$X$304,$AS182,COLUMNS($AV$9:BH181)),"")=0,"",IFERROR(INDEX($A$9:$X$304,$AS182,COLUMNS($AV$9:BH181)),""))</f>
        <v/>
      </c>
      <c r="BI182" s="1" t="str">
        <f>IF(IFERROR(INDEX($A$9:$X$304,$AS182,COLUMNS($AV$9:BI181)),"")=0,"",IFERROR(INDEX($A$9:$X$304,$AS182,COLUMNS($AV$9:BI181)),""))</f>
        <v/>
      </c>
      <c r="BJ182" s="1" t="str">
        <f>IF(IFERROR(INDEX($A$9:$X$304,$AS182,COLUMNS($AV$9:BJ181)),"")=0,"",IFERROR(INDEX($A$9:$X$304,$AS182,COLUMNS($AV$9:BJ181)),""))</f>
        <v>None</v>
      </c>
      <c r="BK182" s="1" t="str">
        <f>IF(IFERROR(INDEX($A$9:$X$304,$AS182,COLUMNS($AV$9:BK181)),"")=0,"",IFERROR(INDEX($A$9:$X$304,$AS182,COLUMNS($AV$9:BK181)),""))</f>
        <v>Rare</v>
      </c>
      <c r="BL182" s="1" t="str">
        <f>IF(IFERROR(INDEX($A$9:$X$304,$AS182,COLUMNS($AV$9:BL181)),"")=0,"",IFERROR(INDEX($A$9:$X$304,$AS182,COLUMNS($AV$9:BL181)),""))</f>
        <v>Trevor Smith</v>
      </c>
      <c r="BM182" s="1" t="str">
        <f>IF(IFERROR(INDEX($A$9:$X$304,$AS182,COLUMNS($AV$9:BM181)),"")=0,"",IFERROR(INDEX($A$9:$X$304,$AS182,COLUMNS($AV$9:BM181)),""))</f>
        <v>Kickstarter Promo</v>
      </c>
      <c r="BN182" s="3" t="b">
        <f>IF(IFERROR(INDEX($A$9:$X$304,$AS182,COLUMNS($AV$9:BN181)),"")=0,"",IFERROR(INDEX($A$9:$X$304,$AS182,COLUMNS($AV$9:BN181)),""))</f>
        <v>1</v>
      </c>
      <c r="BO182" s="3" t="b">
        <f>IF(IFERROR(INDEX($A$9:$X$304,$AS182,COLUMNS($AV$9:BO181)),"")=0,"",IFERROR(INDEX($A$9:$X$304,$AS182,COLUMNS($AV$9:BO181)),""))</f>
        <v>1</v>
      </c>
      <c r="BP182" s="3" t="b">
        <f>IF(IFERROR(INDEX($A$9:$X$304,$AS182,COLUMNS($AV$9:BP181)),"")=0,"",IFERROR(INDEX($A$9:$X$304,$AS182,COLUMNS($AV$9:BP181)),""))</f>
        <v>0</v>
      </c>
      <c r="BQ182" s="3" t="b">
        <f>IF(IFERROR(INDEX($A$9:$X$304,$AS182,COLUMNS($AV$9:BQ181)),"")=0,"",IFERROR(INDEX($A$9:$X$304,$AS182,COLUMNS($AV$9:BQ181)),""))</f>
        <v>0</v>
      </c>
      <c r="BR182" s="3" t="str">
        <f>IF(IFERROR(INDEX($A$9:$X$304,$AS182,COLUMNS($AV$9:BR181)),"")=0,"",IFERROR(INDEX($A$9:$X$304,$AS182,COLUMNS($AV$9:BR181)),""))</f>
        <v>http://www.epiccardgame.com/wp-content/uploads/2015/09/new_dawn-215x300.jpg</v>
      </c>
      <c r="BS182" s="3" t="str">
        <f>IF(IFERROR(INDEX($A$9:$X$304,$AS182,COLUMNS($AV$9:BS181)),"")=0,"",IFERROR(INDEX($A$9:$X$304,$AS182,COLUMNS($AV$9:BS181)),""))</f>
        <v/>
      </c>
      <c r="BT182" s="3"/>
      <c r="BU182" s="15"/>
      <c r="BV182" t="s">
        <v>203</v>
      </c>
    </row>
    <row r="183" spans="1:74" ht="225.2" customHeight="1" x14ac:dyDescent="0.25">
      <c r="A183" t="s">
        <v>495</v>
      </c>
      <c r="B183">
        <v>1</v>
      </c>
      <c r="C183" t="s">
        <v>617</v>
      </c>
      <c r="E183" t="s">
        <v>619</v>
      </c>
      <c r="H183" t="s">
        <v>627</v>
      </c>
      <c r="I183" t="s">
        <v>886</v>
      </c>
      <c r="O183" t="s">
        <v>1062</v>
      </c>
      <c r="P183" t="s">
        <v>1113</v>
      </c>
      <c r="Q183" t="s">
        <v>1123</v>
      </c>
      <c r="R183" t="s">
        <v>1179</v>
      </c>
      <c r="S183" t="b">
        <v>1</v>
      </c>
      <c r="T183" t="b">
        <v>1</v>
      </c>
      <c r="U183" t="b">
        <v>0</v>
      </c>
      <c r="V183" t="b">
        <v>0</v>
      </c>
      <c r="W183" s="2" t="s">
        <v>1358</v>
      </c>
      <c r="X183" s="2"/>
      <c r="Y183" s="24">
        <v>175</v>
      </c>
      <c r="Z183">
        <f t="shared" si="40"/>
        <v>175</v>
      </c>
      <c r="AA183">
        <f t="shared" si="41"/>
        <v>175</v>
      </c>
      <c r="AB183">
        <f t="shared" si="42"/>
        <v>175</v>
      </c>
      <c r="AC183">
        <f t="shared" si="43"/>
        <v>0</v>
      </c>
      <c r="AD183">
        <f t="shared" si="44"/>
        <v>175</v>
      </c>
      <c r="AE183">
        <f t="shared" si="45"/>
        <v>0</v>
      </c>
      <c r="AF183">
        <f t="shared" si="46"/>
        <v>0</v>
      </c>
      <c r="AG183">
        <f t="shared" si="47"/>
        <v>175</v>
      </c>
      <c r="AH183">
        <f t="shared" si="48"/>
        <v>175</v>
      </c>
      <c r="AI183">
        <f t="shared" si="49"/>
        <v>0</v>
      </c>
      <c r="AJ183">
        <f t="shared" si="50"/>
        <v>0</v>
      </c>
      <c r="AK183">
        <f t="shared" si="51"/>
        <v>0</v>
      </c>
      <c r="AL183">
        <f t="shared" si="52"/>
        <v>0</v>
      </c>
      <c r="AM183">
        <f t="shared" si="53"/>
        <v>0</v>
      </c>
      <c r="AN183">
        <f t="shared" si="54"/>
        <v>175</v>
      </c>
      <c r="AO183">
        <f t="shared" si="55"/>
        <v>175</v>
      </c>
      <c r="AP183">
        <f t="shared" si="56"/>
        <v>175</v>
      </c>
      <c r="AQ183">
        <f t="shared" si="57"/>
        <v>175</v>
      </c>
      <c r="AR183" s="6">
        <f t="shared" si="58"/>
        <v>175</v>
      </c>
      <c r="AS183">
        <f t="shared" si="59"/>
        <v>175</v>
      </c>
      <c r="AV183" s="1" t="str">
        <f>IF(IFERROR(INDEX($A$9:$W$304,$AS183,COLUMNS($AV$9:AV182)),"")=0,"",IFERROR(INDEX($A$9:$W$304,$AS183,COLUMNS($AV$9:AV182)),""))</f>
        <v>New Dawn</v>
      </c>
      <c r="AW183" s="1">
        <f>IFERROR(INDEX($A$9:$W$304,$AS183,COLUMNS($AV$9:AW182)),"")</f>
        <v>1</v>
      </c>
      <c r="AX183" s="1" t="str">
        <f>IF(IFERROR(INDEX($A$9:$X$304,$AS183,COLUMNS($AV$9:AX182)),"")=0,"",IFERROR(INDEX($A$9:$X$304,$AS183,COLUMNS($AV$9:AX182)),""))</f>
        <v>GOOD</v>
      </c>
      <c r="AY183" s="1" t="str">
        <f>IF(IFERROR(INDEX($A$9:$X$304,$AS183,COLUMNS($AV$9:AY182)),"")=0,"",IFERROR(INDEX($A$9:$X$304,$AS183,COLUMNS($AV$9:AY182)),""))</f>
        <v/>
      </c>
      <c r="AZ183" s="1" t="str">
        <f>IF(IFERROR(INDEX($A$9:$X$304,$AS183,COLUMNS($AV$9:AZ182)),"")=0,"",IFERROR(INDEX($A$9:$X$304,$AS183,COLUMNS($AV$9:AZ182)),""))</f>
        <v>EVENT</v>
      </c>
      <c r="BA183" s="1" t="str">
        <f>IF(IFERROR(INDEX($A$9:$X$304,$AS183,COLUMNS($AV$9:BA182)),"")=0,"",IFERROR(INDEX($A$9:$X$304,$AS183,COLUMNS($AV$9:BA182)),""))</f>
        <v/>
      </c>
      <c r="BB183" s="1" t="str">
        <f>IF(IFERROR(INDEX($A$9:$X$304,$AS183,COLUMNS($AV$9:BB182)),"")=0,"",IFERROR(INDEX($A$9:$X$304,$AS183,COLUMNS($AV$9:BB182)),""))</f>
        <v/>
      </c>
      <c r="BC183" s="1" t="str">
        <f>IF(IFERROR(INDEX($A$9:$X$304,$AS183,COLUMNS($AV$9:BC182)),"")=0,"",IFERROR(INDEX($A$9:$X$304,$AS183,COLUMNS($AV$9:BC182)),""))</f>
        <v>Draw two cards.</v>
      </c>
      <c r="BD183" s="1" t="str">
        <f>IF(IFERROR(INDEX($A$9:$X$304,$AS183,COLUMNS($AV$9:BD182)),"")=0,"",IFERROR(INDEX($A$9:$X$304,$AS183,COLUMNS($AV$9:BD182)),""))</f>
        <v>If it is your turn, banish all champions and then (starting with you) each player may put a champion from their hand into play.</v>
      </c>
      <c r="BE183" s="1" t="str">
        <f>IF(IFERROR(INDEX($A$9:$X$304,$AS183,COLUMNS($AV$9:BE182)),"")=0,"",IFERROR(INDEX($A$9:$X$304,$AS183,COLUMNS($AV$9:BE182)),""))</f>
        <v/>
      </c>
      <c r="BF183" s="1" t="str">
        <f>IF(IFERROR(INDEX($A$9:$X$304,$AS183,COLUMNS($AV$9:BF182)),"")=0,"",IFERROR(INDEX($A$9:$X$304,$AS183,COLUMNS($AV$9:BF182)),""))</f>
        <v/>
      </c>
      <c r="BG183" s="1" t="str">
        <f>IF(IFERROR(INDEX($A$9:$X$304,$AS183,COLUMNS($AV$9:BG182)),"")=0,"",IFERROR(INDEX($A$9:$X$304,$AS183,COLUMNS($AV$9:BG182)),""))</f>
        <v/>
      </c>
      <c r="BH183" s="1" t="str">
        <f>IF(IFERROR(INDEX($A$9:$X$304,$AS183,COLUMNS($AV$9:BH182)),"")=0,"",IFERROR(INDEX($A$9:$X$304,$AS183,COLUMNS($AV$9:BH182)),""))</f>
        <v/>
      </c>
      <c r="BI183" s="1" t="str">
        <f>IF(IFERROR(INDEX($A$9:$X$304,$AS183,COLUMNS($AV$9:BI182)),"")=0,"",IFERROR(INDEX($A$9:$X$304,$AS183,COLUMNS($AV$9:BI182)),""))</f>
        <v/>
      </c>
      <c r="BJ183" s="1" t="str">
        <f>IF(IFERROR(INDEX($A$9:$X$304,$AS183,COLUMNS($AV$9:BJ182)),"")=0,"",IFERROR(INDEX($A$9:$X$304,$AS183,COLUMNS($AV$9:BJ182)),""))</f>
        <v>None</v>
      </c>
      <c r="BK183" s="1" t="str">
        <f>IF(IFERROR(INDEX($A$9:$X$304,$AS183,COLUMNS($AV$9:BK182)),"")=0,"",IFERROR(INDEX($A$9:$X$304,$AS183,COLUMNS($AV$9:BK182)),""))</f>
        <v>Rare</v>
      </c>
      <c r="BL183" s="1" t="str">
        <f>IF(IFERROR(INDEX($A$9:$X$304,$AS183,COLUMNS($AV$9:BL182)),"")=0,"",IFERROR(INDEX($A$9:$X$304,$AS183,COLUMNS($AV$9:BL182)),""))</f>
        <v>David Gaillet</v>
      </c>
      <c r="BM183" s="1" t="str">
        <f>IF(IFERROR(INDEX($A$9:$X$304,$AS183,COLUMNS($AV$9:BM182)),"")=0,"",IFERROR(INDEX($A$9:$X$304,$AS183,COLUMNS($AV$9:BM182)),""))</f>
        <v>Pantheon: Gareth vs Lashnok</v>
      </c>
      <c r="BN183" s="3" t="b">
        <f>IF(IFERROR(INDEX($A$9:$X$304,$AS183,COLUMNS($AV$9:BN182)),"")=0,"",IFERROR(INDEX($A$9:$X$304,$AS183,COLUMNS($AV$9:BN182)),""))</f>
        <v>1</v>
      </c>
      <c r="BO183" s="3" t="b">
        <f>IF(IFERROR(INDEX($A$9:$X$304,$AS183,COLUMNS($AV$9:BO182)),"")=0,"",IFERROR(INDEX($A$9:$X$304,$AS183,COLUMNS($AV$9:BO182)),""))</f>
        <v>1</v>
      </c>
      <c r="BP183" s="3" t="b">
        <f>IF(IFERROR(INDEX($A$9:$X$304,$AS183,COLUMNS($AV$9:BP182)),"")=0,"",IFERROR(INDEX($A$9:$X$304,$AS183,COLUMNS($AV$9:BP182)),""))</f>
        <v>0</v>
      </c>
      <c r="BQ183" s="3" t="b">
        <f>IF(IFERROR(INDEX($A$9:$X$304,$AS183,COLUMNS($AV$9:BQ182)),"")=0,"",IFERROR(INDEX($A$9:$X$304,$AS183,COLUMNS($AV$9:BQ182)),""))</f>
        <v>0</v>
      </c>
      <c r="BR183" s="3" t="str">
        <f>IF(IFERROR(INDEX($A$9:$X$304,$AS183,COLUMNS($AV$9:BR182)),"")=0,"",IFERROR(INDEX($A$9:$X$304,$AS183,COLUMNS($AV$9:BR182)),""))</f>
        <v>https://www.epiccardgame.com/wp-content/uploads/2017/11/PNG-EN-15-new-dawn.jpg</v>
      </c>
      <c r="BS183" s="3" t="str">
        <f>IF(IFERROR(INDEX($A$9:$X$304,$AS183,COLUMNS($AV$9:BS182)),"")=0,"",IFERROR(INDEX($A$9:$X$304,$AS183,COLUMNS($AV$9:BS182)),""))</f>
        <v/>
      </c>
      <c r="BT183" s="3"/>
      <c r="BU183" s="15"/>
      <c r="BV183" t="s">
        <v>204</v>
      </c>
    </row>
    <row r="184" spans="1:74" ht="225.2" customHeight="1" x14ac:dyDescent="0.25">
      <c r="A184" t="s">
        <v>496</v>
      </c>
      <c r="B184">
        <v>1</v>
      </c>
      <c r="C184" t="s">
        <v>618</v>
      </c>
      <c r="E184" t="s">
        <v>619</v>
      </c>
      <c r="H184" t="s">
        <v>627</v>
      </c>
      <c r="I184" t="s">
        <v>887</v>
      </c>
      <c r="O184" t="s">
        <v>1062</v>
      </c>
      <c r="P184" t="s">
        <v>1113</v>
      </c>
      <c r="Q184" t="s">
        <v>1158</v>
      </c>
      <c r="R184" t="s">
        <v>1180</v>
      </c>
      <c r="S184" t="b">
        <v>1</v>
      </c>
      <c r="T184" t="b">
        <v>1</v>
      </c>
      <c r="U184" t="b">
        <v>0</v>
      </c>
      <c r="V184" t="b">
        <v>0</v>
      </c>
      <c r="W184" s="2" t="s">
        <v>1359</v>
      </c>
      <c r="X184" s="2"/>
      <c r="Y184" s="24">
        <v>176</v>
      </c>
      <c r="Z184">
        <f t="shared" si="40"/>
        <v>176</v>
      </c>
      <c r="AA184">
        <f t="shared" si="41"/>
        <v>176</v>
      </c>
      <c r="AB184">
        <f t="shared" si="42"/>
        <v>176</v>
      </c>
      <c r="AC184">
        <f t="shared" si="43"/>
        <v>0</v>
      </c>
      <c r="AD184">
        <f t="shared" si="44"/>
        <v>176</v>
      </c>
      <c r="AE184">
        <f t="shared" si="45"/>
        <v>0</v>
      </c>
      <c r="AF184">
        <f t="shared" si="46"/>
        <v>0</v>
      </c>
      <c r="AG184">
        <f t="shared" si="47"/>
        <v>176</v>
      </c>
      <c r="AH184">
        <f t="shared" si="48"/>
        <v>176</v>
      </c>
      <c r="AI184">
        <f t="shared" si="49"/>
        <v>0</v>
      </c>
      <c r="AJ184">
        <f t="shared" si="50"/>
        <v>0</v>
      </c>
      <c r="AK184">
        <f t="shared" si="51"/>
        <v>0</v>
      </c>
      <c r="AL184">
        <f t="shared" si="52"/>
        <v>0</v>
      </c>
      <c r="AM184">
        <f t="shared" si="53"/>
        <v>0</v>
      </c>
      <c r="AN184">
        <f t="shared" si="54"/>
        <v>176</v>
      </c>
      <c r="AO184">
        <f t="shared" si="55"/>
        <v>176</v>
      </c>
      <c r="AP184">
        <f t="shared" si="56"/>
        <v>176</v>
      </c>
      <c r="AQ184">
        <f t="shared" si="57"/>
        <v>176</v>
      </c>
      <c r="AR184" s="6">
        <f t="shared" si="58"/>
        <v>176</v>
      </c>
      <c r="AS184">
        <f t="shared" si="59"/>
        <v>176</v>
      </c>
      <c r="AV184" s="1" t="str">
        <f>IF(IFERROR(INDEX($A$9:$W$304,$AS184,COLUMNS($AV$9:AV183)),"")=0,"",IFERROR(INDEX($A$9:$W$304,$AS184,COLUMNS($AV$9:AV183)),""))</f>
        <v>No Escape</v>
      </c>
      <c r="AW184" s="1">
        <f>IFERROR(INDEX($A$9:$W$304,$AS184,COLUMNS($AV$9:AW183)),"")</f>
        <v>1</v>
      </c>
      <c r="AX184" s="1" t="str">
        <f>IF(IFERROR(INDEX($A$9:$X$304,$AS184,COLUMNS($AV$9:AX183)),"")=0,"",IFERROR(INDEX($A$9:$X$304,$AS184,COLUMNS($AV$9:AX183)),""))</f>
        <v>EVIL</v>
      </c>
      <c r="AY184" s="1" t="str">
        <f>IF(IFERROR(INDEX($A$9:$X$304,$AS184,COLUMNS($AV$9:AY183)),"")=0,"",IFERROR(INDEX($A$9:$X$304,$AS184,COLUMNS($AV$9:AY183)),""))</f>
        <v/>
      </c>
      <c r="AZ184" s="1" t="str">
        <f>IF(IFERROR(INDEX($A$9:$X$304,$AS184,COLUMNS($AV$9:AZ183)),"")=0,"",IFERROR(INDEX($A$9:$X$304,$AS184,COLUMNS($AV$9:AZ183)),""))</f>
        <v>EVENT</v>
      </c>
      <c r="BA184" s="1" t="str">
        <f>IF(IFERROR(INDEX($A$9:$X$304,$AS184,COLUMNS($AV$9:BA183)),"")=0,"",IFERROR(INDEX($A$9:$X$304,$AS184,COLUMNS($AV$9:BA183)),""))</f>
        <v/>
      </c>
      <c r="BB184" s="1" t="str">
        <f>IF(IFERROR(INDEX($A$9:$X$304,$AS184,COLUMNS($AV$9:BB183)),"")=0,"",IFERROR(INDEX($A$9:$X$304,$AS184,COLUMNS($AV$9:BB183)),""))</f>
        <v/>
      </c>
      <c r="BC184" s="1" t="str">
        <f>IF(IFERROR(INDEX($A$9:$X$304,$AS184,COLUMNS($AV$9:BC183)),"")=0,"",IFERROR(INDEX($A$9:$X$304,$AS184,COLUMNS($AV$9:BC183)),""))</f>
        <v>Draw two cards.</v>
      </c>
      <c r="BD184" s="1" t="str">
        <f>IF(IFERROR(INDEX($A$9:$X$304,$AS184,COLUMNS($AV$9:BD183)),"")=0,"",IFERROR(INDEX($A$9:$X$304,$AS184,COLUMNS($AV$9:BD183)),""))</f>
        <v>Break target champion. The player whose turn it is may return a champion card from their discard pile to their hand.</v>
      </c>
      <c r="BE184" s="1" t="str">
        <f>IF(IFERROR(INDEX($A$9:$X$304,$AS184,COLUMNS($AV$9:BE183)),"")=0,"",IFERROR(INDEX($A$9:$X$304,$AS184,COLUMNS($AV$9:BE183)),""))</f>
        <v/>
      </c>
      <c r="BF184" s="1" t="str">
        <f>IF(IFERROR(INDEX($A$9:$X$304,$AS184,COLUMNS($AV$9:BF183)),"")=0,"",IFERROR(INDEX($A$9:$X$304,$AS184,COLUMNS($AV$9:BF183)),""))</f>
        <v/>
      </c>
      <c r="BG184" s="1" t="str">
        <f>IF(IFERROR(INDEX($A$9:$X$304,$AS184,COLUMNS($AV$9:BG183)),"")=0,"",IFERROR(INDEX($A$9:$X$304,$AS184,COLUMNS($AV$9:BG183)),""))</f>
        <v/>
      </c>
      <c r="BH184" s="1" t="str">
        <f>IF(IFERROR(INDEX($A$9:$X$304,$AS184,COLUMNS($AV$9:BH183)),"")=0,"",IFERROR(INDEX($A$9:$X$304,$AS184,COLUMNS($AV$9:BH183)),""))</f>
        <v/>
      </c>
      <c r="BI184" s="1" t="str">
        <f>IF(IFERROR(INDEX($A$9:$X$304,$AS184,COLUMNS($AV$9:BI183)),"")=0,"",IFERROR(INDEX($A$9:$X$304,$AS184,COLUMNS($AV$9:BI183)),""))</f>
        <v/>
      </c>
      <c r="BJ184" s="1" t="str">
        <f>IF(IFERROR(INDEX($A$9:$X$304,$AS184,COLUMNS($AV$9:BJ183)),"")=0,"",IFERROR(INDEX($A$9:$X$304,$AS184,COLUMNS($AV$9:BJ183)),""))</f>
        <v>None</v>
      </c>
      <c r="BK184" s="1" t="str">
        <f>IF(IFERROR(INDEX($A$9:$X$304,$AS184,COLUMNS($AV$9:BK183)),"")=0,"",IFERROR(INDEX($A$9:$X$304,$AS184,COLUMNS($AV$9:BK183)),""))</f>
        <v>Rare</v>
      </c>
      <c r="BL184" s="1" t="str">
        <f>IF(IFERROR(INDEX($A$9:$X$304,$AS184,COLUMNS($AV$9:BL183)),"")=0,"",IFERROR(INDEX($A$9:$X$304,$AS184,COLUMNS($AV$9:BL183)),""))</f>
        <v>Christian Schob</v>
      </c>
      <c r="BM184" s="1" t="str">
        <f>IF(IFERROR(INDEX($A$9:$X$304,$AS184,COLUMNS($AV$9:BM183)),"")=0,"",IFERROR(INDEX($A$9:$X$304,$AS184,COLUMNS($AV$9:BM183)),""))</f>
        <v>Uprising: Flames of Scarros</v>
      </c>
      <c r="BN184" s="3" t="b">
        <f>IF(IFERROR(INDEX($A$9:$X$304,$AS184,COLUMNS($AV$9:BN183)),"")=0,"",IFERROR(INDEX($A$9:$X$304,$AS184,COLUMNS($AV$9:BN183)),""))</f>
        <v>1</v>
      </c>
      <c r="BO184" s="3" t="b">
        <f>IF(IFERROR(INDEX($A$9:$X$304,$AS184,COLUMNS($AV$9:BO183)),"")=0,"",IFERROR(INDEX($A$9:$X$304,$AS184,COLUMNS($AV$9:BO183)),""))</f>
        <v>1</v>
      </c>
      <c r="BP184" s="3" t="b">
        <f>IF(IFERROR(INDEX($A$9:$X$304,$AS184,COLUMNS($AV$9:BP183)),"")=0,"",IFERROR(INDEX($A$9:$X$304,$AS184,COLUMNS($AV$9:BP183)),""))</f>
        <v>0</v>
      </c>
      <c r="BQ184" s="3" t="b">
        <f>IF(IFERROR(INDEX($A$9:$X$304,$AS184,COLUMNS($AV$9:BQ183)),"")=0,"",IFERROR(INDEX($A$9:$X$304,$AS184,COLUMNS($AV$9:BQ183)),""))</f>
        <v>0</v>
      </c>
      <c r="BR184" s="3" t="str">
        <f>IF(IFERROR(INDEX($A$9:$X$304,$AS184,COLUMNS($AV$9:BR183)),"")=0,"",IFERROR(INDEX($A$9:$X$304,$AS184,COLUMNS($AV$9:BR183)),""))</f>
        <v>https://www.epiccardgame.com/wp-content/uploads/2017/11/UPS-EN-no-escape.jpg</v>
      </c>
      <c r="BS184" s="3" t="str">
        <f>IF(IFERROR(INDEX($A$9:$X$304,$AS184,COLUMNS($AV$9:BS183)),"")=0,"",IFERROR(INDEX($A$9:$X$304,$AS184,COLUMNS($AV$9:BS183)),""))</f>
        <v/>
      </c>
      <c r="BT184" s="3"/>
      <c r="BU184" s="15"/>
      <c r="BV184" t="s">
        <v>205</v>
      </c>
    </row>
    <row r="185" spans="1:74" ht="225.2" customHeight="1" x14ac:dyDescent="0.25">
      <c r="A185" t="s">
        <v>497</v>
      </c>
      <c r="B185">
        <v>1</v>
      </c>
      <c r="C185" t="s">
        <v>617</v>
      </c>
      <c r="E185" t="s">
        <v>620</v>
      </c>
      <c r="F185">
        <v>7</v>
      </c>
      <c r="G185">
        <v>4</v>
      </c>
      <c r="H185" t="s">
        <v>708</v>
      </c>
      <c r="L185" t="s">
        <v>1049</v>
      </c>
      <c r="O185" t="s">
        <v>1063</v>
      </c>
      <c r="P185" t="s">
        <v>1112</v>
      </c>
      <c r="Q185" t="s">
        <v>1152</v>
      </c>
      <c r="R185" t="s">
        <v>1178</v>
      </c>
      <c r="S185" t="b">
        <v>1</v>
      </c>
      <c r="T185" t="b">
        <v>0</v>
      </c>
      <c r="U185" t="b">
        <v>0</v>
      </c>
      <c r="V185" t="b">
        <v>0</v>
      </c>
      <c r="W185" s="2" t="s">
        <v>1360</v>
      </c>
      <c r="X185" s="2"/>
      <c r="Y185" s="24">
        <v>177</v>
      </c>
      <c r="Z185">
        <f t="shared" si="40"/>
        <v>177</v>
      </c>
      <c r="AA185">
        <f t="shared" si="41"/>
        <v>177</v>
      </c>
      <c r="AB185">
        <f t="shared" si="42"/>
        <v>177</v>
      </c>
      <c r="AC185">
        <f t="shared" si="43"/>
        <v>0</v>
      </c>
      <c r="AD185">
        <f t="shared" si="44"/>
        <v>177</v>
      </c>
      <c r="AE185">
        <f t="shared" si="45"/>
        <v>177</v>
      </c>
      <c r="AF185">
        <f t="shared" si="46"/>
        <v>177</v>
      </c>
      <c r="AG185">
        <f t="shared" si="47"/>
        <v>177</v>
      </c>
      <c r="AH185">
        <f t="shared" si="48"/>
        <v>0</v>
      </c>
      <c r="AI185">
        <f t="shared" si="49"/>
        <v>0</v>
      </c>
      <c r="AJ185">
        <f t="shared" si="50"/>
        <v>0</v>
      </c>
      <c r="AK185">
        <f t="shared" si="51"/>
        <v>177</v>
      </c>
      <c r="AL185">
        <f t="shared" si="52"/>
        <v>0</v>
      </c>
      <c r="AM185">
        <f t="shared" si="53"/>
        <v>0</v>
      </c>
      <c r="AN185">
        <f t="shared" si="54"/>
        <v>177</v>
      </c>
      <c r="AO185">
        <f t="shared" si="55"/>
        <v>177</v>
      </c>
      <c r="AP185">
        <f t="shared" si="56"/>
        <v>177</v>
      </c>
      <c r="AQ185">
        <f t="shared" si="57"/>
        <v>177</v>
      </c>
      <c r="AR185" s="6">
        <f t="shared" si="58"/>
        <v>177</v>
      </c>
      <c r="AS185">
        <f t="shared" si="59"/>
        <v>177</v>
      </c>
      <c r="AV185" s="1" t="str">
        <f>IF(IFERROR(INDEX($A$9:$W$304,$AS185,COLUMNS($AV$9:AV184)),"")=0,"",IFERROR(INDEX($A$9:$W$304,$AS185,COLUMNS($AV$9:AV184)),""))</f>
        <v>Noble Martyr</v>
      </c>
      <c r="AW185" s="1">
        <f>IFERROR(INDEX($A$9:$W$304,$AS185,COLUMNS($AV$9:AW184)),"")</f>
        <v>1</v>
      </c>
      <c r="AX185" s="1" t="str">
        <f>IF(IFERROR(INDEX($A$9:$X$304,$AS185,COLUMNS($AV$9:AX184)),"")=0,"",IFERROR(INDEX($A$9:$X$304,$AS185,COLUMNS($AV$9:AX184)),""))</f>
        <v>GOOD</v>
      </c>
      <c r="AY185" s="1" t="str">
        <f>IF(IFERROR(INDEX($A$9:$X$304,$AS185,COLUMNS($AV$9:AY184)),"")=0,"",IFERROR(INDEX($A$9:$X$304,$AS185,COLUMNS($AV$9:AY184)),""))</f>
        <v/>
      </c>
      <c r="AZ185" s="1" t="str">
        <f>IF(IFERROR(INDEX($A$9:$X$304,$AS185,COLUMNS($AV$9:AZ184)),"")=0,"",IFERROR(INDEX($A$9:$X$304,$AS185,COLUMNS($AV$9:AZ184)),""))</f>
        <v>CHAMPION</v>
      </c>
      <c r="BA185" s="1">
        <f>IF(IFERROR(INDEX($A$9:$X$304,$AS185,COLUMNS($AV$9:BA184)),"")=0,"",IFERROR(INDEX($A$9:$X$304,$AS185,COLUMNS($AV$9:BA184)),""))</f>
        <v>7</v>
      </c>
      <c r="BB185" s="1">
        <f>IF(IFERROR(INDEX($A$9:$X$304,$AS185,COLUMNS($AV$9:BB184)),"")=0,"",IFERROR(INDEX($A$9:$X$304,$AS185,COLUMNS($AV$9:BB184)),""))</f>
        <v>4</v>
      </c>
      <c r="BC185" s="1" t="str">
        <f>IF(IFERROR(INDEX($A$9:$X$304,$AS185,COLUMNS($AV$9:BC184)),"")=0,"",IFERROR(INDEX($A$9:$X$304,$AS185,COLUMNS($AV$9:BC184)),""))</f>
        <v>Blitz ◆ Unbanishable</v>
      </c>
      <c r="BD185" s="1" t="str">
        <f>IF(IFERROR(INDEX($A$9:$X$304,$AS185,COLUMNS($AV$9:BD184)),"")=0,"",IFERROR(INDEX($A$9:$X$304,$AS185,COLUMNS($AV$9:BD184)),""))</f>
        <v/>
      </c>
      <c r="BE185" s="1" t="str">
        <f>IF(IFERROR(INDEX($A$9:$X$304,$AS185,COLUMNS($AV$9:BE184)),"")=0,"",IFERROR(INDEX($A$9:$X$304,$AS185,COLUMNS($AV$9:BE184)),""))</f>
        <v/>
      </c>
      <c r="BF185" s="1" t="str">
        <f>IF(IFERROR(INDEX($A$9:$X$304,$AS185,COLUMNS($AV$9:BF184)),"")=0,"",IFERROR(INDEX($A$9:$X$304,$AS185,COLUMNS($AV$9:BF184)),""))</f>
        <v/>
      </c>
      <c r="BG185" s="1" t="str">
        <f>IF(IFERROR(INDEX($A$9:$X$304,$AS185,COLUMNS($AV$9:BG184)),"")=0,"",IFERROR(INDEX($A$9:$X$304,$AS185,COLUMNS($AV$9:BG184)),""))</f>
        <v>{good} → You may banish this card from your discard pile. If you do, put five human tokens into play.</v>
      </c>
      <c r="BH185" s="1" t="str">
        <f>IF(IFERROR(INDEX($A$9:$X$304,$AS185,COLUMNS($AV$9:BH184)),"")=0,"",IFERROR(INDEX($A$9:$X$304,$AS185,COLUMNS($AV$9:BH184)),""))</f>
        <v/>
      </c>
      <c r="BI185" s="1" t="str">
        <f>IF(IFERROR(INDEX($A$9:$X$304,$AS185,COLUMNS($AV$9:BI184)),"")=0,"",IFERROR(INDEX($A$9:$X$304,$AS185,COLUMNS($AV$9:BI184)),""))</f>
        <v/>
      </c>
      <c r="BJ185" s="1" t="str">
        <f>IF(IFERROR(INDEX($A$9:$X$304,$AS185,COLUMNS($AV$9:BJ184)),"")=0,"",IFERROR(INDEX($A$9:$X$304,$AS185,COLUMNS($AV$9:BJ184)),""))</f>
        <v>HUMAN</v>
      </c>
      <c r="BK185" s="1" t="str">
        <f>IF(IFERROR(INDEX($A$9:$X$304,$AS185,COLUMNS($AV$9:BK184)),"")=0,"",IFERROR(INDEX($A$9:$X$304,$AS185,COLUMNS($AV$9:BK184)),""))</f>
        <v>Common</v>
      </c>
      <c r="BL185" s="1" t="str">
        <f>IF(IFERROR(INDEX($A$9:$X$304,$AS185,COLUMNS($AV$9:BL184)),"")=0,"",IFERROR(INDEX($A$9:$X$304,$AS185,COLUMNS($AV$9:BL184)),""))</f>
        <v>Gialer Liew</v>
      </c>
      <c r="BM185" s="1" t="str">
        <f>IF(IFERROR(INDEX($A$9:$X$304,$AS185,COLUMNS($AV$9:BM184)),"")=0,"",IFERROR(INDEX($A$9:$X$304,$AS185,COLUMNS($AV$9:BM184)),""))</f>
        <v>Tyrants: Draka's Rage</v>
      </c>
      <c r="BN185" s="3" t="b">
        <f>IF(IFERROR(INDEX($A$9:$X$304,$AS185,COLUMNS($AV$9:BN184)),"")=0,"",IFERROR(INDEX($A$9:$X$304,$AS185,COLUMNS($AV$9:BN184)),""))</f>
        <v>1</v>
      </c>
      <c r="BO185" s="3" t="b">
        <f>IF(IFERROR(INDEX($A$9:$X$304,$AS185,COLUMNS($AV$9:BO184)),"")=0,"",IFERROR(INDEX($A$9:$X$304,$AS185,COLUMNS($AV$9:BO184)),""))</f>
        <v>0</v>
      </c>
      <c r="BP185" s="3" t="b">
        <f>IF(IFERROR(INDEX($A$9:$X$304,$AS185,COLUMNS($AV$9:BP184)),"")=0,"",IFERROR(INDEX($A$9:$X$304,$AS185,COLUMNS($AV$9:BP184)),""))</f>
        <v>0</v>
      </c>
      <c r="BQ185" s="3" t="b">
        <f>IF(IFERROR(INDEX($A$9:$X$304,$AS185,COLUMNS($AV$9:BQ184)),"")=0,"",IFERROR(INDEX($A$9:$X$304,$AS185,COLUMNS($AV$9:BQ184)),""))</f>
        <v>0</v>
      </c>
      <c r="BR185" s="3" t="str">
        <f>IF(IFERROR(INDEX($A$9:$X$304,$AS185,COLUMNS($AV$9:BR184)),"")=0,"",IFERROR(INDEX($A$9:$X$304,$AS185,COLUMNS($AV$9:BR184)),""))</f>
        <v>http://www.epiccardgame.com/wp-content/uploads/2016/03/noble_martyr-214x300.jpg</v>
      </c>
      <c r="BS185" s="3" t="str">
        <f>IF(IFERROR(INDEX($A$9:$X$304,$AS185,COLUMNS($AV$9:BS184)),"")=0,"",IFERROR(INDEX($A$9:$X$304,$AS185,COLUMNS($AV$9:BS184)),""))</f>
        <v/>
      </c>
      <c r="BT185" s="3"/>
      <c r="BU185" s="15"/>
      <c r="BV185" t="s">
        <v>206</v>
      </c>
    </row>
    <row r="186" spans="1:74" ht="225.2" customHeight="1" x14ac:dyDescent="0.25">
      <c r="A186" t="s">
        <v>498</v>
      </c>
      <c r="B186">
        <v>1</v>
      </c>
      <c r="C186" t="s">
        <v>617</v>
      </c>
      <c r="E186" t="s">
        <v>620</v>
      </c>
      <c r="F186">
        <v>6</v>
      </c>
      <c r="G186">
        <v>6</v>
      </c>
      <c r="H186" t="s">
        <v>21</v>
      </c>
      <c r="I186" t="s">
        <v>888</v>
      </c>
      <c r="O186" t="s">
        <v>1099</v>
      </c>
      <c r="P186" t="s">
        <v>1112</v>
      </c>
      <c r="Q186" t="s">
        <v>1116</v>
      </c>
      <c r="R186" t="s">
        <v>1171</v>
      </c>
      <c r="S186" t="b">
        <v>1</v>
      </c>
      <c r="T186" t="b">
        <v>0</v>
      </c>
      <c r="U186" t="b">
        <v>0</v>
      </c>
      <c r="V186" t="b">
        <v>0</v>
      </c>
      <c r="W186" s="2" t="s">
        <v>1361</v>
      </c>
      <c r="X186" s="2"/>
      <c r="Y186" s="24">
        <v>178</v>
      </c>
      <c r="Z186">
        <f t="shared" si="40"/>
        <v>178</v>
      </c>
      <c r="AA186">
        <f t="shared" si="41"/>
        <v>178</v>
      </c>
      <c r="AB186">
        <f t="shared" si="42"/>
        <v>178</v>
      </c>
      <c r="AC186">
        <f t="shared" si="43"/>
        <v>0</v>
      </c>
      <c r="AD186">
        <f t="shared" si="44"/>
        <v>178</v>
      </c>
      <c r="AE186">
        <f t="shared" si="45"/>
        <v>178</v>
      </c>
      <c r="AF186">
        <f t="shared" si="46"/>
        <v>178</v>
      </c>
      <c r="AG186">
        <f t="shared" si="47"/>
        <v>178</v>
      </c>
      <c r="AH186">
        <f t="shared" si="48"/>
        <v>178</v>
      </c>
      <c r="AI186">
        <f t="shared" si="49"/>
        <v>0</v>
      </c>
      <c r="AJ186">
        <f t="shared" si="50"/>
        <v>0</v>
      </c>
      <c r="AK186">
        <f t="shared" si="51"/>
        <v>0</v>
      </c>
      <c r="AL186">
        <f t="shared" si="52"/>
        <v>0</v>
      </c>
      <c r="AM186">
        <f t="shared" si="53"/>
        <v>0</v>
      </c>
      <c r="AN186">
        <f t="shared" si="54"/>
        <v>178</v>
      </c>
      <c r="AO186">
        <f t="shared" si="55"/>
        <v>178</v>
      </c>
      <c r="AP186">
        <f t="shared" si="56"/>
        <v>178</v>
      </c>
      <c r="AQ186">
        <f t="shared" si="57"/>
        <v>178</v>
      </c>
      <c r="AR186" s="6">
        <f t="shared" si="58"/>
        <v>178</v>
      </c>
      <c r="AS186">
        <f t="shared" si="59"/>
        <v>178</v>
      </c>
      <c r="AV186" s="1" t="str">
        <f>IF(IFERROR(INDEX($A$9:$W$304,$AS186,COLUMNS($AV$9:AV185)),"")=0,"",IFERROR(INDEX($A$9:$W$304,$AS186,COLUMNS($AV$9:AV185)),""))</f>
        <v>Noble Unicorn</v>
      </c>
      <c r="AW186" s="1">
        <f>IFERROR(INDEX($A$9:$W$304,$AS186,COLUMNS($AV$9:AW185)),"")</f>
        <v>1</v>
      </c>
      <c r="AX186" s="1" t="str">
        <f>IF(IFERROR(INDEX($A$9:$X$304,$AS186,COLUMNS($AV$9:AX185)),"")=0,"",IFERROR(INDEX($A$9:$X$304,$AS186,COLUMNS($AV$9:AX185)),""))</f>
        <v>GOOD</v>
      </c>
      <c r="AY186" s="1" t="str">
        <f>IF(IFERROR(INDEX($A$9:$X$304,$AS186,COLUMNS($AV$9:AY185)),"")=0,"",IFERROR(INDEX($A$9:$X$304,$AS186,COLUMNS($AV$9:AY185)),""))</f>
        <v/>
      </c>
      <c r="AZ186" s="1" t="str">
        <f>IF(IFERROR(INDEX($A$9:$X$304,$AS186,COLUMNS($AV$9:AZ185)),"")=0,"",IFERROR(INDEX($A$9:$X$304,$AS186,COLUMNS($AV$9:AZ185)),""))</f>
        <v>CHAMPION</v>
      </c>
      <c r="BA186" s="1">
        <f>IF(IFERROR(INDEX($A$9:$X$304,$AS186,COLUMNS($AV$9:BA185)),"")=0,"",IFERROR(INDEX($A$9:$X$304,$AS186,COLUMNS($AV$9:BA185)),""))</f>
        <v>6</v>
      </c>
      <c r="BB186" s="1">
        <f>IF(IFERROR(INDEX($A$9:$X$304,$AS186,COLUMNS($AV$9:BB185)),"")=0,"",IFERROR(INDEX($A$9:$X$304,$AS186,COLUMNS($AV$9:BB185)),""))</f>
        <v>6</v>
      </c>
      <c r="BC186" s="1" t="str">
        <f>IF(IFERROR(INDEX($A$9:$X$304,$AS186,COLUMNS($AV$9:BC185)),"")=0,"",IFERROR(INDEX($A$9:$X$304,$AS186,COLUMNS($AV$9:BC185)),""))</f>
        <v>Ambush</v>
      </c>
      <c r="BD186" s="1" t="str">
        <f>IF(IFERROR(INDEX($A$9:$X$304,$AS186,COLUMNS($AV$9:BD185)),"")=0,"",IFERROR(INDEX($A$9:$X$304,$AS186,COLUMNS($AV$9:BD185)),""))</f>
        <v>Tribute and/or {good} → Draw a card.</v>
      </c>
      <c r="BE186" s="1" t="str">
        <f>IF(IFERROR(INDEX($A$9:$X$304,$AS186,COLUMNS($AV$9:BE185)),"")=0,"",IFERROR(INDEX($A$9:$X$304,$AS186,COLUMNS($AV$9:BE185)),""))</f>
        <v/>
      </c>
      <c r="BF186" s="1" t="str">
        <f>IF(IFERROR(INDEX($A$9:$X$304,$AS186,COLUMNS($AV$9:BF185)),"")=0,"",IFERROR(INDEX($A$9:$X$304,$AS186,COLUMNS($AV$9:BF185)),""))</f>
        <v/>
      </c>
      <c r="BG186" s="1" t="str">
        <f>IF(IFERROR(INDEX($A$9:$X$304,$AS186,COLUMNS($AV$9:BG185)),"")=0,"",IFERROR(INDEX($A$9:$X$304,$AS186,COLUMNS($AV$9:BG185)),""))</f>
        <v/>
      </c>
      <c r="BH186" s="1" t="str">
        <f>IF(IFERROR(INDEX($A$9:$X$304,$AS186,COLUMNS($AV$9:BH185)),"")=0,"",IFERROR(INDEX($A$9:$X$304,$AS186,COLUMNS($AV$9:BH185)),""))</f>
        <v/>
      </c>
      <c r="BI186" s="1" t="str">
        <f>IF(IFERROR(INDEX($A$9:$X$304,$AS186,COLUMNS($AV$9:BI185)),"")=0,"",IFERROR(INDEX($A$9:$X$304,$AS186,COLUMNS($AV$9:BI185)),""))</f>
        <v/>
      </c>
      <c r="BJ186" s="1" t="str">
        <f>IF(IFERROR(INDEX($A$9:$X$304,$AS186,COLUMNS($AV$9:BJ185)),"")=0,"",IFERROR(INDEX($A$9:$X$304,$AS186,COLUMNS($AV$9:BJ185)),""))</f>
        <v>UNICORN</v>
      </c>
      <c r="BK186" s="1" t="str">
        <f>IF(IFERROR(INDEX($A$9:$X$304,$AS186,COLUMNS($AV$9:BK185)),"")=0,"",IFERROR(INDEX($A$9:$X$304,$AS186,COLUMNS($AV$9:BK185)),""))</f>
        <v>Common</v>
      </c>
      <c r="BL186" s="1" t="str">
        <f>IF(IFERROR(INDEX($A$9:$X$304,$AS186,COLUMNS($AV$9:BL185)),"")=0,"",IFERROR(INDEX($A$9:$X$304,$AS186,COLUMNS($AV$9:BL185)),""))</f>
        <v>Apsara</v>
      </c>
      <c r="BM186" s="1" t="str">
        <f>IF(IFERROR(INDEX($A$9:$X$304,$AS186,COLUMNS($AV$9:BM185)),"")=0,"",IFERROR(INDEX($A$9:$X$304,$AS186,COLUMNS($AV$9:BM185)),""))</f>
        <v>Base Set</v>
      </c>
      <c r="BN186" s="3" t="b">
        <f>IF(IFERROR(INDEX($A$9:$X$304,$AS186,COLUMNS($AV$9:BN185)),"")=0,"",IFERROR(INDEX($A$9:$X$304,$AS186,COLUMNS($AV$9:BN185)),""))</f>
        <v>1</v>
      </c>
      <c r="BO186" s="3" t="b">
        <f>IF(IFERROR(INDEX($A$9:$X$304,$AS186,COLUMNS($AV$9:BO185)),"")=0,"",IFERROR(INDEX($A$9:$X$304,$AS186,COLUMNS($AV$9:BO185)),""))</f>
        <v>0</v>
      </c>
      <c r="BP186" s="3" t="b">
        <f>IF(IFERROR(INDEX($A$9:$X$304,$AS186,COLUMNS($AV$9:BP185)),"")=0,"",IFERROR(INDEX($A$9:$X$304,$AS186,COLUMNS($AV$9:BP185)),""))</f>
        <v>0</v>
      </c>
      <c r="BQ186" s="3" t="b">
        <f>IF(IFERROR(INDEX($A$9:$X$304,$AS186,COLUMNS($AV$9:BQ185)),"")=0,"",IFERROR(INDEX($A$9:$X$304,$AS186,COLUMNS($AV$9:BQ185)),""))</f>
        <v>0</v>
      </c>
      <c r="BR186" s="3" t="str">
        <f>IF(IFERROR(INDEX($A$9:$X$304,$AS186,COLUMNS($AV$9:BR185)),"")=0,"",IFERROR(INDEX($A$9:$X$304,$AS186,COLUMNS($AV$9:BR185)),""))</f>
        <v>http://www.epiccardgame.com/wp-content/uploads/2015/09/noble_unicorn-215x300.jpg</v>
      </c>
      <c r="BS186" s="3" t="str">
        <f>IF(IFERROR(INDEX($A$9:$X$304,$AS186,COLUMNS($AV$9:BS185)),"")=0,"",IFERROR(INDEX($A$9:$X$304,$AS186,COLUMNS($AV$9:BS185)),""))</f>
        <v/>
      </c>
      <c r="BT186" s="3"/>
      <c r="BU186" s="15"/>
      <c r="BV186" t="s">
        <v>207</v>
      </c>
    </row>
    <row r="187" spans="1:74" ht="225" customHeight="1" x14ac:dyDescent="0.25">
      <c r="A187" t="s">
        <v>499</v>
      </c>
      <c r="B187">
        <v>0</v>
      </c>
      <c r="C187" t="s">
        <v>616</v>
      </c>
      <c r="E187" t="s">
        <v>620</v>
      </c>
      <c r="F187">
        <v>4</v>
      </c>
      <c r="G187">
        <v>3</v>
      </c>
      <c r="H187" t="s">
        <v>709</v>
      </c>
      <c r="I187" t="s">
        <v>889</v>
      </c>
      <c r="O187" t="s">
        <v>1100</v>
      </c>
      <c r="P187" t="s">
        <v>1113</v>
      </c>
      <c r="Q187" t="s">
        <v>1114</v>
      </c>
      <c r="R187" t="s">
        <v>1171</v>
      </c>
      <c r="S187" t="b">
        <v>0</v>
      </c>
      <c r="T187" t="b">
        <v>0</v>
      </c>
      <c r="U187" t="b">
        <v>0</v>
      </c>
      <c r="V187" t="b">
        <v>0</v>
      </c>
      <c r="W187" s="2" t="s">
        <v>1362</v>
      </c>
      <c r="X187" s="2"/>
      <c r="Y187" s="24">
        <v>179</v>
      </c>
      <c r="Z187">
        <f t="shared" si="40"/>
        <v>179</v>
      </c>
      <c r="AA187">
        <f t="shared" si="41"/>
        <v>179</v>
      </c>
      <c r="AB187">
        <f t="shared" si="42"/>
        <v>179</v>
      </c>
      <c r="AC187">
        <f t="shared" si="43"/>
        <v>0</v>
      </c>
      <c r="AD187">
        <f t="shared" si="44"/>
        <v>179</v>
      </c>
      <c r="AE187">
        <f t="shared" si="45"/>
        <v>179</v>
      </c>
      <c r="AF187">
        <f t="shared" si="46"/>
        <v>179</v>
      </c>
      <c r="AG187">
        <f t="shared" si="47"/>
        <v>179</v>
      </c>
      <c r="AH187">
        <f t="shared" si="48"/>
        <v>179</v>
      </c>
      <c r="AI187">
        <f t="shared" si="49"/>
        <v>0</v>
      </c>
      <c r="AJ187">
        <f t="shared" si="50"/>
        <v>0</v>
      </c>
      <c r="AK187">
        <f t="shared" si="51"/>
        <v>0</v>
      </c>
      <c r="AL187">
        <f t="shared" si="52"/>
        <v>0</v>
      </c>
      <c r="AM187">
        <f t="shared" si="53"/>
        <v>0</v>
      </c>
      <c r="AN187">
        <f t="shared" si="54"/>
        <v>179</v>
      </c>
      <c r="AO187">
        <f t="shared" si="55"/>
        <v>179</v>
      </c>
      <c r="AP187">
        <f t="shared" si="56"/>
        <v>179</v>
      </c>
      <c r="AQ187">
        <f t="shared" si="57"/>
        <v>179</v>
      </c>
      <c r="AR187" s="6">
        <f t="shared" si="58"/>
        <v>179</v>
      </c>
      <c r="AS187">
        <f t="shared" si="59"/>
        <v>179</v>
      </c>
      <c r="AV187" s="1" t="str">
        <f>IF(IFERROR(INDEX($A$9:$W$304,$AS187,COLUMNS($AV$9:AV186)),"")=0,"",IFERROR(INDEX($A$9:$W$304,$AS187,COLUMNS($AV$9:AV186)),""))</f>
        <v>Ogre Mercenary</v>
      </c>
      <c r="AW187" s="1">
        <f>IFERROR(INDEX($A$9:$W$304,$AS187,COLUMNS($AV$9:AW186)),"")</f>
        <v>0</v>
      </c>
      <c r="AX187" s="1" t="str">
        <f>IF(IFERROR(INDEX($A$9:$X$304,$AS187,COLUMNS($AV$9:AX186)),"")=0,"",IFERROR(INDEX($A$9:$X$304,$AS187,COLUMNS($AV$9:AX186)),""))</f>
        <v>SAGE</v>
      </c>
      <c r="AY187" s="1" t="str">
        <f>IF(IFERROR(INDEX($A$9:$X$304,$AS187,COLUMNS($AV$9:AY186)),"")=0,"",IFERROR(INDEX($A$9:$X$304,$AS187,COLUMNS($AV$9:AY186)),""))</f>
        <v/>
      </c>
      <c r="AZ187" s="1" t="str">
        <f>IF(IFERROR(INDEX($A$9:$X$304,$AS187,COLUMNS($AV$9:AZ186)),"")=0,"",IFERROR(INDEX($A$9:$X$304,$AS187,COLUMNS($AV$9:AZ186)),""))</f>
        <v>CHAMPION</v>
      </c>
      <c r="BA187" s="1">
        <f>IF(IFERROR(INDEX($A$9:$X$304,$AS187,COLUMNS($AV$9:BA186)),"")=0,"",IFERROR(INDEX($A$9:$X$304,$AS187,COLUMNS($AV$9:BA186)),""))</f>
        <v>4</v>
      </c>
      <c r="BB187" s="1">
        <f>IF(IFERROR(INDEX($A$9:$X$304,$AS187,COLUMNS($AV$9:BB186)),"")=0,"",IFERROR(INDEX($A$9:$X$304,$AS187,COLUMNS($AV$9:BB186)),""))</f>
        <v>3</v>
      </c>
      <c r="BC187" s="1" t="str">
        <f>IF(IFERROR(INDEX($A$9:$X$304,$AS187,COLUMNS($AV$9:BC186)),"")=0,"",IFERROR(INDEX($A$9:$X$304,$AS187,COLUMNS($AV$9:BC186)),""))</f>
        <v>Tribute → Recycle</v>
      </c>
      <c r="BD187" s="1" t="str">
        <f>IF(IFERROR(INDEX($A$9:$X$304,$AS187,COLUMNS($AV$9:BD186)),"")=0,"",IFERROR(INDEX($A$9:$X$304,$AS187,COLUMNS($AV$9:BD186)),""))</f>
        <v>Ogres' skill at battle is matched only by their love of coin.</v>
      </c>
      <c r="BE187" s="1" t="str">
        <f>IF(IFERROR(INDEX($A$9:$X$304,$AS187,COLUMNS($AV$9:BE186)),"")=0,"",IFERROR(INDEX($A$9:$X$304,$AS187,COLUMNS($AV$9:BE186)),""))</f>
        <v/>
      </c>
      <c r="BF187" s="1" t="str">
        <f>IF(IFERROR(INDEX($A$9:$X$304,$AS187,COLUMNS($AV$9:BF186)),"")=0,"",IFERROR(INDEX($A$9:$X$304,$AS187,COLUMNS($AV$9:BF186)),""))</f>
        <v/>
      </c>
      <c r="BG187" s="1" t="str">
        <f>IF(IFERROR(INDEX($A$9:$X$304,$AS187,COLUMNS($AV$9:BG186)),"")=0,"",IFERROR(INDEX($A$9:$X$304,$AS187,COLUMNS($AV$9:BG186)),""))</f>
        <v/>
      </c>
      <c r="BH187" s="1" t="str">
        <f>IF(IFERROR(INDEX($A$9:$X$304,$AS187,COLUMNS($AV$9:BH186)),"")=0,"",IFERROR(INDEX($A$9:$X$304,$AS187,COLUMNS($AV$9:BH186)),""))</f>
        <v/>
      </c>
      <c r="BI187" s="1" t="str">
        <f>IF(IFERROR(INDEX($A$9:$X$304,$AS187,COLUMNS($AV$9:BI186)),"")=0,"",IFERROR(INDEX($A$9:$X$304,$AS187,COLUMNS($AV$9:BI186)),""))</f>
        <v/>
      </c>
      <c r="BJ187" s="1" t="str">
        <f>IF(IFERROR(INDEX($A$9:$X$304,$AS187,COLUMNS($AV$9:BJ186)),"")=0,"",IFERROR(INDEX($A$9:$X$304,$AS187,COLUMNS($AV$9:BJ186)),""))</f>
        <v>OGRE</v>
      </c>
      <c r="BK187" s="1" t="str">
        <f>IF(IFERROR(INDEX($A$9:$X$304,$AS187,COLUMNS($AV$9:BK186)),"")=0,"",IFERROR(INDEX($A$9:$X$304,$AS187,COLUMNS($AV$9:BK186)),""))</f>
        <v>Rare</v>
      </c>
      <c r="BL187" s="1" t="str">
        <f>IF(IFERROR(INDEX($A$9:$X$304,$AS187,COLUMNS($AV$9:BL186)),"")=0,"",IFERROR(INDEX($A$9:$X$304,$AS187,COLUMNS($AV$9:BL186)),""))</f>
        <v>Jaan-Paul van Eeden</v>
      </c>
      <c r="BM187" s="1" t="str">
        <f>IF(IFERROR(INDEX($A$9:$X$304,$AS187,COLUMNS($AV$9:BM186)),"")=0,"",IFERROR(INDEX($A$9:$X$304,$AS187,COLUMNS($AV$9:BM186)),""))</f>
        <v>Base Set</v>
      </c>
      <c r="BN187" s="3" t="b">
        <f>IF(IFERROR(INDEX($A$9:$X$304,$AS187,COLUMNS($AV$9:BN186)),"")=0,"",IFERROR(INDEX($A$9:$X$304,$AS187,COLUMNS($AV$9:BN186)),""))</f>
        <v>0</v>
      </c>
      <c r="BO187" s="3" t="b">
        <f>IF(IFERROR(INDEX($A$9:$X$304,$AS187,COLUMNS($AV$9:BO186)),"")=0,"",IFERROR(INDEX($A$9:$X$304,$AS187,COLUMNS($AV$9:BO186)),""))</f>
        <v>0</v>
      </c>
      <c r="BP187" s="3" t="b">
        <f>IF(IFERROR(INDEX($A$9:$X$304,$AS187,COLUMNS($AV$9:BP186)),"")=0,"",IFERROR(INDEX($A$9:$X$304,$AS187,COLUMNS($AV$9:BP186)),""))</f>
        <v>0</v>
      </c>
      <c r="BQ187" s="3" t="b">
        <f>IF(IFERROR(INDEX($A$9:$X$304,$AS187,COLUMNS($AV$9:BQ186)),"")=0,"",IFERROR(INDEX($A$9:$X$304,$AS187,COLUMNS($AV$9:BQ186)),""))</f>
        <v>0</v>
      </c>
      <c r="BR187" s="3" t="str">
        <f>IF(IFERROR(INDEX($A$9:$X$304,$AS187,COLUMNS($AV$9:BR186)),"")=0,"",IFERROR(INDEX($A$9:$X$304,$AS187,COLUMNS($AV$9:BR186)),""))</f>
        <v>http://www.epiccardgame.com/wp-content/uploads/2015/09/ogre_mercenary-215x300.jpg</v>
      </c>
      <c r="BS187" s="3" t="str">
        <f>IF(IFERROR(INDEX($A$9:$X$304,$AS187,COLUMNS($AV$9:BS186)),"")=0,"",IFERROR(INDEX($A$9:$X$304,$AS187,COLUMNS($AV$9:BS186)),""))</f>
        <v/>
      </c>
      <c r="BT187" s="3"/>
      <c r="BU187" s="15"/>
      <c r="BV187" t="s">
        <v>208</v>
      </c>
    </row>
    <row r="188" spans="1:74" ht="225" customHeight="1" x14ac:dyDescent="0.25">
      <c r="A188" t="s">
        <v>500</v>
      </c>
      <c r="B188">
        <v>0</v>
      </c>
      <c r="C188" t="s">
        <v>616</v>
      </c>
      <c r="E188" t="s">
        <v>620</v>
      </c>
      <c r="F188">
        <v>1</v>
      </c>
      <c r="G188">
        <v>1</v>
      </c>
      <c r="H188" t="s">
        <v>25</v>
      </c>
      <c r="I188" t="s">
        <v>890</v>
      </c>
      <c r="O188" t="s">
        <v>1073</v>
      </c>
      <c r="P188" t="s">
        <v>1113</v>
      </c>
      <c r="Q188" t="s">
        <v>1114</v>
      </c>
      <c r="R188" t="s">
        <v>1169</v>
      </c>
      <c r="S188" t="b">
        <v>1</v>
      </c>
      <c r="T188" t="b">
        <v>0</v>
      </c>
      <c r="U188" t="b">
        <v>0</v>
      </c>
      <c r="V188" t="b">
        <v>0</v>
      </c>
      <c r="W188" s="2" t="s">
        <v>1363</v>
      </c>
      <c r="X188" s="2"/>
      <c r="Y188" s="24">
        <v>180</v>
      </c>
      <c r="Z188">
        <f t="shared" si="40"/>
        <v>180</v>
      </c>
      <c r="AA188">
        <f t="shared" si="41"/>
        <v>180</v>
      </c>
      <c r="AB188">
        <f t="shared" si="42"/>
        <v>180</v>
      </c>
      <c r="AC188">
        <f t="shared" si="43"/>
        <v>0</v>
      </c>
      <c r="AD188">
        <f t="shared" si="44"/>
        <v>180</v>
      </c>
      <c r="AE188">
        <f t="shared" si="45"/>
        <v>180</v>
      </c>
      <c r="AF188">
        <f t="shared" si="46"/>
        <v>180</v>
      </c>
      <c r="AG188">
        <f t="shared" si="47"/>
        <v>180</v>
      </c>
      <c r="AH188">
        <f t="shared" si="48"/>
        <v>180</v>
      </c>
      <c r="AI188">
        <f t="shared" si="49"/>
        <v>0</v>
      </c>
      <c r="AJ188">
        <f t="shared" si="50"/>
        <v>0</v>
      </c>
      <c r="AK188">
        <f t="shared" si="51"/>
        <v>0</v>
      </c>
      <c r="AL188">
        <f t="shared" si="52"/>
        <v>0</v>
      </c>
      <c r="AM188">
        <f t="shared" si="53"/>
        <v>0</v>
      </c>
      <c r="AN188">
        <f t="shared" si="54"/>
        <v>180</v>
      </c>
      <c r="AO188">
        <f t="shared" si="55"/>
        <v>180</v>
      </c>
      <c r="AP188">
        <f t="shared" si="56"/>
        <v>180</v>
      </c>
      <c r="AQ188">
        <f t="shared" si="57"/>
        <v>180</v>
      </c>
      <c r="AR188" s="6">
        <f t="shared" si="58"/>
        <v>180</v>
      </c>
      <c r="AS188">
        <f t="shared" si="59"/>
        <v>180</v>
      </c>
      <c r="AV188" s="1" t="str">
        <f>IF(IFERROR(INDEX($A$9:$W$304,$AS188,COLUMNS($AV$9:AV187)),"")=0,"",IFERROR(INDEX($A$9:$W$304,$AS188,COLUMNS($AV$9:AV187)),""))</f>
        <v>Owl Familiar</v>
      </c>
      <c r="AW188" s="1">
        <f>IFERROR(INDEX($A$9:$W$304,$AS188,COLUMNS($AV$9:AW187)),"")</f>
        <v>0</v>
      </c>
      <c r="AX188" s="1" t="str">
        <f>IF(IFERROR(INDEX($A$9:$X$304,$AS188,COLUMNS($AV$9:AX187)),"")=0,"",IFERROR(INDEX($A$9:$X$304,$AS188,COLUMNS($AV$9:AX187)),""))</f>
        <v>SAGE</v>
      </c>
      <c r="AY188" s="1" t="str">
        <f>IF(IFERROR(INDEX($A$9:$X$304,$AS188,COLUMNS($AV$9:AY187)),"")=0,"",IFERROR(INDEX($A$9:$X$304,$AS188,COLUMNS($AV$9:AY187)),""))</f>
        <v/>
      </c>
      <c r="AZ188" s="1" t="str">
        <f>IF(IFERROR(INDEX($A$9:$X$304,$AS188,COLUMNS($AV$9:AZ187)),"")=0,"",IFERROR(INDEX($A$9:$X$304,$AS188,COLUMNS($AV$9:AZ187)),""))</f>
        <v>CHAMPION</v>
      </c>
      <c r="BA188" s="1">
        <f>IF(IFERROR(INDEX($A$9:$X$304,$AS188,COLUMNS($AV$9:BA187)),"")=0,"",IFERROR(INDEX($A$9:$X$304,$AS188,COLUMNS($AV$9:BA187)),""))</f>
        <v>1</v>
      </c>
      <c r="BB188" s="1">
        <f>IF(IFERROR(INDEX($A$9:$X$304,$AS188,COLUMNS($AV$9:BB187)),"")=0,"",IFERROR(INDEX($A$9:$X$304,$AS188,COLUMNS($AV$9:BB187)),""))</f>
        <v>1</v>
      </c>
      <c r="BC188" s="1" t="str">
        <f>IF(IFERROR(INDEX($A$9:$X$304,$AS188,COLUMNS($AV$9:BC187)),"")=0,"",IFERROR(INDEX($A$9:$X$304,$AS188,COLUMNS($AV$9:BC187)),""))</f>
        <v>Airborne</v>
      </c>
      <c r="BD188" s="1" t="str">
        <f>IF(IFERROR(INDEX($A$9:$X$304,$AS188,COLUMNS($AV$9:BD187)),"")=0,"",IFERROR(INDEX($A$9:$X$304,$AS188,COLUMNS($AV$9:BD187)),""))</f>
        <v>Tribute → You may return target {1} event card from your discard pile to your hand.</v>
      </c>
      <c r="BE188" s="1" t="str">
        <f>IF(IFERROR(INDEX($A$9:$X$304,$AS188,COLUMNS($AV$9:BE187)),"")=0,"",IFERROR(INDEX($A$9:$X$304,$AS188,COLUMNS($AV$9:BE187)),""))</f>
        <v/>
      </c>
      <c r="BF188" s="1" t="str">
        <f>IF(IFERROR(INDEX($A$9:$X$304,$AS188,COLUMNS($AV$9:BF187)),"")=0,"",IFERROR(INDEX($A$9:$X$304,$AS188,COLUMNS($AV$9:BF187)),""))</f>
        <v/>
      </c>
      <c r="BG188" s="1" t="str">
        <f>IF(IFERROR(INDEX($A$9:$X$304,$AS188,COLUMNS($AV$9:BG187)),"")=0,"",IFERROR(INDEX($A$9:$X$304,$AS188,COLUMNS($AV$9:BG187)),""))</f>
        <v/>
      </c>
      <c r="BH188" s="1" t="str">
        <f>IF(IFERROR(INDEX($A$9:$X$304,$AS188,COLUMNS($AV$9:BH187)),"")=0,"",IFERROR(INDEX($A$9:$X$304,$AS188,COLUMNS($AV$9:BH187)),""))</f>
        <v/>
      </c>
      <c r="BI188" s="1" t="str">
        <f>IF(IFERROR(INDEX($A$9:$X$304,$AS188,COLUMNS($AV$9:BI187)),"")=0,"",IFERROR(INDEX($A$9:$X$304,$AS188,COLUMNS($AV$9:BI187)),""))</f>
        <v/>
      </c>
      <c r="BJ188" s="1" t="str">
        <f>IF(IFERROR(INDEX($A$9:$X$304,$AS188,COLUMNS($AV$9:BJ187)),"")=0,"",IFERROR(INDEX($A$9:$X$304,$AS188,COLUMNS($AV$9:BJ187)),""))</f>
        <v>BIRD</v>
      </c>
      <c r="BK188" s="1" t="str">
        <f>IF(IFERROR(INDEX($A$9:$X$304,$AS188,COLUMNS($AV$9:BK187)),"")=0,"",IFERROR(INDEX($A$9:$X$304,$AS188,COLUMNS($AV$9:BK187)),""))</f>
        <v>Rare</v>
      </c>
      <c r="BL188" s="1" t="str">
        <f>IF(IFERROR(INDEX($A$9:$X$304,$AS188,COLUMNS($AV$9:BL187)),"")=0,"",IFERROR(INDEX($A$9:$X$304,$AS188,COLUMNS($AV$9:BL187)),""))</f>
        <v>Jaan-Paul van Eeden</v>
      </c>
      <c r="BM188" s="1" t="str">
        <f>IF(IFERROR(INDEX($A$9:$X$304,$AS188,COLUMNS($AV$9:BM187)),"")=0,"",IFERROR(INDEX($A$9:$X$304,$AS188,COLUMNS($AV$9:BM187)),""))</f>
        <v>Kickstarter Promo</v>
      </c>
      <c r="BN188" s="3" t="b">
        <f>IF(IFERROR(INDEX($A$9:$X$304,$AS188,COLUMNS($AV$9:BN187)),"")=0,"",IFERROR(INDEX($A$9:$X$304,$AS188,COLUMNS($AV$9:BN187)),""))</f>
        <v>1</v>
      </c>
      <c r="BO188" s="3" t="b">
        <f>IF(IFERROR(INDEX($A$9:$X$304,$AS188,COLUMNS($AV$9:BO187)),"")=0,"",IFERROR(INDEX($A$9:$X$304,$AS188,COLUMNS($AV$9:BO187)),""))</f>
        <v>0</v>
      </c>
      <c r="BP188" s="3" t="b">
        <f>IF(IFERROR(INDEX($A$9:$X$304,$AS188,COLUMNS($AV$9:BP187)),"")=0,"",IFERROR(INDEX($A$9:$X$304,$AS188,COLUMNS($AV$9:BP187)),""))</f>
        <v>0</v>
      </c>
      <c r="BQ188" s="3" t="b">
        <f>IF(IFERROR(INDEX($A$9:$X$304,$AS188,COLUMNS($AV$9:BQ187)),"")=0,"",IFERROR(INDEX($A$9:$X$304,$AS188,COLUMNS($AV$9:BQ187)),""))</f>
        <v>0</v>
      </c>
      <c r="BR188" s="3" t="str">
        <f>IF(IFERROR(INDEX($A$9:$X$304,$AS188,COLUMNS($AV$9:BR187)),"")=0,"",IFERROR(INDEX($A$9:$X$304,$AS188,COLUMNS($AV$9:BR187)),""))</f>
        <v>http://www.epiccardgame.com/wp-content/uploads/2015/09/owl_familiar-215x300.jpg</v>
      </c>
      <c r="BS188" s="3" t="str">
        <f>IF(IFERROR(INDEX($A$9:$X$304,$AS188,COLUMNS($AV$9:BS187)),"")=0,"",IFERROR(INDEX($A$9:$X$304,$AS188,COLUMNS($AV$9:BS187)),""))</f>
        <v/>
      </c>
      <c r="BT188" s="3"/>
      <c r="BU188" s="15"/>
      <c r="BV188" t="s">
        <v>209</v>
      </c>
    </row>
    <row r="189" spans="1:74" ht="225.2" customHeight="1" x14ac:dyDescent="0.25">
      <c r="A189" t="s">
        <v>501</v>
      </c>
      <c r="B189">
        <v>1</v>
      </c>
      <c r="C189" t="s">
        <v>615</v>
      </c>
      <c r="E189" t="s">
        <v>620</v>
      </c>
      <c r="F189">
        <v>5</v>
      </c>
      <c r="G189">
        <v>6</v>
      </c>
      <c r="H189" t="s">
        <v>22</v>
      </c>
      <c r="I189" t="s">
        <v>855</v>
      </c>
      <c r="J189" t="s">
        <v>1006</v>
      </c>
      <c r="O189" t="s">
        <v>1080</v>
      </c>
      <c r="P189" t="s">
        <v>1112</v>
      </c>
      <c r="Q189" t="s">
        <v>1118</v>
      </c>
      <c r="R189" t="s">
        <v>1171</v>
      </c>
      <c r="S189" t="b">
        <v>1</v>
      </c>
      <c r="T189" t="b">
        <v>0</v>
      </c>
      <c r="U189" t="b">
        <v>0</v>
      </c>
      <c r="V189" t="b">
        <v>0</v>
      </c>
      <c r="W189" s="2" t="s">
        <v>1364</v>
      </c>
      <c r="X189" s="2"/>
      <c r="Y189" s="24">
        <v>181</v>
      </c>
      <c r="Z189">
        <f t="shared" si="40"/>
        <v>181</v>
      </c>
      <c r="AA189">
        <f t="shared" si="41"/>
        <v>181</v>
      </c>
      <c r="AB189">
        <f t="shared" si="42"/>
        <v>181</v>
      </c>
      <c r="AC189">
        <f t="shared" si="43"/>
        <v>0</v>
      </c>
      <c r="AD189">
        <f t="shared" si="44"/>
        <v>181</v>
      </c>
      <c r="AE189">
        <f t="shared" si="45"/>
        <v>181</v>
      </c>
      <c r="AF189">
        <f t="shared" si="46"/>
        <v>181</v>
      </c>
      <c r="AG189">
        <f t="shared" si="47"/>
        <v>181</v>
      </c>
      <c r="AH189">
        <f t="shared" si="48"/>
        <v>181</v>
      </c>
      <c r="AI189">
        <f t="shared" si="49"/>
        <v>181</v>
      </c>
      <c r="AJ189">
        <f t="shared" si="50"/>
        <v>0</v>
      </c>
      <c r="AK189">
        <f t="shared" si="51"/>
        <v>0</v>
      </c>
      <c r="AL189">
        <f t="shared" si="52"/>
        <v>0</v>
      </c>
      <c r="AM189">
        <f t="shared" si="53"/>
        <v>0</v>
      </c>
      <c r="AN189">
        <f t="shared" si="54"/>
        <v>181</v>
      </c>
      <c r="AO189">
        <f t="shared" si="55"/>
        <v>181</v>
      </c>
      <c r="AP189">
        <f t="shared" si="56"/>
        <v>181</v>
      </c>
      <c r="AQ189">
        <f t="shared" si="57"/>
        <v>181</v>
      </c>
      <c r="AR189" s="6">
        <f t="shared" si="58"/>
        <v>181</v>
      </c>
      <c r="AS189">
        <f t="shared" si="59"/>
        <v>181</v>
      </c>
      <c r="AV189" s="1" t="str">
        <f>IF(IFERROR(INDEX($A$9:$W$304,$AS189,COLUMNS($AV$9:AV188)),"")=0,"",IFERROR(INDEX($A$9:$W$304,$AS189,COLUMNS($AV$9:AV188)),""))</f>
        <v>Pack Alpha</v>
      </c>
      <c r="AW189" s="1">
        <f>IFERROR(INDEX($A$9:$W$304,$AS189,COLUMNS($AV$9:AW188)),"")</f>
        <v>1</v>
      </c>
      <c r="AX189" s="1" t="str">
        <f>IF(IFERROR(INDEX($A$9:$X$304,$AS189,COLUMNS($AV$9:AX188)),"")=0,"",IFERROR(INDEX($A$9:$X$304,$AS189,COLUMNS($AV$9:AX188)),""))</f>
        <v>WILD</v>
      </c>
      <c r="AY189" s="1" t="str">
        <f>IF(IFERROR(INDEX($A$9:$X$304,$AS189,COLUMNS($AV$9:AY188)),"")=0,"",IFERROR(INDEX($A$9:$X$304,$AS189,COLUMNS($AV$9:AY188)),""))</f>
        <v/>
      </c>
      <c r="AZ189" s="1" t="str">
        <f>IF(IFERROR(INDEX($A$9:$X$304,$AS189,COLUMNS($AV$9:AZ188)),"")=0,"",IFERROR(INDEX($A$9:$X$304,$AS189,COLUMNS($AV$9:AZ188)),""))</f>
        <v>CHAMPION</v>
      </c>
      <c r="BA189" s="1">
        <f>IF(IFERROR(INDEX($A$9:$X$304,$AS189,COLUMNS($AV$9:BA188)),"")=0,"",IFERROR(INDEX($A$9:$X$304,$AS189,COLUMNS($AV$9:BA188)),""))</f>
        <v>5</v>
      </c>
      <c r="BB189" s="1">
        <f>IF(IFERROR(INDEX($A$9:$X$304,$AS189,COLUMNS($AV$9:BB188)),"")=0,"",IFERROR(INDEX($A$9:$X$304,$AS189,COLUMNS($AV$9:BB188)),""))</f>
        <v>6</v>
      </c>
      <c r="BC189" s="1" t="str">
        <f>IF(IFERROR(INDEX($A$9:$X$304,$AS189,COLUMNS($AV$9:BC188)),"")=0,"",IFERROR(INDEX($A$9:$X$304,$AS189,COLUMNS($AV$9:BC188)),""))</f>
        <v>Blitz</v>
      </c>
      <c r="BD189" s="1" t="str">
        <f>IF(IFERROR(INDEX($A$9:$X$304,$AS189,COLUMNS($AV$9:BD188)),"")=0,"",IFERROR(INDEX($A$9:$X$304,$AS189,COLUMNS($AV$9:BD188)),""))</f>
        <v>Your other wild champions have +1 {offense} and +1 {defense}.</v>
      </c>
      <c r="BE189" s="1" t="str">
        <f>IF(IFERROR(INDEX($A$9:$X$304,$AS189,COLUMNS($AV$9:BE188)),"")=0,"",IFERROR(INDEX($A$9:$X$304,$AS189,COLUMNS($AV$9:BE188)),""))</f>
        <v>{expend}: Put two wolf tokens into play.</v>
      </c>
      <c r="BF189" s="1" t="str">
        <f>IF(IFERROR(INDEX($A$9:$X$304,$AS189,COLUMNS($AV$9:BF188)),"")=0,"",IFERROR(INDEX($A$9:$X$304,$AS189,COLUMNS($AV$9:BF188)),""))</f>
        <v/>
      </c>
      <c r="BG189" s="1" t="str">
        <f>IF(IFERROR(INDEX($A$9:$X$304,$AS189,COLUMNS($AV$9:BG188)),"")=0,"",IFERROR(INDEX($A$9:$X$304,$AS189,COLUMNS($AV$9:BG188)),""))</f>
        <v/>
      </c>
      <c r="BH189" s="1" t="str">
        <f>IF(IFERROR(INDEX($A$9:$X$304,$AS189,COLUMNS($AV$9:BH188)),"")=0,"",IFERROR(INDEX($A$9:$X$304,$AS189,COLUMNS($AV$9:BH188)),""))</f>
        <v/>
      </c>
      <c r="BI189" s="1" t="str">
        <f>IF(IFERROR(INDEX($A$9:$X$304,$AS189,COLUMNS($AV$9:BI188)),"")=0,"",IFERROR(INDEX($A$9:$X$304,$AS189,COLUMNS($AV$9:BI188)),""))</f>
        <v/>
      </c>
      <c r="BJ189" s="1" t="str">
        <f>IF(IFERROR(INDEX($A$9:$X$304,$AS189,COLUMNS($AV$9:BJ188)),"")=0,"",IFERROR(INDEX($A$9:$X$304,$AS189,COLUMNS($AV$9:BJ188)),""))</f>
        <v>WOLF</v>
      </c>
      <c r="BK189" s="1" t="str">
        <f>IF(IFERROR(INDEX($A$9:$X$304,$AS189,COLUMNS($AV$9:BK188)),"")=0,"",IFERROR(INDEX($A$9:$X$304,$AS189,COLUMNS($AV$9:BK188)),""))</f>
        <v>Common</v>
      </c>
      <c r="BL189" s="1" t="str">
        <f>IF(IFERROR(INDEX($A$9:$X$304,$AS189,COLUMNS($AV$9:BL188)),"")=0,"",IFERROR(INDEX($A$9:$X$304,$AS189,COLUMNS($AV$9:BL188)),""))</f>
        <v>L.Sean</v>
      </c>
      <c r="BM189" s="1" t="str">
        <f>IF(IFERROR(INDEX($A$9:$X$304,$AS189,COLUMNS($AV$9:BM188)),"")=0,"",IFERROR(INDEX($A$9:$X$304,$AS189,COLUMNS($AV$9:BM188)),""))</f>
        <v>Base Set</v>
      </c>
      <c r="BN189" s="3" t="b">
        <f>IF(IFERROR(INDEX($A$9:$X$304,$AS189,COLUMNS($AV$9:BN188)),"")=0,"",IFERROR(INDEX($A$9:$X$304,$AS189,COLUMNS($AV$9:BN188)),""))</f>
        <v>1</v>
      </c>
      <c r="BO189" s="3" t="b">
        <f>IF(IFERROR(INDEX($A$9:$X$304,$AS189,COLUMNS($AV$9:BO188)),"")=0,"",IFERROR(INDEX($A$9:$X$304,$AS189,COLUMNS($AV$9:BO188)),""))</f>
        <v>0</v>
      </c>
      <c r="BP189" s="3" t="b">
        <f>IF(IFERROR(INDEX($A$9:$X$304,$AS189,COLUMNS($AV$9:BP188)),"")=0,"",IFERROR(INDEX($A$9:$X$304,$AS189,COLUMNS($AV$9:BP188)),""))</f>
        <v>0</v>
      </c>
      <c r="BQ189" s="3" t="b">
        <f>IF(IFERROR(INDEX($A$9:$X$304,$AS189,COLUMNS($AV$9:BQ188)),"")=0,"",IFERROR(INDEX($A$9:$X$304,$AS189,COLUMNS($AV$9:BQ188)),""))</f>
        <v>0</v>
      </c>
      <c r="BR189" s="3" t="str">
        <f>IF(IFERROR(INDEX($A$9:$X$304,$AS189,COLUMNS($AV$9:BR188)),"")=0,"",IFERROR(INDEX($A$9:$X$304,$AS189,COLUMNS($AV$9:BR188)),""))</f>
        <v>http://www.epiccardgame.com/wp-content/uploads/2015/09/pack_alpha-215x300.jpg</v>
      </c>
      <c r="BS189" s="3" t="str">
        <f>IF(IFERROR(INDEX($A$9:$X$304,$AS189,COLUMNS($AV$9:BS188)),"")=0,"",IFERROR(INDEX($A$9:$X$304,$AS189,COLUMNS($AV$9:BS188)),""))</f>
        <v/>
      </c>
      <c r="BT189" s="3"/>
      <c r="BU189" s="15"/>
      <c r="BV189" t="s">
        <v>210</v>
      </c>
    </row>
    <row r="190" spans="1:74" ht="225.2" customHeight="1" x14ac:dyDescent="0.25">
      <c r="A190" t="s">
        <v>502</v>
      </c>
      <c r="B190">
        <v>1</v>
      </c>
      <c r="C190" t="s">
        <v>617</v>
      </c>
      <c r="E190" t="s">
        <v>620</v>
      </c>
      <c r="F190">
        <v>6</v>
      </c>
      <c r="G190">
        <v>8</v>
      </c>
      <c r="H190" t="s">
        <v>710</v>
      </c>
      <c r="I190" t="s">
        <v>891</v>
      </c>
      <c r="O190" t="s">
        <v>1063</v>
      </c>
      <c r="P190" t="s">
        <v>1112</v>
      </c>
      <c r="Q190" t="s">
        <v>1124</v>
      </c>
      <c r="R190" t="s">
        <v>1171</v>
      </c>
      <c r="S190" t="b">
        <v>1</v>
      </c>
      <c r="T190" t="b">
        <v>0</v>
      </c>
      <c r="U190" t="b">
        <v>0</v>
      </c>
      <c r="V190" t="b">
        <v>0</v>
      </c>
      <c r="W190" s="2" t="s">
        <v>1365</v>
      </c>
      <c r="X190" s="2"/>
      <c r="Y190" s="24">
        <v>182</v>
      </c>
      <c r="Z190">
        <f t="shared" si="40"/>
        <v>182</v>
      </c>
      <c r="AA190">
        <f t="shared" si="41"/>
        <v>182</v>
      </c>
      <c r="AB190">
        <f t="shared" si="42"/>
        <v>182</v>
      </c>
      <c r="AC190">
        <f t="shared" si="43"/>
        <v>0</v>
      </c>
      <c r="AD190">
        <f t="shared" si="44"/>
        <v>182</v>
      </c>
      <c r="AE190">
        <f t="shared" si="45"/>
        <v>182</v>
      </c>
      <c r="AF190">
        <f t="shared" si="46"/>
        <v>182</v>
      </c>
      <c r="AG190">
        <f t="shared" si="47"/>
        <v>182</v>
      </c>
      <c r="AH190">
        <f t="shared" si="48"/>
        <v>182</v>
      </c>
      <c r="AI190">
        <f t="shared" si="49"/>
        <v>0</v>
      </c>
      <c r="AJ190">
        <f t="shared" si="50"/>
        <v>0</v>
      </c>
      <c r="AK190">
        <f t="shared" si="51"/>
        <v>0</v>
      </c>
      <c r="AL190">
        <f t="shared" si="52"/>
        <v>0</v>
      </c>
      <c r="AM190">
        <f t="shared" si="53"/>
        <v>0</v>
      </c>
      <c r="AN190">
        <f t="shared" si="54"/>
        <v>182</v>
      </c>
      <c r="AO190">
        <f t="shared" si="55"/>
        <v>182</v>
      </c>
      <c r="AP190">
        <f t="shared" si="56"/>
        <v>182</v>
      </c>
      <c r="AQ190">
        <f t="shared" si="57"/>
        <v>182</v>
      </c>
      <c r="AR190" s="6">
        <f t="shared" si="58"/>
        <v>182</v>
      </c>
      <c r="AS190">
        <f t="shared" si="59"/>
        <v>182</v>
      </c>
      <c r="AV190" s="1" t="str">
        <f>IF(IFERROR(INDEX($A$9:$W$304,$AS190,COLUMNS($AV$9:AV189)),"")=0,"",IFERROR(INDEX($A$9:$W$304,$AS190,COLUMNS($AV$9:AV189)),""))</f>
        <v>Palace Guard</v>
      </c>
      <c r="AW190" s="1">
        <f>IFERROR(INDEX($A$9:$W$304,$AS190,COLUMNS($AV$9:AW189)),"")</f>
        <v>1</v>
      </c>
      <c r="AX190" s="1" t="str">
        <f>IF(IFERROR(INDEX($A$9:$X$304,$AS190,COLUMNS($AV$9:AX189)),"")=0,"",IFERROR(INDEX($A$9:$X$304,$AS190,COLUMNS($AV$9:AX189)),""))</f>
        <v>GOOD</v>
      </c>
      <c r="AY190" s="1" t="str">
        <f>IF(IFERROR(INDEX($A$9:$X$304,$AS190,COLUMNS($AV$9:AY189)),"")=0,"",IFERROR(INDEX($A$9:$X$304,$AS190,COLUMNS($AV$9:AY189)),""))</f>
        <v/>
      </c>
      <c r="AZ190" s="1" t="str">
        <f>IF(IFERROR(INDEX($A$9:$X$304,$AS190,COLUMNS($AV$9:AZ189)),"")=0,"",IFERROR(INDEX($A$9:$X$304,$AS190,COLUMNS($AV$9:AZ189)),""))</f>
        <v>CHAMPION</v>
      </c>
      <c r="BA190" s="1">
        <f>IF(IFERROR(INDEX($A$9:$X$304,$AS190,COLUMNS($AV$9:BA189)),"")=0,"",IFERROR(INDEX($A$9:$X$304,$AS190,COLUMNS($AV$9:BA189)),""))</f>
        <v>6</v>
      </c>
      <c r="BB190" s="1">
        <f>IF(IFERROR(INDEX($A$9:$X$304,$AS190,COLUMNS($AV$9:BB189)),"")=0,"",IFERROR(INDEX($A$9:$X$304,$AS190,COLUMNS($AV$9:BB189)),""))</f>
        <v>8</v>
      </c>
      <c r="BC190" s="1" t="str">
        <f>IF(IFERROR(INDEX($A$9:$X$304,$AS190,COLUMNS($AV$9:BC189)),"")=0,"",IFERROR(INDEX($A$9:$X$304,$AS190,COLUMNS($AV$9:BC189)),""))</f>
        <v>Tribute → You may banish target champion.</v>
      </c>
      <c r="BD190" s="1" t="str">
        <f>IF(IFERROR(INDEX($A$9:$X$304,$AS190,COLUMNS($AV$9:BD189)),"")=0,"",IFERROR(INDEX($A$9:$X$304,$AS190,COLUMNS($AV$9:BD189)),""))</f>
        <v>"None shall pass."</v>
      </c>
      <c r="BE190" s="1" t="str">
        <f>IF(IFERROR(INDEX($A$9:$X$304,$AS190,COLUMNS($AV$9:BE189)),"")=0,"",IFERROR(INDEX($A$9:$X$304,$AS190,COLUMNS($AV$9:BE189)),""))</f>
        <v/>
      </c>
      <c r="BF190" s="1" t="str">
        <f>IF(IFERROR(INDEX($A$9:$X$304,$AS190,COLUMNS($AV$9:BF189)),"")=0,"",IFERROR(INDEX($A$9:$X$304,$AS190,COLUMNS($AV$9:BF189)),""))</f>
        <v/>
      </c>
      <c r="BG190" s="1" t="str">
        <f>IF(IFERROR(INDEX($A$9:$X$304,$AS190,COLUMNS($AV$9:BG189)),"")=0,"",IFERROR(INDEX($A$9:$X$304,$AS190,COLUMNS($AV$9:BG189)),""))</f>
        <v/>
      </c>
      <c r="BH190" s="1" t="str">
        <f>IF(IFERROR(INDEX($A$9:$X$304,$AS190,COLUMNS($AV$9:BH189)),"")=0,"",IFERROR(INDEX($A$9:$X$304,$AS190,COLUMNS($AV$9:BH189)),""))</f>
        <v/>
      </c>
      <c r="BI190" s="1" t="str">
        <f>IF(IFERROR(INDEX($A$9:$X$304,$AS190,COLUMNS($AV$9:BI189)),"")=0,"",IFERROR(INDEX($A$9:$X$304,$AS190,COLUMNS($AV$9:BI189)),""))</f>
        <v/>
      </c>
      <c r="BJ190" s="1" t="str">
        <f>IF(IFERROR(INDEX($A$9:$X$304,$AS190,COLUMNS($AV$9:BJ189)),"")=0,"",IFERROR(INDEX($A$9:$X$304,$AS190,COLUMNS($AV$9:BJ189)),""))</f>
        <v>HUMAN</v>
      </c>
      <c r="BK190" s="1" t="str">
        <f>IF(IFERROR(INDEX($A$9:$X$304,$AS190,COLUMNS($AV$9:BK189)),"")=0,"",IFERROR(INDEX($A$9:$X$304,$AS190,COLUMNS($AV$9:BK189)),""))</f>
        <v>Common</v>
      </c>
      <c r="BL190" s="1" t="str">
        <f>IF(IFERROR(INDEX($A$9:$X$304,$AS190,COLUMNS($AV$9:BL189)),"")=0,"",IFERROR(INDEX($A$9:$X$304,$AS190,COLUMNS($AV$9:BL189)),""))</f>
        <v>Souveraine</v>
      </c>
      <c r="BM190" s="1" t="str">
        <f>IF(IFERROR(INDEX($A$9:$X$304,$AS190,COLUMNS($AV$9:BM189)),"")=0,"",IFERROR(INDEX($A$9:$X$304,$AS190,COLUMNS($AV$9:BM189)),""))</f>
        <v>Base Set</v>
      </c>
      <c r="BN190" s="3" t="b">
        <f>IF(IFERROR(INDEX($A$9:$X$304,$AS190,COLUMNS($AV$9:BN189)),"")=0,"",IFERROR(INDEX($A$9:$X$304,$AS190,COLUMNS($AV$9:BN189)),""))</f>
        <v>1</v>
      </c>
      <c r="BO190" s="3" t="b">
        <f>IF(IFERROR(INDEX($A$9:$X$304,$AS190,COLUMNS($AV$9:BO189)),"")=0,"",IFERROR(INDEX($A$9:$X$304,$AS190,COLUMNS($AV$9:BO189)),""))</f>
        <v>0</v>
      </c>
      <c r="BP190" s="3" t="b">
        <f>IF(IFERROR(INDEX($A$9:$X$304,$AS190,COLUMNS($AV$9:BP189)),"")=0,"",IFERROR(INDEX($A$9:$X$304,$AS190,COLUMNS($AV$9:BP189)),""))</f>
        <v>0</v>
      </c>
      <c r="BQ190" s="3" t="b">
        <f>IF(IFERROR(INDEX($A$9:$X$304,$AS190,COLUMNS($AV$9:BQ189)),"")=0,"",IFERROR(INDEX($A$9:$X$304,$AS190,COLUMNS($AV$9:BQ189)),""))</f>
        <v>0</v>
      </c>
      <c r="BR190" s="3" t="str">
        <f>IF(IFERROR(INDEX($A$9:$X$304,$AS190,COLUMNS($AV$9:BR189)),"")=0,"",IFERROR(INDEX($A$9:$X$304,$AS190,COLUMNS($AV$9:BR189)),""))</f>
        <v>http://www.epiccardgame.com/wp-content/uploads/2015/09/palace_guard-215x300.jpg</v>
      </c>
      <c r="BS190" s="3" t="str">
        <f>IF(IFERROR(INDEX($A$9:$X$304,$AS190,COLUMNS($AV$9:BS189)),"")=0,"",IFERROR(INDEX($A$9:$X$304,$AS190,COLUMNS($AV$9:BS189)),""))</f>
        <v/>
      </c>
      <c r="BT190" s="3"/>
      <c r="BU190" s="15"/>
      <c r="BV190" t="s">
        <v>211</v>
      </c>
    </row>
    <row r="191" spans="1:74" ht="225.2" customHeight="1" x14ac:dyDescent="0.25">
      <c r="A191" t="s">
        <v>503</v>
      </c>
      <c r="B191">
        <v>0</v>
      </c>
      <c r="C191" t="s">
        <v>617</v>
      </c>
      <c r="E191" t="s">
        <v>620</v>
      </c>
      <c r="F191">
        <v>3</v>
      </c>
      <c r="G191">
        <v>4</v>
      </c>
      <c r="H191" t="s">
        <v>711</v>
      </c>
      <c r="I191" t="s">
        <v>892</v>
      </c>
      <c r="O191" t="s">
        <v>1063</v>
      </c>
      <c r="P191" t="s">
        <v>1112</v>
      </c>
      <c r="Q191" t="s">
        <v>1143</v>
      </c>
      <c r="R191" t="s">
        <v>1176</v>
      </c>
      <c r="S191" t="b">
        <v>0</v>
      </c>
      <c r="T191" t="b">
        <v>0</v>
      </c>
      <c r="U191" t="b">
        <v>0</v>
      </c>
      <c r="V191" t="b">
        <v>0</v>
      </c>
      <c r="W191" s="2" t="s">
        <v>1366</v>
      </c>
      <c r="X191" s="2"/>
      <c r="Y191" s="24">
        <v>183</v>
      </c>
      <c r="Z191">
        <f t="shared" si="40"/>
        <v>183</v>
      </c>
      <c r="AA191">
        <f t="shared" si="41"/>
        <v>183</v>
      </c>
      <c r="AB191">
        <f t="shared" si="42"/>
        <v>183</v>
      </c>
      <c r="AC191">
        <f t="shared" si="43"/>
        <v>0</v>
      </c>
      <c r="AD191">
        <f t="shared" si="44"/>
        <v>183</v>
      </c>
      <c r="AE191">
        <f t="shared" si="45"/>
        <v>183</v>
      </c>
      <c r="AF191">
        <f t="shared" si="46"/>
        <v>183</v>
      </c>
      <c r="AG191">
        <f t="shared" si="47"/>
        <v>183</v>
      </c>
      <c r="AH191">
        <f t="shared" si="48"/>
        <v>183</v>
      </c>
      <c r="AI191">
        <f t="shared" si="49"/>
        <v>0</v>
      </c>
      <c r="AJ191">
        <f t="shared" si="50"/>
        <v>0</v>
      </c>
      <c r="AK191">
        <f t="shared" si="51"/>
        <v>0</v>
      </c>
      <c r="AL191">
        <f t="shared" si="52"/>
        <v>0</v>
      </c>
      <c r="AM191">
        <f t="shared" si="53"/>
        <v>0</v>
      </c>
      <c r="AN191">
        <f t="shared" si="54"/>
        <v>183</v>
      </c>
      <c r="AO191">
        <f t="shared" si="55"/>
        <v>183</v>
      </c>
      <c r="AP191">
        <f t="shared" si="56"/>
        <v>183</v>
      </c>
      <c r="AQ191">
        <f t="shared" si="57"/>
        <v>183</v>
      </c>
      <c r="AR191" s="6">
        <f t="shared" si="58"/>
        <v>183</v>
      </c>
      <c r="AS191">
        <f t="shared" si="59"/>
        <v>183</v>
      </c>
      <c r="AV191" s="1" t="str">
        <f>IF(IFERROR(INDEX($A$9:$W$304,$AS191,COLUMNS($AV$9:AV190)),"")=0,"",IFERROR(INDEX($A$9:$W$304,$AS191,COLUMNS($AV$9:AV190)),""))</f>
        <v>Paros, Rebel Leader</v>
      </c>
      <c r="AW191" s="1">
        <f>IFERROR(INDEX($A$9:$W$304,$AS191,COLUMNS($AV$9:AW190)),"")</f>
        <v>0</v>
      </c>
      <c r="AX191" s="1" t="str">
        <f>IF(IFERROR(INDEX($A$9:$X$304,$AS191,COLUMNS($AV$9:AX190)),"")=0,"",IFERROR(INDEX($A$9:$X$304,$AS191,COLUMNS($AV$9:AX190)),""))</f>
        <v>GOOD</v>
      </c>
      <c r="AY191" s="1" t="str">
        <f>IF(IFERROR(INDEX($A$9:$X$304,$AS191,COLUMNS($AV$9:AY190)),"")=0,"",IFERROR(INDEX($A$9:$X$304,$AS191,COLUMNS($AV$9:AY190)),""))</f>
        <v/>
      </c>
      <c r="AZ191" s="1" t="str">
        <f>IF(IFERROR(INDEX($A$9:$X$304,$AS191,COLUMNS($AV$9:AZ190)),"")=0,"",IFERROR(INDEX($A$9:$X$304,$AS191,COLUMNS($AV$9:AZ190)),""))</f>
        <v>CHAMPION</v>
      </c>
      <c r="BA191" s="1">
        <f>IF(IFERROR(INDEX($A$9:$X$304,$AS191,COLUMNS($AV$9:BA190)),"")=0,"",IFERROR(INDEX($A$9:$X$304,$AS191,COLUMNS($AV$9:BA190)),""))</f>
        <v>3</v>
      </c>
      <c r="BB191" s="1">
        <f>IF(IFERROR(INDEX($A$9:$X$304,$AS191,COLUMNS($AV$9:BB190)),"")=0,"",IFERROR(INDEX($A$9:$X$304,$AS191,COLUMNS($AV$9:BB190)),""))</f>
        <v>4</v>
      </c>
      <c r="BC191" s="1" t="str">
        <f>IF(IFERROR(INDEX($A$9:$X$304,$AS191,COLUMNS($AV$9:BC190)),"")=0,"",IFERROR(INDEX($A$9:$X$304,$AS191,COLUMNS($AV$9:BC190)),""))</f>
        <v>Your other human champions have +1 {offense}.</v>
      </c>
      <c r="BD191" s="1" t="str">
        <f>IF(IFERROR(INDEX($A$9:$X$304,$AS191,COLUMNS($AV$9:BD190)),"")=0,"",IFERROR(INDEX($A$9:$X$304,$AS191,COLUMNS($AV$9:BD190)),""))</f>
        <v>Tribute and/or {good} → Put a human token into play.</v>
      </c>
      <c r="BE191" s="1" t="str">
        <f>IF(IFERROR(INDEX($A$9:$X$304,$AS191,COLUMNS($AV$9:BE190)),"")=0,"",IFERROR(INDEX($A$9:$X$304,$AS191,COLUMNS($AV$9:BE190)),""))</f>
        <v/>
      </c>
      <c r="BF191" s="1" t="str">
        <f>IF(IFERROR(INDEX($A$9:$X$304,$AS191,COLUMNS($AV$9:BF190)),"")=0,"",IFERROR(INDEX($A$9:$X$304,$AS191,COLUMNS($AV$9:BF190)),""))</f>
        <v/>
      </c>
      <c r="BG191" s="1" t="str">
        <f>IF(IFERROR(INDEX($A$9:$X$304,$AS191,COLUMNS($AV$9:BG190)),"")=0,"",IFERROR(INDEX($A$9:$X$304,$AS191,COLUMNS($AV$9:BG190)),""))</f>
        <v/>
      </c>
      <c r="BH191" s="1" t="str">
        <f>IF(IFERROR(INDEX($A$9:$X$304,$AS191,COLUMNS($AV$9:BH190)),"")=0,"",IFERROR(INDEX($A$9:$X$304,$AS191,COLUMNS($AV$9:BH190)),""))</f>
        <v/>
      </c>
      <c r="BI191" s="1" t="str">
        <f>IF(IFERROR(INDEX($A$9:$X$304,$AS191,COLUMNS($AV$9:BI190)),"")=0,"",IFERROR(INDEX($A$9:$X$304,$AS191,COLUMNS($AV$9:BI190)),""))</f>
        <v/>
      </c>
      <c r="BJ191" s="1" t="str">
        <f>IF(IFERROR(INDEX($A$9:$X$304,$AS191,COLUMNS($AV$9:BJ190)),"")=0,"",IFERROR(INDEX($A$9:$X$304,$AS191,COLUMNS($AV$9:BJ190)),""))</f>
        <v>HUMAN</v>
      </c>
      <c r="BK191" s="1" t="str">
        <f>IF(IFERROR(INDEX($A$9:$X$304,$AS191,COLUMNS($AV$9:BK190)),"")=0,"",IFERROR(INDEX($A$9:$X$304,$AS191,COLUMNS($AV$9:BK190)),""))</f>
        <v>Common</v>
      </c>
      <c r="BL191" s="1" t="str">
        <f>IF(IFERROR(INDEX($A$9:$X$304,$AS191,COLUMNS($AV$9:BL190)),"")=0,"",IFERROR(INDEX($A$9:$X$304,$AS191,COLUMNS($AV$9:BL190)),""))</f>
        <v>Ina Wong</v>
      </c>
      <c r="BM191" s="1" t="str">
        <f>IF(IFERROR(INDEX($A$9:$X$304,$AS191,COLUMNS($AV$9:BM190)),"")=0,"",IFERROR(INDEX($A$9:$X$304,$AS191,COLUMNS($AV$9:BM190)),""))</f>
        <v>Tyrants: Markus' Command</v>
      </c>
      <c r="BN191" s="3" t="b">
        <f>IF(IFERROR(INDEX($A$9:$X$304,$AS191,COLUMNS($AV$9:BN190)),"")=0,"",IFERROR(INDEX($A$9:$X$304,$AS191,COLUMNS($AV$9:BN190)),""))</f>
        <v>0</v>
      </c>
      <c r="BO191" s="3" t="b">
        <f>IF(IFERROR(INDEX($A$9:$X$304,$AS191,COLUMNS($AV$9:BO190)),"")=0,"",IFERROR(INDEX($A$9:$X$304,$AS191,COLUMNS($AV$9:BO190)),""))</f>
        <v>0</v>
      </c>
      <c r="BP191" s="3" t="b">
        <f>IF(IFERROR(INDEX($A$9:$X$304,$AS191,COLUMNS($AV$9:BP190)),"")=0,"",IFERROR(INDEX($A$9:$X$304,$AS191,COLUMNS($AV$9:BP190)),""))</f>
        <v>0</v>
      </c>
      <c r="BQ191" s="3" t="b">
        <f>IF(IFERROR(INDEX($A$9:$X$304,$AS191,COLUMNS($AV$9:BQ190)),"")=0,"",IFERROR(INDEX($A$9:$X$304,$AS191,COLUMNS($AV$9:BQ190)),""))</f>
        <v>0</v>
      </c>
      <c r="BR191" s="3" t="str">
        <f>IF(IFERROR(INDEX($A$9:$X$304,$AS191,COLUMNS($AV$9:BR190)),"")=0,"",IFERROR(INDEX($A$9:$X$304,$AS191,COLUMNS($AV$9:BR190)),""))</f>
        <v>http://www.epiccardgame.com/wp-content/uploads/2016/03/paros_rebel_leader-214x300.jpg</v>
      </c>
      <c r="BS191" s="3" t="str">
        <f>IF(IFERROR(INDEX($A$9:$X$304,$AS191,COLUMNS($AV$9:BS190)),"")=0,"",IFERROR(INDEX($A$9:$X$304,$AS191,COLUMNS($AV$9:BS190)),""))</f>
        <v/>
      </c>
      <c r="BT191" s="3"/>
      <c r="BU191" s="15"/>
      <c r="BV191" t="s">
        <v>212</v>
      </c>
    </row>
    <row r="192" spans="1:74" ht="225.2" customHeight="1" x14ac:dyDescent="0.25">
      <c r="A192" t="s">
        <v>504</v>
      </c>
      <c r="B192">
        <v>1</v>
      </c>
      <c r="C192" t="s">
        <v>618</v>
      </c>
      <c r="E192" t="s">
        <v>619</v>
      </c>
      <c r="H192" t="s">
        <v>712</v>
      </c>
      <c r="I192" t="s">
        <v>23</v>
      </c>
      <c r="J192" t="s">
        <v>773</v>
      </c>
      <c r="O192" t="s">
        <v>1062</v>
      </c>
      <c r="P192" t="s">
        <v>1113</v>
      </c>
      <c r="Q192" t="s">
        <v>1117</v>
      </c>
      <c r="R192" t="s">
        <v>1171</v>
      </c>
      <c r="S192" t="b">
        <v>1</v>
      </c>
      <c r="T192" t="b">
        <v>0</v>
      </c>
      <c r="U192" t="b">
        <v>1</v>
      </c>
      <c r="V192" t="b">
        <v>0</v>
      </c>
      <c r="W192" s="2" t="s">
        <v>1367</v>
      </c>
      <c r="X192" s="2"/>
      <c r="Y192" s="24">
        <v>184</v>
      </c>
      <c r="Z192">
        <f t="shared" si="40"/>
        <v>184</v>
      </c>
      <c r="AA192">
        <f t="shared" si="41"/>
        <v>184</v>
      </c>
      <c r="AB192">
        <f t="shared" si="42"/>
        <v>184</v>
      </c>
      <c r="AC192">
        <f t="shared" si="43"/>
        <v>0</v>
      </c>
      <c r="AD192">
        <f t="shared" si="44"/>
        <v>184</v>
      </c>
      <c r="AE192">
        <f t="shared" si="45"/>
        <v>0</v>
      </c>
      <c r="AF192">
        <f t="shared" si="46"/>
        <v>0</v>
      </c>
      <c r="AG192">
        <f t="shared" si="47"/>
        <v>184</v>
      </c>
      <c r="AH192">
        <f t="shared" si="48"/>
        <v>184</v>
      </c>
      <c r="AI192">
        <f t="shared" si="49"/>
        <v>184</v>
      </c>
      <c r="AJ192">
        <f t="shared" si="50"/>
        <v>0</v>
      </c>
      <c r="AK192">
        <f t="shared" si="51"/>
        <v>0</v>
      </c>
      <c r="AL192">
        <f t="shared" si="52"/>
        <v>0</v>
      </c>
      <c r="AM192">
        <f t="shared" si="53"/>
        <v>0</v>
      </c>
      <c r="AN192">
        <f t="shared" si="54"/>
        <v>184</v>
      </c>
      <c r="AO192">
        <f t="shared" si="55"/>
        <v>184</v>
      </c>
      <c r="AP192">
        <f t="shared" si="56"/>
        <v>184</v>
      </c>
      <c r="AQ192">
        <f t="shared" si="57"/>
        <v>184</v>
      </c>
      <c r="AR192" s="6">
        <f t="shared" si="58"/>
        <v>184</v>
      </c>
      <c r="AS192">
        <f t="shared" si="59"/>
        <v>184</v>
      </c>
      <c r="AV192" s="1" t="str">
        <f>IF(IFERROR(INDEX($A$9:$W$304,$AS192,COLUMNS($AV$9:AV191)),"")=0,"",IFERROR(INDEX($A$9:$W$304,$AS192,COLUMNS($AV$9:AV191)),""))</f>
        <v>Plague</v>
      </c>
      <c r="AW192" s="1">
        <f>IFERROR(INDEX($A$9:$W$304,$AS192,COLUMNS($AV$9:AW191)),"")</f>
        <v>1</v>
      </c>
      <c r="AX192" s="1" t="str">
        <f>IF(IFERROR(INDEX($A$9:$X$304,$AS192,COLUMNS($AV$9:AX191)),"")=0,"",IFERROR(INDEX($A$9:$X$304,$AS192,COLUMNS($AV$9:AX191)),""))</f>
        <v>EVIL</v>
      </c>
      <c r="AY192" s="1" t="str">
        <f>IF(IFERROR(INDEX($A$9:$X$304,$AS192,COLUMNS($AV$9:AY191)),"")=0,"",IFERROR(INDEX($A$9:$X$304,$AS192,COLUMNS($AV$9:AY191)),""))</f>
        <v/>
      </c>
      <c r="AZ192" s="1" t="str">
        <f>IF(IFERROR(INDEX($A$9:$X$304,$AS192,COLUMNS($AV$9:AZ191)),"")=0,"",IFERROR(INDEX($A$9:$X$304,$AS192,COLUMNS($AV$9:AZ191)),""))</f>
        <v>EVENT</v>
      </c>
      <c r="BA192" s="1" t="str">
        <f>IF(IFERROR(INDEX($A$9:$X$304,$AS192,COLUMNS($AV$9:BA191)),"")=0,"",IFERROR(INDEX($A$9:$X$304,$AS192,COLUMNS($AV$9:BA191)),""))</f>
        <v/>
      </c>
      <c r="BB192" s="1" t="str">
        <f>IF(IFERROR(INDEX($A$9:$X$304,$AS192,COLUMNS($AV$9:BB191)),"")=0,"",IFERROR(INDEX($A$9:$X$304,$AS192,COLUMNS($AV$9:BB191)),""))</f>
        <v/>
      </c>
      <c r="BC192" s="1" t="str">
        <f>IF(IFERROR(INDEX($A$9:$X$304,$AS192,COLUMNS($AV$9:BC191)),"")=0,"",IFERROR(INDEX($A$9:$X$304,$AS192,COLUMNS($AV$9:BC191)),""))</f>
        <v>Deal 1 damage to target player and to each champion they control. Draw a card.</v>
      </c>
      <c r="BD192" s="1" t="str">
        <f>IF(IFERROR(INDEX($A$9:$X$304,$AS192,COLUMNS($AV$9:BD191)),"")=0,"",IFERROR(INDEX($A$9:$X$304,$AS192,COLUMNS($AV$9:BD191)),""))</f>
        <v>Recycle</v>
      </c>
      <c r="BE192" s="1" t="str">
        <f>IF(IFERROR(INDEX($A$9:$X$304,$AS192,COLUMNS($AV$9:BE191)),"")=0,"",IFERROR(INDEX($A$9:$X$304,$AS192,COLUMNS($AV$9:BE191)),""))</f>
        <v>If it is your turn, break all champions.</v>
      </c>
      <c r="BF192" s="1" t="str">
        <f>IF(IFERROR(INDEX($A$9:$X$304,$AS192,COLUMNS($AV$9:BF191)),"")=0,"",IFERROR(INDEX($A$9:$X$304,$AS192,COLUMNS($AV$9:BF191)),""))</f>
        <v/>
      </c>
      <c r="BG192" s="1" t="str">
        <f>IF(IFERROR(INDEX($A$9:$X$304,$AS192,COLUMNS($AV$9:BG191)),"")=0,"",IFERROR(INDEX($A$9:$X$304,$AS192,COLUMNS($AV$9:BG191)),""))</f>
        <v/>
      </c>
      <c r="BH192" s="1" t="str">
        <f>IF(IFERROR(INDEX($A$9:$X$304,$AS192,COLUMNS($AV$9:BH191)),"")=0,"",IFERROR(INDEX($A$9:$X$304,$AS192,COLUMNS($AV$9:BH191)),""))</f>
        <v/>
      </c>
      <c r="BI192" s="1" t="str">
        <f>IF(IFERROR(INDEX($A$9:$X$304,$AS192,COLUMNS($AV$9:BI191)),"")=0,"",IFERROR(INDEX($A$9:$X$304,$AS192,COLUMNS($AV$9:BI191)),""))</f>
        <v/>
      </c>
      <c r="BJ192" s="1" t="str">
        <f>IF(IFERROR(INDEX($A$9:$X$304,$AS192,COLUMNS($AV$9:BJ191)),"")=0,"",IFERROR(INDEX($A$9:$X$304,$AS192,COLUMNS($AV$9:BJ191)),""))</f>
        <v>None</v>
      </c>
      <c r="BK192" s="1" t="str">
        <f>IF(IFERROR(INDEX($A$9:$X$304,$AS192,COLUMNS($AV$9:BK191)),"")=0,"",IFERROR(INDEX($A$9:$X$304,$AS192,COLUMNS($AV$9:BK191)),""))</f>
        <v>Rare</v>
      </c>
      <c r="BL192" s="1" t="str">
        <f>IF(IFERROR(INDEX($A$9:$X$304,$AS192,COLUMNS($AV$9:BL191)),"")=0,"",IFERROR(INDEX($A$9:$X$304,$AS192,COLUMNS($AV$9:BL191)),""))</f>
        <v>Antonis Papantoniou</v>
      </c>
      <c r="BM192" s="1" t="str">
        <f>IF(IFERROR(INDEX($A$9:$X$304,$AS192,COLUMNS($AV$9:BM191)),"")=0,"",IFERROR(INDEX($A$9:$X$304,$AS192,COLUMNS($AV$9:BM191)),""))</f>
        <v>Base Set</v>
      </c>
      <c r="BN192" s="3" t="b">
        <f>IF(IFERROR(INDEX($A$9:$X$304,$AS192,COLUMNS($AV$9:BN191)),"")=0,"",IFERROR(INDEX($A$9:$X$304,$AS192,COLUMNS($AV$9:BN191)),""))</f>
        <v>1</v>
      </c>
      <c r="BO192" s="3" t="b">
        <f>IF(IFERROR(INDEX($A$9:$X$304,$AS192,COLUMNS($AV$9:BO191)),"")=0,"",IFERROR(INDEX($A$9:$X$304,$AS192,COLUMNS($AV$9:BO191)),""))</f>
        <v>0</v>
      </c>
      <c r="BP192" s="3" t="b">
        <f>IF(IFERROR(INDEX($A$9:$X$304,$AS192,COLUMNS($AV$9:BP191)),"")=0,"",IFERROR(INDEX($A$9:$X$304,$AS192,COLUMNS($AV$9:BP191)),""))</f>
        <v>1</v>
      </c>
      <c r="BQ192" s="3" t="b">
        <f>IF(IFERROR(INDEX($A$9:$X$304,$AS192,COLUMNS($AV$9:BQ191)),"")=0,"",IFERROR(INDEX($A$9:$X$304,$AS192,COLUMNS($AV$9:BQ191)),""))</f>
        <v>0</v>
      </c>
      <c r="BR192" s="3" t="str">
        <f>IF(IFERROR(INDEX($A$9:$X$304,$AS192,COLUMNS($AV$9:BR191)),"")=0,"",IFERROR(INDEX($A$9:$X$304,$AS192,COLUMNS($AV$9:BR191)),""))</f>
        <v>http://www.epiccardgame.com/wp-content/uploads/2015/09/plague-215x300.jpg</v>
      </c>
      <c r="BS192" s="3" t="str">
        <f>IF(IFERROR(INDEX($A$9:$X$304,$AS192,COLUMNS($AV$9:BS191)),"")=0,"",IFERROR(INDEX($A$9:$X$304,$AS192,COLUMNS($AV$9:BS191)),""))</f>
        <v/>
      </c>
      <c r="BT192" s="3"/>
      <c r="BU192" s="15"/>
      <c r="BV192" t="s">
        <v>213</v>
      </c>
    </row>
    <row r="193" spans="1:74" ht="225.2" customHeight="1" x14ac:dyDescent="0.25">
      <c r="A193" t="s">
        <v>505</v>
      </c>
      <c r="B193">
        <v>1</v>
      </c>
      <c r="C193" t="s">
        <v>618</v>
      </c>
      <c r="E193" t="s">
        <v>619</v>
      </c>
      <c r="H193" t="s">
        <v>713</v>
      </c>
      <c r="I193" t="s">
        <v>893</v>
      </c>
      <c r="O193" t="s">
        <v>1068</v>
      </c>
      <c r="P193" t="s">
        <v>1112</v>
      </c>
      <c r="Q193" t="s">
        <v>1159</v>
      </c>
      <c r="R193" t="s">
        <v>1177</v>
      </c>
      <c r="S193" t="b">
        <v>1</v>
      </c>
      <c r="T193" t="b">
        <v>0</v>
      </c>
      <c r="U193" t="b">
        <v>0</v>
      </c>
      <c r="V193" t="b">
        <v>0</v>
      </c>
      <c r="W193" s="2" t="s">
        <v>1368</v>
      </c>
      <c r="X193" s="2"/>
      <c r="Y193" s="24">
        <v>185</v>
      </c>
      <c r="Z193">
        <f t="shared" si="40"/>
        <v>185</v>
      </c>
      <c r="AA193">
        <f t="shared" si="41"/>
        <v>185</v>
      </c>
      <c r="AB193">
        <f t="shared" si="42"/>
        <v>185</v>
      </c>
      <c r="AC193">
        <f t="shared" si="43"/>
        <v>0</v>
      </c>
      <c r="AD193">
        <f t="shared" si="44"/>
        <v>185</v>
      </c>
      <c r="AE193">
        <f t="shared" si="45"/>
        <v>0</v>
      </c>
      <c r="AF193">
        <f t="shared" si="46"/>
        <v>0</v>
      </c>
      <c r="AG193">
        <f t="shared" si="47"/>
        <v>185</v>
      </c>
      <c r="AH193">
        <f t="shared" si="48"/>
        <v>185</v>
      </c>
      <c r="AI193">
        <f t="shared" si="49"/>
        <v>0</v>
      </c>
      <c r="AJ193">
        <f t="shared" si="50"/>
        <v>0</v>
      </c>
      <c r="AK193">
        <f t="shared" si="51"/>
        <v>0</v>
      </c>
      <c r="AL193">
        <f t="shared" si="52"/>
        <v>0</v>
      </c>
      <c r="AM193">
        <f t="shared" si="53"/>
        <v>0</v>
      </c>
      <c r="AN193">
        <f t="shared" si="54"/>
        <v>185</v>
      </c>
      <c r="AO193">
        <f t="shared" si="55"/>
        <v>185</v>
      </c>
      <c r="AP193">
        <f t="shared" si="56"/>
        <v>185</v>
      </c>
      <c r="AQ193">
        <f t="shared" si="57"/>
        <v>185</v>
      </c>
      <c r="AR193" s="6">
        <f t="shared" si="58"/>
        <v>185</v>
      </c>
      <c r="AS193">
        <f t="shared" si="59"/>
        <v>185</v>
      </c>
      <c r="AV193" s="1" t="str">
        <f>IF(IFERROR(INDEX($A$9:$W$304,$AS193,COLUMNS($AV$9:AV192)),"")=0,"",IFERROR(INDEX($A$9:$W$304,$AS193,COLUMNS($AV$9:AV192)),""))</f>
        <v>Plague Zombies</v>
      </c>
      <c r="AW193" s="1">
        <f>IFERROR(INDEX($A$9:$W$304,$AS193,COLUMNS($AV$9:AW192)),"")</f>
        <v>1</v>
      </c>
      <c r="AX193" s="1" t="str">
        <f>IF(IFERROR(INDEX($A$9:$X$304,$AS193,COLUMNS($AV$9:AX192)),"")=0,"",IFERROR(INDEX($A$9:$X$304,$AS193,COLUMNS($AV$9:AX192)),""))</f>
        <v>EVIL</v>
      </c>
      <c r="AY193" s="1" t="str">
        <f>IF(IFERROR(INDEX($A$9:$X$304,$AS193,COLUMNS($AV$9:AY192)),"")=0,"",IFERROR(INDEX($A$9:$X$304,$AS193,COLUMNS($AV$9:AY192)),""))</f>
        <v/>
      </c>
      <c r="AZ193" s="1" t="str">
        <f>IF(IFERROR(INDEX($A$9:$X$304,$AS193,COLUMNS($AV$9:AZ192)),"")=0,"",IFERROR(INDEX($A$9:$X$304,$AS193,COLUMNS($AV$9:AZ192)),""))</f>
        <v>EVENT</v>
      </c>
      <c r="BA193" s="1" t="str">
        <f>IF(IFERROR(INDEX($A$9:$X$304,$AS193,COLUMNS($AV$9:BA192)),"")=0,"",IFERROR(INDEX($A$9:$X$304,$AS193,COLUMNS($AV$9:BA192)),""))</f>
        <v/>
      </c>
      <c r="BB193" s="1" t="str">
        <f>IF(IFERROR(INDEX($A$9:$X$304,$AS193,COLUMNS($AV$9:BB192)),"")=0,"",IFERROR(INDEX($A$9:$X$304,$AS193,COLUMNS($AV$9:BB192)),""))</f>
        <v/>
      </c>
      <c r="BC193" s="1" t="str">
        <f>IF(IFERROR(INDEX($A$9:$X$304,$AS193,COLUMNS($AV$9:BC192)),"")=0,"",IFERROR(INDEX($A$9:$X$304,$AS193,COLUMNS($AV$9:BC192)),""))</f>
        <v>Put three zombie tokens into play.</v>
      </c>
      <c r="BD193" s="1" t="str">
        <f>IF(IFERROR(INDEX($A$9:$X$304,$AS193,COLUMNS($AV$9:BD192)),"")=0,"",IFERROR(INDEX($A$9:$X$304,$AS193,COLUMNS($AV$9:BD192)),""))</f>
        <v>This turn, your zombie tokens gain blitz and "When this card is broken → Deal 2 damage to target player."</v>
      </c>
      <c r="BE193" s="1" t="str">
        <f>IF(IFERROR(INDEX($A$9:$X$304,$AS193,COLUMNS($AV$9:BE192)),"")=0,"",IFERROR(INDEX($A$9:$X$304,$AS193,COLUMNS($AV$9:BE192)),""))</f>
        <v/>
      </c>
      <c r="BF193" s="1" t="str">
        <f>IF(IFERROR(INDEX($A$9:$X$304,$AS193,COLUMNS($AV$9:BF192)),"")=0,"",IFERROR(INDEX($A$9:$X$304,$AS193,COLUMNS($AV$9:BF192)),""))</f>
        <v/>
      </c>
      <c r="BG193" s="1" t="str">
        <f>IF(IFERROR(INDEX($A$9:$X$304,$AS193,COLUMNS($AV$9:BG192)),"")=0,"",IFERROR(INDEX($A$9:$X$304,$AS193,COLUMNS($AV$9:BG192)),""))</f>
        <v/>
      </c>
      <c r="BH193" s="1" t="str">
        <f>IF(IFERROR(INDEX($A$9:$X$304,$AS193,COLUMNS($AV$9:BH192)),"")=0,"",IFERROR(INDEX($A$9:$X$304,$AS193,COLUMNS($AV$9:BH192)),""))</f>
        <v/>
      </c>
      <c r="BI193" s="1" t="str">
        <f>IF(IFERROR(INDEX($A$9:$X$304,$AS193,COLUMNS($AV$9:BI192)),"")=0,"",IFERROR(INDEX($A$9:$X$304,$AS193,COLUMNS($AV$9:BI192)),""))</f>
        <v/>
      </c>
      <c r="BJ193" s="1" t="str">
        <f>IF(IFERROR(INDEX($A$9:$X$304,$AS193,COLUMNS($AV$9:BJ192)),"")=0,"",IFERROR(INDEX($A$9:$X$304,$AS193,COLUMNS($AV$9:BJ192)),""))</f>
        <v>ZOMBIE</v>
      </c>
      <c r="BK193" s="1" t="str">
        <f>IF(IFERROR(INDEX($A$9:$X$304,$AS193,COLUMNS($AV$9:BK192)),"")=0,"",IFERROR(INDEX($A$9:$X$304,$AS193,COLUMNS($AV$9:BK192)),""))</f>
        <v>Common</v>
      </c>
      <c r="BL193" s="1" t="str">
        <f>IF(IFERROR(INDEX($A$9:$X$304,$AS193,COLUMNS($AV$9:BL192)),"")=0,"",IFERROR(INDEX($A$9:$X$304,$AS193,COLUMNS($AV$9:BL192)),""))</f>
        <v>Nichole Balsley</v>
      </c>
      <c r="BM193" s="1" t="str">
        <f>IF(IFERROR(INDEX($A$9:$X$304,$AS193,COLUMNS($AV$9:BM192)),"")=0,"",IFERROR(INDEX($A$9:$X$304,$AS193,COLUMNS($AV$9:BM192)),""))</f>
        <v>Uprising: Will of Zannos</v>
      </c>
      <c r="BN193" s="3" t="b">
        <f>IF(IFERROR(INDEX($A$9:$X$304,$AS193,COLUMNS($AV$9:BN192)),"")=0,"",IFERROR(INDEX($A$9:$X$304,$AS193,COLUMNS($AV$9:BN192)),""))</f>
        <v>1</v>
      </c>
      <c r="BO193" s="3" t="b">
        <f>IF(IFERROR(INDEX($A$9:$X$304,$AS193,COLUMNS($AV$9:BO192)),"")=0,"",IFERROR(INDEX($A$9:$X$304,$AS193,COLUMNS($AV$9:BO192)),""))</f>
        <v>0</v>
      </c>
      <c r="BP193" s="3" t="b">
        <f>IF(IFERROR(INDEX($A$9:$X$304,$AS193,COLUMNS($AV$9:BP192)),"")=0,"",IFERROR(INDEX($A$9:$X$304,$AS193,COLUMNS($AV$9:BP192)),""))</f>
        <v>0</v>
      </c>
      <c r="BQ193" s="3" t="b">
        <f>IF(IFERROR(INDEX($A$9:$X$304,$AS193,COLUMNS($AV$9:BQ192)),"")=0,"",IFERROR(INDEX($A$9:$X$304,$AS193,COLUMNS($AV$9:BQ192)),""))</f>
        <v>0</v>
      </c>
      <c r="BR193" s="3" t="str">
        <f>IF(IFERROR(INDEX($A$9:$X$304,$AS193,COLUMNS($AV$9:BR192)),"")=0,"",IFERROR(INDEX($A$9:$X$304,$AS193,COLUMNS($AV$9:BR192)),""))</f>
        <v>https://www.epiccardgame.com/wp-content/uploads/2017/11/UPZ-EN-plague-zombies.jpg</v>
      </c>
      <c r="BS193" s="3" t="str">
        <f>IF(IFERROR(INDEX($A$9:$X$304,$AS193,COLUMNS($AV$9:BS192)),"")=0,"",IFERROR(INDEX($A$9:$X$304,$AS193,COLUMNS($AV$9:BS192)),""))</f>
        <v/>
      </c>
      <c r="BT193" s="3"/>
      <c r="BU193" s="15"/>
      <c r="BV193" t="s">
        <v>214</v>
      </c>
    </row>
    <row r="194" spans="1:74" ht="225.2" customHeight="1" x14ac:dyDescent="0.25">
      <c r="A194" t="s">
        <v>506</v>
      </c>
      <c r="B194">
        <v>0</v>
      </c>
      <c r="C194" t="s">
        <v>618</v>
      </c>
      <c r="E194" t="s">
        <v>619</v>
      </c>
      <c r="H194" t="s">
        <v>714</v>
      </c>
      <c r="L194" t="s">
        <v>1050</v>
      </c>
      <c r="O194" t="s">
        <v>1068</v>
      </c>
      <c r="P194" t="s">
        <v>1112</v>
      </c>
      <c r="Q194" t="s">
        <v>1124</v>
      </c>
      <c r="R194" t="s">
        <v>1171</v>
      </c>
      <c r="S194" t="b">
        <v>0</v>
      </c>
      <c r="T194" t="b">
        <v>0</v>
      </c>
      <c r="U194" t="b">
        <v>0</v>
      </c>
      <c r="V194" t="b">
        <v>0</v>
      </c>
      <c r="W194" s="2" t="s">
        <v>1369</v>
      </c>
      <c r="X194" s="2"/>
      <c r="Y194" s="24">
        <v>186</v>
      </c>
      <c r="Z194">
        <f t="shared" si="40"/>
        <v>186</v>
      </c>
      <c r="AA194">
        <f t="shared" si="41"/>
        <v>186</v>
      </c>
      <c r="AB194">
        <f t="shared" si="42"/>
        <v>186</v>
      </c>
      <c r="AC194">
        <f t="shared" si="43"/>
        <v>0</v>
      </c>
      <c r="AD194">
        <f t="shared" si="44"/>
        <v>186</v>
      </c>
      <c r="AE194">
        <f t="shared" si="45"/>
        <v>0</v>
      </c>
      <c r="AF194">
        <f t="shared" si="46"/>
        <v>0</v>
      </c>
      <c r="AG194">
        <f t="shared" si="47"/>
        <v>186</v>
      </c>
      <c r="AH194">
        <f t="shared" si="48"/>
        <v>0</v>
      </c>
      <c r="AI194">
        <f t="shared" si="49"/>
        <v>0</v>
      </c>
      <c r="AJ194">
        <f t="shared" si="50"/>
        <v>0</v>
      </c>
      <c r="AK194">
        <f t="shared" si="51"/>
        <v>186</v>
      </c>
      <c r="AL194">
        <f t="shared" si="52"/>
        <v>0</v>
      </c>
      <c r="AM194">
        <f t="shared" si="53"/>
        <v>0</v>
      </c>
      <c r="AN194">
        <f t="shared" si="54"/>
        <v>186</v>
      </c>
      <c r="AO194">
        <f t="shared" si="55"/>
        <v>186</v>
      </c>
      <c r="AP194">
        <f t="shared" si="56"/>
        <v>186</v>
      </c>
      <c r="AQ194">
        <f t="shared" si="57"/>
        <v>186</v>
      </c>
      <c r="AR194" s="6">
        <f t="shared" si="58"/>
        <v>186</v>
      </c>
      <c r="AS194">
        <f t="shared" si="59"/>
        <v>186</v>
      </c>
      <c r="AV194" s="1" t="str">
        <f>IF(IFERROR(INDEX($A$9:$W$304,$AS194,COLUMNS($AV$9:AV193)),"")=0,"",IFERROR(INDEX($A$9:$W$304,$AS194,COLUMNS($AV$9:AV193)),""))</f>
        <v>Plentiful Dead</v>
      </c>
      <c r="AW194" s="1">
        <f>IFERROR(INDEX($A$9:$W$304,$AS194,COLUMNS($AV$9:AW193)),"")</f>
        <v>0</v>
      </c>
      <c r="AX194" s="1" t="str">
        <f>IF(IFERROR(INDEX($A$9:$X$304,$AS194,COLUMNS($AV$9:AX193)),"")=0,"",IFERROR(INDEX($A$9:$X$304,$AS194,COLUMNS($AV$9:AX193)),""))</f>
        <v>EVIL</v>
      </c>
      <c r="AY194" s="1" t="str">
        <f>IF(IFERROR(INDEX($A$9:$X$304,$AS194,COLUMNS($AV$9:AY193)),"")=0,"",IFERROR(INDEX($A$9:$X$304,$AS194,COLUMNS($AV$9:AY193)),""))</f>
        <v/>
      </c>
      <c r="AZ194" s="1" t="str">
        <f>IF(IFERROR(INDEX($A$9:$X$304,$AS194,COLUMNS($AV$9:AZ193)),"")=0,"",IFERROR(INDEX($A$9:$X$304,$AS194,COLUMNS($AV$9:AZ193)),""))</f>
        <v>EVENT</v>
      </c>
      <c r="BA194" s="1" t="str">
        <f>IF(IFERROR(INDEX($A$9:$X$304,$AS194,COLUMNS($AV$9:BA193)),"")=0,"",IFERROR(INDEX($A$9:$X$304,$AS194,COLUMNS($AV$9:BA193)),""))</f>
        <v/>
      </c>
      <c r="BB194" s="1" t="str">
        <f>IF(IFERROR(INDEX($A$9:$X$304,$AS194,COLUMNS($AV$9:BB193)),"")=0,"",IFERROR(INDEX($A$9:$X$304,$AS194,COLUMNS($AV$9:BB193)),""))</f>
        <v/>
      </c>
      <c r="BC194" s="1" t="str">
        <f>IF(IFERROR(INDEX($A$9:$X$304,$AS194,COLUMNS($AV$9:BC193)),"")=0,"",IFERROR(INDEX($A$9:$X$304,$AS194,COLUMNS($AV$9:BC193)),""))</f>
        <v>Put a zombie token into play.</v>
      </c>
      <c r="BD194" s="1" t="str">
        <f>IF(IFERROR(INDEX($A$9:$X$304,$AS194,COLUMNS($AV$9:BD193)),"")=0,"",IFERROR(INDEX($A$9:$X$304,$AS194,COLUMNS($AV$9:BD193)),""))</f>
        <v/>
      </c>
      <c r="BE194" s="1" t="str">
        <f>IF(IFERROR(INDEX($A$9:$X$304,$AS194,COLUMNS($AV$9:BE193)),"")=0,"",IFERROR(INDEX($A$9:$X$304,$AS194,COLUMNS($AV$9:BE193)),""))</f>
        <v/>
      </c>
      <c r="BF194" s="1" t="str">
        <f>IF(IFERROR(INDEX($A$9:$X$304,$AS194,COLUMNS($AV$9:BF193)),"")=0,"",IFERROR(INDEX($A$9:$X$304,$AS194,COLUMNS($AV$9:BF193)),""))</f>
        <v/>
      </c>
      <c r="BG194" s="1" t="str">
        <f>IF(IFERROR(INDEX($A$9:$X$304,$AS194,COLUMNS($AV$9:BG193)),"")=0,"",IFERROR(INDEX($A$9:$X$304,$AS194,COLUMNS($AV$9:BG193)),""))</f>
        <v>{evil} → You may pay 1 health. If you do, recall.</v>
      </c>
      <c r="BH194" s="1" t="str">
        <f>IF(IFERROR(INDEX($A$9:$X$304,$AS194,COLUMNS($AV$9:BH193)),"")=0,"",IFERROR(INDEX($A$9:$X$304,$AS194,COLUMNS($AV$9:BH193)),""))</f>
        <v/>
      </c>
      <c r="BI194" s="1" t="str">
        <f>IF(IFERROR(INDEX($A$9:$X$304,$AS194,COLUMNS($AV$9:BI193)),"")=0,"",IFERROR(INDEX($A$9:$X$304,$AS194,COLUMNS($AV$9:BI193)),""))</f>
        <v/>
      </c>
      <c r="BJ194" s="1" t="str">
        <f>IF(IFERROR(INDEX($A$9:$X$304,$AS194,COLUMNS($AV$9:BJ193)),"")=0,"",IFERROR(INDEX($A$9:$X$304,$AS194,COLUMNS($AV$9:BJ193)),""))</f>
        <v>ZOMBIE</v>
      </c>
      <c r="BK194" s="1" t="str">
        <f>IF(IFERROR(INDEX($A$9:$X$304,$AS194,COLUMNS($AV$9:BK193)),"")=0,"",IFERROR(INDEX($A$9:$X$304,$AS194,COLUMNS($AV$9:BK193)),""))</f>
        <v>Common</v>
      </c>
      <c r="BL194" s="1" t="str">
        <f>IF(IFERROR(INDEX($A$9:$X$304,$AS194,COLUMNS($AV$9:BL193)),"")=0,"",IFERROR(INDEX($A$9:$X$304,$AS194,COLUMNS($AV$9:BL193)),""))</f>
        <v>Souveraine</v>
      </c>
      <c r="BM194" s="1" t="str">
        <f>IF(IFERROR(INDEX($A$9:$X$304,$AS194,COLUMNS($AV$9:BM193)),"")=0,"",IFERROR(INDEX($A$9:$X$304,$AS194,COLUMNS($AV$9:BM193)),""))</f>
        <v>Base Set</v>
      </c>
      <c r="BN194" s="3" t="b">
        <f>IF(IFERROR(INDEX($A$9:$X$304,$AS194,COLUMNS($AV$9:BN193)),"")=0,"",IFERROR(INDEX($A$9:$X$304,$AS194,COLUMNS($AV$9:BN193)),""))</f>
        <v>0</v>
      </c>
      <c r="BO194" s="3" t="b">
        <f>IF(IFERROR(INDEX($A$9:$X$304,$AS194,COLUMNS($AV$9:BO193)),"")=0,"",IFERROR(INDEX($A$9:$X$304,$AS194,COLUMNS($AV$9:BO193)),""))</f>
        <v>0</v>
      </c>
      <c r="BP194" s="3" t="b">
        <f>IF(IFERROR(INDEX($A$9:$X$304,$AS194,COLUMNS($AV$9:BP193)),"")=0,"",IFERROR(INDEX($A$9:$X$304,$AS194,COLUMNS($AV$9:BP193)),""))</f>
        <v>0</v>
      </c>
      <c r="BQ194" s="3" t="b">
        <f>IF(IFERROR(INDEX($A$9:$X$304,$AS194,COLUMNS($AV$9:BQ193)),"")=0,"",IFERROR(INDEX($A$9:$X$304,$AS194,COLUMNS($AV$9:BQ193)),""))</f>
        <v>0</v>
      </c>
      <c r="BR194" s="3" t="str">
        <f>IF(IFERROR(INDEX($A$9:$X$304,$AS194,COLUMNS($AV$9:BR193)),"")=0,"",IFERROR(INDEX($A$9:$X$304,$AS194,COLUMNS($AV$9:BR193)),""))</f>
        <v>http://www.epiccardgame.com/wp-content/uploads/2015/09/plentiful_dead-215x300.jpg</v>
      </c>
      <c r="BS194" s="3" t="str">
        <f>IF(IFERROR(INDEX($A$9:$X$304,$AS194,COLUMNS($AV$9:BS193)),"")=0,"",IFERROR(INDEX($A$9:$X$304,$AS194,COLUMNS($AV$9:BS193)),""))</f>
        <v/>
      </c>
      <c r="BT194" s="3"/>
      <c r="BU194" s="15"/>
      <c r="BV194" t="s">
        <v>215</v>
      </c>
    </row>
    <row r="195" spans="1:74" ht="225.2" customHeight="1" x14ac:dyDescent="0.25">
      <c r="A195" t="s">
        <v>507</v>
      </c>
      <c r="B195">
        <v>0</v>
      </c>
      <c r="C195" t="s">
        <v>617</v>
      </c>
      <c r="E195" t="s">
        <v>620</v>
      </c>
      <c r="F195">
        <v>1</v>
      </c>
      <c r="G195">
        <v>4</v>
      </c>
      <c r="H195" t="s">
        <v>715</v>
      </c>
      <c r="I195" t="s">
        <v>894</v>
      </c>
      <c r="O195" t="s">
        <v>1063</v>
      </c>
      <c r="P195" t="s">
        <v>1112</v>
      </c>
      <c r="Q195" t="s">
        <v>1116</v>
      </c>
      <c r="R195" t="s">
        <v>1171</v>
      </c>
      <c r="S195" t="b">
        <v>0</v>
      </c>
      <c r="T195" t="b">
        <v>0</v>
      </c>
      <c r="U195" t="b">
        <v>0</v>
      </c>
      <c r="V195" t="b">
        <v>0</v>
      </c>
      <c r="W195" s="2" t="s">
        <v>1370</v>
      </c>
      <c r="X195" s="2"/>
      <c r="Y195" s="24">
        <v>187</v>
      </c>
      <c r="Z195">
        <f t="shared" si="40"/>
        <v>187</v>
      </c>
      <c r="AA195">
        <f t="shared" si="41"/>
        <v>187</v>
      </c>
      <c r="AB195">
        <f t="shared" si="42"/>
        <v>187</v>
      </c>
      <c r="AC195">
        <f t="shared" si="43"/>
        <v>0</v>
      </c>
      <c r="AD195">
        <f t="shared" si="44"/>
        <v>187</v>
      </c>
      <c r="AE195">
        <f t="shared" si="45"/>
        <v>187</v>
      </c>
      <c r="AF195">
        <f t="shared" si="46"/>
        <v>187</v>
      </c>
      <c r="AG195">
        <f t="shared" si="47"/>
        <v>187</v>
      </c>
      <c r="AH195">
        <f t="shared" si="48"/>
        <v>187</v>
      </c>
      <c r="AI195">
        <f t="shared" si="49"/>
        <v>0</v>
      </c>
      <c r="AJ195">
        <f t="shared" si="50"/>
        <v>0</v>
      </c>
      <c r="AK195">
        <f t="shared" si="51"/>
        <v>0</v>
      </c>
      <c r="AL195">
        <f t="shared" si="52"/>
        <v>0</v>
      </c>
      <c r="AM195">
        <f t="shared" si="53"/>
        <v>0</v>
      </c>
      <c r="AN195">
        <f t="shared" si="54"/>
        <v>187</v>
      </c>
      <c r="AO195">
        <f t="shared" si="55"/>
        <v>187</v>
      </c>
      <c r="AP195">
        <f t="shared" si="56"/>
        <v>187</v>
      </c>
      <c r="AQ195">
        <f t="shared" si="57"/>
        <v>187</v>
      </c>
      <c r="AR195" s="6">
        <f t="shared" si="58"/>
        <v>187</v>
      </c>
      <c r="AS195">
        <f t="shared" si="59"/>
        <v>187</v>
      </c>
      <c r="AV195" s="1" t="str">
        <f>IF(IFERROR(INDEX($A$9:$W$304,$AS195,COLUMNS($AV$9:AV194)),"")=0,"",IFERROR(INDEX($A$9:$W$304,$AS195,COLUMNS($AV$9:AV194)),""))</f>
        <v>Priest of Kalnor</v>
      </c>
      <c r="AW195" s="1">
        <f>IFERROR(INDEX($A$9:$W$304,$AS195,COLUMNS($AV$9:AW194)),"")</f>
        <v>0</v>
      </c>
      <c r="AX195" s="1" t="str">
        <f>IF(IFERROR(INDEX($A$9:$X$304,$AS195,COLUMNS($AV$9:AX194)),"")=0,"",IFERROR(INDEX($A$9:$X$304,$AS195,COLUMNS($AV$9:AX194)),""))</f>
        <v>GOOD</v>
      </c>
      <c r="AY195" s="1" t="str">
        <f>IF(IFERROR(INDEX($A$9:$X$304,$AS195,COLUMNS($AV$9:AY194)),"")=0,"",IFERROR(INDEX($A$9:$X$304,$AS195,COLUMNS($AV$9:AY194)),""))</f>
        <v/>
      </c>
      <c r="AZ195" s="1" t="str">
        <f>IF(IFERROR(INDEX($A$9:$X$304,$AS195,COLUMNS($AV$9:AZ194)),"")=0,"",IFERROR(INDEX($A$9:$X$304,$AS195,COLUMNS($AV$9:AZ194)),""))</f>
        <v>CHAMPION</v>
      </c>
      <c r="BA195" s="1">
        <f>IF(IFERROR(INDEX($A$9:$X$304,$AS195,COLUMNS($AV$9:BA194)),"")=0,"",IFERROR(INDEX($A$9:$X$304,$AS195,COLUMNS($AV$9:BA194)),""))</f>
        <v>1</v>
      </c>
      <c r="BB195" s="1">
        <f>IF(IFERROR(INDEX($A$9:$X$304,$AS195,COLUMNS($AV$9:BB194)),"")=0,"",IFERROR(INDEX($A$9:$X$304,$AS195,COLUMNS($AV$9:BB194)),""))</f>
        <v>4</v>
      </c>
      <c r="BC195" s="1" t="str">
        <f>IF(IFERROR(INDEX($A$9:$X$304,$AS195,COLUMNS($AV$9:BC194)),"")=0,"",IFERROR(INDEX($A$9:$X$304,$AS195,COLUMNS($AV$9:BC194)),""))</f>
        <v>Tribute → Gain 4 health.</v>
      </c>
      <c r="BD195" s="1" t="str">
        <f>IF(IFERROR(INDEX($A$9:$X$304,$AS195,COLUMNS($AV$9:BD194)),"")=0,"",IFERROR(INDEX($A$9:$X$304,$AS195,COLUMNS($AV$9:BD194)),""))</f>
        <v>Loyalty 2 → Target champion gains unbreakable and untargetable this turn.</v>
      </c>
      <c r="BE195" s="1" t="str">
        <f>IF(IFERROR(INDEX($A$9:$X$304,$AS195,COLUMNS($AV$9:BE194)),"")=0,"",IFERROR(INDEX($A$9:$X$304,$AS195,COLUMNS($AV$9:BE194)),""))</f>
        <v/>
      </c>
      <c r="BF195" s="1" t="str">
        <f>IF(IFERROR(INDEX($A$9:$X$304,$AS195,COLUMNS($AV$9:BF194)),"")=0,"",IFERROR(INDEX($A$9:$X$304,$AS195,COLUMNS($AV$9:BF194)),""))</f>
        <v/>
      </c>
      <c r="BG195" s="1" t="str">
        <f>IF(IFERROR(INDEX($A$9:$X$304,$AS195,COLUMNS($AV$9:BG194)),"")=0,"",IFERROR(INDEX($A$9:$X$304,$AS195,COLUMNS($AV$9:BG194)),""))</f>
        <v/>
      </c>
      <c r="BH195" s="1" t="str">
        <f>IF(IFERROR(INDEX($A$9:$X$304,$AS195,COLUMNS($AV$9:BH194)),"")=0,"",IFERROR(INDEX($A$9:$X$304,$AS195,COLUMNS($AV$9:BH194)),""))</f>
        <v/>
      </c>
      <c r="BI195" s="1" t="str">
        <f>IF(IFERROR(INDEX($A$9:$X$304,$AS195,COLUMNS($AV$9:BI194)),"")=0,"",IFERROR(INDEX($A$9:$X$304,$AS195,COLUMNS($AV$9:BI194)),""))</f>
        <v/>
      </c>
      <c r="BJ195" s="1" t="str">
        <f>IF(IFERROR(INDEX($A$9:$X$304,$AS195,COLUMNS($AV$9:BJ194)),"")=0,"",IFERROR(INDEX($A$9:$X$304,$AS195,COLUMNS($AV$9:BJ194)),""))</f>
        <v>HUMAN</v>
      </c>
      <c r="BK195" s="1" t="str">
        <f>IF(IFERROR(INDEX($A$9:$X$304,$AS195,COLUMNS($AV$9:BK194)),"")=0,"",IFERROR(INDEX($A$9:$X$304,$AS195,COLUMNS($AV$9:BK194)),""))</f>
        <v>Common</v>
      </c>
      <c r="BL195" s="1" t="str">
        <f>IF(IFERROR(INDEX($A$9:$X$304,$AS195,COLUMNS($AV$9:BL194)),"")=0,"",IFERROR(INDEX($A$9:$X$304,$AS195,COLUMNS($AV$9:BL194)),""))</f>
        <v>Apsara</v>
      </c>
      <c r="BM195" s="1" t="str">
        <f>IF(IFERROR(INDEX($A$9:$X$304,$AS195,COLUMNS($AV$9:BM194)),"")=0,"",IFERROR(INDEX($A$9:$X$304,$AS195,COLUMNS($AV$9:BM194)),""))</f>
        <v>Base Set</v>
      </c>
      <c r="BN195" s="3" t="b">
        <f>IF(IFERROR(INDEX($A$9:$X$304,$AS195,COLUMNS($AV$9:BN194)),"")=0,"",IFERROR(INDEX($A$9:$X$304,$AS195,COLUMNS($AV$9:BN194)),""))</f>
        <v>0</v>
      </c>
      <c r="BO195" s="3" t="b">
        <f>IF(IFERROR(INDEX($A$9:$X$304,$AS195,COLUMNS($AV$9:BO194)),"")=0,"",IFERROR(INDEX($A$9:$X$304,$AS195,COLUMNS($AV$9:BO194)),""))</f>
        <v>0</v>
      </c>
      <c r="BP195" s="3" t="b">
        <f>IF(IFERROR(INDEX($A$9:$X$304,$AS195,COLUMNS($AV$9:BP194)),"")=0,"",IFERROR(INDEX($A$9:$X$304,$AS195,COLUMNS($AV$9:BP194)),""))</f>
        <v>0</v>
      </c>
      <c r="BQ195" s="3" t="b">
        <f>IF(IFERROR(INDEX($A$9:$X$304,$AS195,COLUMNS($AV$9:BQ194)),"")=0,"",IFERROR(INDEX($A$9:$X$304,$AS195,COLUMNS($AV$9:BQ194)),""))</f>
        <v>0</v>
      </c>
      <c r="BR195" s="3" t="str">
        <f>IF(IFERROR(INDEX($A$9:$X$304,$AS195,COLUMNS($AV$9:BR194)),"")=0,"",IFERROR(INDEX($A$9:$X$304,$AS195,COLUMNS($AV$9:BR194)),""))</f>
        <v>http://www.epiccardgame.com/wp-content/uploads/2015/09/priest_of_kalnor-215x300.jpg</v>
      </c>
      <c r="BS195" s="3" t="str">
        <f>IF(IFERROR(INDEX($A$9:$X$304,$AS195,COLUMNS($AV$9:BS194)),"")=0,"",IFERROR(INDEX($A$9:$X$304,$AS195,COLUMNS($AV$9:BS194)),""))</f>
        <v/>
      </c>
      <c r="BT195" s="3"/>
      <c r="BU195" s="15"/>
      <c r="BV195" t="s">
        <v>216</v>
      </c>
    </row>
    <row r="196" spans="1:74" ht="225.2" customHeight="1" x14ac:dyDescent="0.25">
      <c r="A196" t="s">
        <v>508</v>
      </c>
      <c r="B196">
        <v>0</v>
      </c>
      <c r="C196" t="s">
        <v>617</v>
      </c>
      <c r="E196" t="s">
        <v>620</v>
      </c>
      <c r="F196">
        <v>1</v>
      </c>
      <c r="G196">
        <v>2</v>
      </c>
      <c r="H196" t="s">
        <v>709</v>
      </c>
      <c r="I196" t="s">
        <v>895</v>
      </c>
      <c r="O196" t="s">
        <v>1063</v>
      </c>
      <c r="P196" t="s">
        <v>1112</v>
      </c>
      <c r="Q196" t="s">
        <v>1116</v>
      </c>
      <c r="R196" t="s">
        <v>1171</v>
      </c>
      <c r="S196" t="b">
        <v>0</v>
      </c>
      <c r="T196" t="b">
        <v>0</v>
      </c>
      <c r="U196" t="b">
        <v>0</v>
      </c>
      <c r="V196" t="b">
        <v>0</v>
      </c>
      <c r="W196" s="2" t="s">
        <v>1371</v>
      </c>
      <c r="X196" s="2"/>
      <c r="Y196" s="24">
        <v>188</v>
      </c>
      <c r="Z196">
        <f t="shared" si="40"/>
        <v>188</v>
      </c>
      <c r="AA196">
        <f t="shared" si="41"/>
        <v>188</v>
      </c>
      <c r="AB196">
        <f t="shared" si="42"/>
        <v>188</v>
      </c>
      <c r="AC196">
        <f t="shared" si="43"/>
        <v>0</v>
      </c>
      <c r="AD196">
        <f t="shared" si="44"/>
        <v>188</v>
      </c>
      <c r="AE196">
        <f t="shared" si="45"/>
        <v>188</v>
      </c>
      <c r="AF196">
        <f t="shared" si="46"/>
        <v>188</v>
      </c>
      <c r="AG196">
        <f t="shared" si="47"/>
        <v>188</v>
      </c>
      <c r="AH196">
        <f t="shared" si="48"/>
        <v>188</v>
      </c>
      <c r="AI196">
        <f t="shared" si="49"/>
        <v>0</v>
      </c>
      <c r="AJ196">
        <f t="shared" si="50"/>
        <v>0</v>
      </c>
      <c r="AK196">
        <f t="shared" si="51"/>
        <v>0</v>
      </c>
      <c r="AL196">
        <f t="shared" si="52"/>
        <v>0</v>
      </c>
      <c r="AM196">
        <f t="shared" si="53"/>
        <v>0</v>
      </c>
      <c r="AN196">
        <f t="shared" si="54"/>
        <v>188</v>
      </c>
      <c r="AO196">
        <f t="shared" si="55"/>
        <v>188</v>
      </c>
      <c r="AP196">
        <f t="shared" si="56"/>
        <v>188</v>
      </c>
      <c r="AQ196">
        <f t="shared" si="57"/>
        <v>188</v>
      </c>
      <c r="AR196" s="6">
        <f t="shared" si="58"/>
        <v>188</v>
      </c>
      <c r="AS196">
        <f t="shared" si="59"/>
        <v>188</v>
      </c>
      <c r="AV196" s="1" t="str">
        <f>IF(IFERROR(INDEX($A$9:$W$304,$AS196,COLUMNS($AV$9:AV195)),"")=0,"",IFERROR(INDEX($A$9:$W$304,$AS196,COLUMNS($AV$9:AV195)),""))</f>
        <v>Priestess of Angeline</v>
      </c>
      <c r="AW196" s="1">
        <f>IFERROR(INDEX($A$9:$W$304,$AS196,COLUMNS($AV$9:AW195)),"")</f>
        <v>0</v>
      </c>
      <c r="AX196" s="1" t="str">
        <f>IF(IFERROR(INDEX($A$9:$X$304,$AS196,COLUMNS($AV$9:AX195)),"")=0,"",IFERROR(INDEX($A$9:$X$304,$AS196,COLUMNS($AV$9:AX195)),""))</f>
        <v>GOOD</v>
      </c>
      <c r="AY196" s="1" t="str">
        <f>IF(IFERROR(INDEX($A$9:$X$304,$AS196,COLUMNS($AV$9:AY195)),"")=0,"",IFERROR(INDEX($A$9:$X$304,$AS196,COLUMNS($AV$9:AY195)),""))</f>
        <v/>
      </c>
      <c r="AZ196" s="1" t="str">
        <f>IF(IFERROR(INDEX($A$9:$X$304,$AS196,COLUMNS($AV$9:AZ195)),"")=0,"",IFERROR(INDEX($A$9:$X$304,$AS196,COLUMNS($AV$9:AZ195)),""))</f>
        <v>CHAMPION</v>
      </c>
      <c r="BA196" s="1">
        <f>IF(IFERROR(INDEX($A$9:$X$304,$AS196,COLUMNS($AV$9:BA195)),"")=0,"",IFERROR(INDEX($A$9:$X$304,$AS196,COLUMNS($AV$9:BA195)),""))</f>
        <v>1</v>
      </c>
      <c r="BB196" s="1">
        <f>IF(IFERROR(INDEX($A$9:$X$304,$AS196,COLUMNS($AV$9:BB195)),"")=0,"",IFERROR(INDEX($A$9:$X$304,$AS196,COLUMNS($AV$9:BB195)),""))</f>
        <v>2</v>
      </c>
      <c r="BC196" s="1" t="str">
        <f>IF(IFERROR(INDEX($A$9:$X$304,$AS196,COLUMNS($AV$9:BC195)),"")=0,"",IFERROR(INDEX($A$9:$X$304,$AS196,COLUMNS($AV$9:BC195)),""))</f>
        <v>Tribute → Recycle</v>
      </c>
      <c r="BD196" s="1" t="str">
        <f>IF(IFERROR(INDEX($A$9:$X$304,$AS196,COLUMNS($AV$9:BD195)),"")=0,"",IFERROR(INDEX($A$9:$X$304,$AS196,COLUMNS($AV$9:BD195)),""))</f>
        <v>{good} → Gain 3 health.</v>
      </c>
      <c r="BE196" s="1" t="str">
        <f>IF(IFERROR(INDEX($A$9:$X$304,$AS196,COLUMNS($AV$9:BE195)),"")=0,"",IFERROR(INDEX($A$9:$X$304,$AS196,COLUMNS($AV$9:BE195)),""))</f>
        <v/>
      </c>
      <c r="BF196" s="1" t="str">
        <f>IF(IFERROR(INDEX($A$9:$X$304,$AS196,COLUMNS($AV$9:BF195)),"")=0,"",IFERROR(INDEX($A$9:$X$304,$AS196,COLUMNS($AV$9:BF195)),""))</f>
        <v/>
      </c>
      <c r="BG196" s="1" t="str">
        <f>IF(IFERROR(INDEX($A$9:$X$304,$AS196,COLUMNS($AV$9:BG195)),"")=0,"",IFERROR(INDEX($A$9:$X$304,$AS196,COLUMNS($AV$9:BG195)),""))</f>
        <v/>
      </c>
      <c r="BH196" s="1" t="str">
        <f>IF(IFERROR(INDEX($A$9:$X$304,$AS196,COLUMNS($AV$9:BH195)),"")=0,"",IFERROR(INDEX($A$9:$X$304,$AS196,COLUMNS($AV$9:BH195)),""))</f>
        <v/>
      </c>
      <c r="BI196" s="1" t="str">
        <f>IF(IFERROR(INDEX($A$9:$X$304,$AS196,COLUMNS($AV$9:BI195)),"")=0,"",IFERROR(INDEX($A$9:$X$304,$AS196,COLUMNS($AV$9:BI195)),""))</f>
        <v/>
      </c>
      <c r="BJ196" s="1" t="str">
        <f>IF(IFERROR(INDEX($A$9:$X$304,$AS196,COLUMNS($AV$9:BJ195)),"")=0,"",IFERROR(INDEX($A$9:$X$304,$AS196,COLUMNS($AV$9:BJ195)),""))</f>
        <v>HUMAN</v>
      </c>
      <c r="BK196" s="1" t="str">
        <f>IF(IFERROR(INDEX($A$9:$X$304,$AS196,COLUMNS($AV$9:BK195)),"")=0,"",IFERROR(INDEX($A$9:$X$304,$AS196,COLUMNS($AV$9:BK195)),""))</f>
        <v>Common</v>
      </c>
      <c r="BL196" s="1" t="str">
        <f>IF(IFERROR(INDEX($A$9:$X$304,$AS196,COLUMNS($AV$9:BL195)),"")=0,"",IFERROR(INDEX($A$9:$X$304,$AS196,COLUMNS($AV$9:BL195)),""))</f>
        <v>Apsara</v>
      </c>
      <c r="BM196" s="1" t="str">
        <f>IF(IFERROR(INDEX($A$9:$X$304,$AS196,COLUMNS($AV$9:BM195)),"")=0,"",IFERROR(INDEX($A$9:$X$304,$AS196,COLUMNS($AV$9:BM195)),""))</f>
        <v>Base Set</v>
      </c>
      <c r="BN196" s="3" t="b">
        <f>IF(IFERROR(INDEX($A$9:$X$304,$AS196,COLUMNS($AV$9:BN195)),"")=0,"",IFERROR(INDEX($A$9:$X$304,$AS196,COLUMNS($AV$9:BN195)),""))</f>
        <v>0</v>
      </c>
      <c r="BO196" s="3" t="b">
        <f>IF(IFERROR(INDEX($A$9:$X$304,$AS196,COLUMNS($AV$9:BO195)),"")=0,"",IFERROR(INDEX($A$9:$X$304,$AS196,COLUMNS($AV$9:BO195)),""))</f>
        <v>0</v>
      </c>
      <c r="BP196" s="3" t="b">
        <f>IF(IFERROR(INDEX($A$9:$X$304,$AS196,COLUMNS($AV$9:BP195)),"")=0,"",IFERROR(INDEX($A$9:$X$304,$AS196,COLUMNS($AV$9:BP195)),""))</f>
        <v>0</v>
      </c>
      <c r="BQ196" s="3" t="b">
        <f>IF(IFERROR(INDEX($A$9:$X$304,$AS196,COLUMNS($AV$9:BQ195)),"")=0,"",IFERROR(INDEX($A$9:$X$304,$AS196,COLUMNS($AV$9:BQ195)),""))</f>
        <v>0</v>
      </c>
      <c r="BR196" s="3" t="str">
        <f>IF(IFERROR(INDEX($A$9:$X$304,$AS196,COLUMNS($AV$9:BR195)),"")=0,"",IFERROR(INDEX($A$9:$X$304,$AS196,COLUMNS($AV$9:BR195)),""))</f>
        <v>http://www.epiccardgame.com/wp-content/uploads/2015/09/priestess_of_angeline-215x300.jpg</v>
      </c>
      <c r="BS196" s="3" t="str">
        <f>IF(IFERROR(INDEX($A$9:$X$304,$AS196,COLUMNS($AV$9:BS195)),"")=0,"",IFERROR(INDEX($A$9:$X$304,$AS196,COLUMNS($AV$9:BS195)),""))</f>
        <v/>
      </c>
      <c r="BT196" s="3"/>
      <c r="BU196" s="15"/>
      <c r="BV196" t="s">
        <v>217</v>
      </c>
    </row>
    <row r="197" spans="1:74" ht="225" customHeight="1" x14ac:dyDescent="0.25">
      <c r="A197" t="s">
        <v>509</v>
      </c>
      <c r="B197">
        <v>1</v>
      </c>
      <c r="C197" t="s">
        <v>616</v>
      </c>
      <c r="E197" t="s">
        <v>619</v>
      </c>
      <c r="H197" t="s">
        <v>716</v>
      </c>
      <c r="L197" t="s">
        <v>1051</v>
      </c>
      <c r="O197" t="s">
        <v>1062</v>
      </c>
      <c r="P197" t="s">
        <v>1112</v>
      </c>
      <c r="Q197" t="s">
        <v>1117</v>
      </c>
      <c r="R197" t="s">
        <v>1171</v>
      </c>
      <c r="S197" t="b">
        <v>1</v>
      </c>
      <c r="T197" t="b">
        <v>0</v>
      </c>
      <c r="U197" t="b">
        <v>0</v>
      </c>
      <c r="V197" t="b">
        <v>0</v>
      </c>
      <c r="W197" s="2" t="s">
        <v>1372</v>
      </c>
      <c r="X197" s="2"/>
      <c r="Y197" s="24">
        <v>189</v>
      </c>
      <c r="Z197">
        <f t="shared" si="40"/>
        <v>189</v>
      </c>
      <c r="AA197">
        <f t="shared" si="41"/>
        <v>189</v>
      </c>
      <c r="AB197">
        <f t="shared" si="42"/>
        <v>189</v>
      </c>
      <c r="AC197">
        <f t="shared" si="43"/>
        <v>0</v>
      </c>
      <c r="AD197">
        <f t="shared" si="44"/>
        <v>189</v>
      </c>
      <c r="AE197">
        <f t="shared" si="45"/>
        <v>0</v>
      </c>
      <c r="AF197">
        <f t="shared" si="46"/>
        <v>0</v>
      </c>
      <c r="AG197">
        <f t="shared" si="47"/>
        <v>189</v>
      </c>
      <c r="AH197">
        <f t="shared" si="48"/>
        <v>0</v>
      </c>
      <c r="AI197">
        <f t="shared" si="49"/>
        <v>0</v>
      </c>
      <c r="AJ197">
        <f t="shared" si="50"/>
        <v>0</v>
      </c>
      <c r="AK197">
        <f t="shared" si="51"/>
        <v>189</v>
      </c>
      <c r="AL197">
        <f t="shared" si="52"/>
        <v>0</v>
      </c>
      <c r="AM197">
        <f t="shared" si="53"/>
        <v>0</v>
      </c>
      <c r="AN197">
        <f t="shared" si="54"/>
        <v>189</v>
      </c>
      <c r="AO197">
        <f t="shared" si="55"/>
        <v>189</v>
      </c>
      <c r="AP197">
        <f t="shared" si="56"/>
        <v>189</v>
      </c>
      <c r="AQ197">
        <f t="shared" si="57"/>
        <v>189</v>
      </c>
      <c r="AR197" s="6">
        <f t="shared" si="58"/>
        <v>189</v>
      </c>
      <c r="AS197">
        <f t="shared" si="59"/>
        <v>189</v>
      </c>
      <c r="AV197" s="1" t="str">
        <f>IF(IFERROR(INDEX($A$9:$W$304,$AS197,COLUMNS($AV$9:AV196)),"")=0,"",IFERROR(INDEX($A$9:$W$304,$AS197,COLUMNS($AV$9:AV196)),""))</f>
        <v>Psionic Assault</v>
      </c>
      <c r="AW197" s="1">
        <f>IFERROR(INDEX($A$9:$W$304,$AS197,COLUMNS($AV$9:AW196)),"")</f>
        <v>1</v>
      </c>
      <c r="AX197" s="1" t="str">
        <f>IF(IFERROR(INDEX($A$9:$X$304,$AS197,COLUMNS($AV$9:AX196)),"")=0,"",IFERROR(INDEX($A$9:$X$304,$AS197,COLUMNS($AV$9:AX196)),""))</f>
        <v>SAGE</v>
      </c>
      <c r="AY197" s="1" t="str">
        <f>IF(IFERROR(INDEX($A$9:$X$304,$AS197,COLUMNS($AV$9:AY196)),"")=0,"",IFERROR(INDEX($A$9:$X$304,$AS197,COLUMNS($AV$9:AY196)),""))</f>
        <v/>
      </c>
      <c r="AZ197" s="1" t="str">
        <f>IF(IFERROR(INDEX($A$9:$X$304,$AS197,COLUMNS($AV$9:AZ196)),"")=0,"",IFERROR(INDEX($A$9:$X$304,$AS197,COLUMNS($AV$9:AZ196)),""))</f>
        <v>EVENT</v>
      </c>
      <c r="BA197" s="1" t="str">
        <f>IF(IFERROR(INDEX($A$9:$X$304,$AS197,COLUMNS($AV$9:BA196)),"")=0,"",IFERROR(INDEX($A$9:$X$304,$AS197,COLUMNS($AV$9:BA196)),""))</f>
        <v/>
      </c>
      <c r="BB197" s="1" t="str">
        <f>IF(IFERROR(INDEX($A$9:$X$304,$AS197,COLUMNS($AV$9:BB196)),"")=0,"",IFERROR(INDEX($A$9:$X$304,$AS197,COLUMNS($AV$9:BB196)),""))</f>
        <v/>
      </c>
      <c r="BC197" s="1" t="str">
        <f>IF(IFERROR(INDEX($A$9:$X$304,$AS197,COLUMNS($AV$9:BC196)),"")=0,"",IFERROR(INDEX($A$9:$X$304,$AS197,COLUMNS($AV$9:BC196)),""))</f>
        <v>Target player discards two cards at the end of the turn.</v>
      </c>
      <c r="BD197" s="1" t="str">
        <f>IF(IFERROR(INDEX($A$9:$X$304,$AS197,COLUMNS($AV$9:BD196)),"")=0,"",IFERROR(INDEX($A$9:$X$304,$AS197,COLUMNS($AV$9:BD196)),""))</f>
        <v/>
      </c>
      <c r="BE197" s="1" t="str">
        <f>IF(IFERROR(INDEX($A$9:$X$304,$AS197,COLUMNS($AV$9:BE196)),"")=0,"",IFERROR(INDEX($A$9:$X$304,$AS197,COLUMNS($AV$9:BE196)),""))</f>
        <v/>
      </c>
      <c r="BF197" s="1" t="str">
        <f>IF(IFERROR(INDEX($A$9:$X$304,$AS197,COLUMNS($AV$9:BF196)),"")=0,"",IFERROR(INDEX($A$9:$X$304,$AS197,COLUMNS($AV$9:BF196)),""))</f>
        <v/>
      </c>
      <c r="BG197" s="1" t="str">
        <f>IF(IFERROR(INDEX($A$9:$X$304,$AS197,COLUMNS($AV$9:BG196)),"")=0,"",IFERROR(INDEX($A$9:$X$304,$AS197,COLUMNS($AV$9:BG196)),""))</f>
        <v>{sage} → Recall</v>
      </c>
      <c r="BH197" s="1" t="str">
        <f>IF(IFERROR(INDEX($A$9:$X$304,$AS197,COLUMNS($AV$9:BH196)),"")=0,"",IFERROR(INDEX($A$9:$X$304,$AS197,COLUMNS($AV$9:BH196)),""))</f>
        <v/>
      </c>
      <c r="BI197" s="1" t="str">
        <f>IF(IFERROR(INDEX($A$9:$X$304,$AS197,COLUMNS($AV$9:BI196)),"")=0,"",IFERROR(INDEX($A$9:$X$304,$AS197,COLUMNS($AV$9:BI196)),""))</f>
        <v/>
      </c>
      <c r="BJ197" s="1" t="str">
        <f>IF(IFERROR(INDEX($A$9:$X$304,$AS197,COLUMNS($AV$9:BJ196)),"")=0,"",IFERROR(INDEX($A$9:$X$304,$AS197,COLUMNS($AV$9:BJ196)),""))</f>
        <v>None</v>
      </c>
      <c r="BK197" s="1" t="str">
        <f>IF(IFERROR(INDEX($A$9:$X$304,$AS197,COLUMNS($AV$9:BK196)),"")=0,"",IFERROR(INDEX($A$9:$X$304,$AS197,COLUMNS($AV$9:BK196)),""))</f>
        <v>Common</v>
      </c>
      <c r="BL197" s="1" t="str">
        <f>IF(IFERROR(INDEX($A$9:$X$304,$AS197,COLUMNS($AV$9:BL196)),"")=0,"",IFERROR(INDEX($A$9:$X$304,$AS197,COLUMNS($AV$9:BL196)),""))</f>
        <v>Antonis Papantoniou</v>
      </c>
      <c r="BM197" s="1" t="str">
        <f>IF(IFERROR(INDEX($A$9:$X$304,$AS197,COLUMNS($AV$9:BM196)),"")=0,"",IFERROR(INDEX($A$9:$X$304,$AS197,COLUMNS($AV$9:BM196)),""))</f>
        <v>Base Set</v>
      </c>
      <c r="BN197" s="3" t="b">
        <f>IF(IFERROR(INDEX($A$9:$X$304,$AS197,COLUMNS($AV$9:BN196)),"")=0,"",IFERROR(INDEX($A$9:$X$304,$AS197,COLUMNS($AV$9:BN196)),""))</f>
        <v>1</v>
      </c>
      <c r="BO197" s="3" t="b">
        <f>IF(IFERROR(INDEX($A$9:$X$304,$AS197,COLUMNS($AV$9:BO196)),"")=0,"",IFERROR(INDEX($A$9:$X$304,$AS197,COLUMNS($AV$9:BO196)),""))</f>
        <v>0</v>
      </c>
      <c r="BP197" s="3" t="b">
        <f>IF(IFERROR(INDEX($A$9:$X$304,$AS197,COLUMNS($AV$9:BP196)),"")=0,"",IFERROR(INDEX($A$9:$X$304,$AS197,COLUMNS($AV$9:BP196)),""))</f>
        <v>0</v>
      </c>
      <c r="BQ197" s="3" t="b">
        <f>IF(IFERROR(INDEX($A$9:$X$304,$AS197,COLUMNS($AV$9:BQ196)),"")=0,"",IFERROR(INDEX($A$9:$X$304,$AS197,COLUMNS($AV$9:BQ196)),""))</f>
        <v>0</v>
      </c>
      <c r="BR197" s="3" t="str">
        <f>IF(IFERROR(INDEX($A$9:$X$304,$AS197,COLUMNS($AV$9:BR196)),"")=0,"",IFERROR(INDEX($A$9:$X$304,$AS197,COLUMNS($AV$9:BR196)),""))</f>
        <v>http://www.epiccardgame.com/wp-content/uploads/2015/09/psionic_assault-215x300.jpg</v>
      </c>
      <c r="BS197" s="3" t="str">
        <f>IF(IFERROR(INDEX($A$9:$X$304,$AS197,COLUMNS($AV$9:BS196)),"")=0,"",IFERROR(INDEX($A$9:$X$304,$AS197,COLUMNS($AV$9:BS196)),""))</f>
        <v/>
      </c>
      <c r="BT197" s="3"/>
      <c r="BU197" s="15"/>
      <c r="BV197" t="s">
        <v>218</v>
      </c>
    </row>
    <row r="198" spans="1:74" ht="225.2" customHeight="1" x14ac:dyDescent="0.25">
      <c r="A198" t="s">
        <v>510</v>
      </c>
      <c r="B198">
        <v>1</v>
      </c>
      <c r="C198" t="s">
        <v>615</v>
      </c>
      <c r="E198" t="s">
        <v>620</v>
      </c>
      <c r="F198">
        <v>5</v>
      </c>
      <c r="G198">
        <v>7</v>
      </c>
      <c r="H198" t="s">
        <v>21</v>
      </c>
      <c r="I198" t="s">
        <v>896</v>
      </c>
      <c r="J198" t="s">
        <v>1007</v>
      </c>
      <c r="O198" t="s">
        <v>1074</v>
      </c>
      <c r="P198" t="s">
        <v>1113</v>
      </c>
      <c r="Q198" t="s">
        <v>1114</v>
      </c>
      <c r="R198" t="s">
        <v>1171</v>
      </c>
      <c r="S198" t="b">
        <v>1</v>
      </c>
      <c r="T198" t="b">
        <v>0</v>
      </c>
      <c r="U198" t="b">
        <v>0</v>
      </c>
      <c r="V198" t="b">
        <v>0</v>
      </c>
      <c r="W198" s="2" t="s">
        <v>1373</v>
      </c>
      <c r="X198" s="2"/>
      <c r="Y198" s="24">
        <v>190</v>
      </c>
      <c r="Z198">
        <f t="shared" si="40"/>
        <v>190</v>
      </c>
      <c r="AA198">
        <f t="shared" si="41"/>
        <v>190</v>
      </c>
      <c r="AB198">
        <f t="shared" si="42"/>
        <v>190</v>
      </c>
      <c r="AC198">
        <f t="shared" si="43"/>
        <v>0</v>
      </c>
      <c r="AD198">
        <f t="shared" si="44"/>
        <v>190</v>
      </c>
      <c r="AE198">
        <f t="shared" si="45"/>
        <v>190</v>
      </c>
      <c r="AF198">
        <f t="shared" si="46"/>
        <v>190</v>
      </c>
      <c r="AG198">
        <f t="shared" si="47"/>
        <v>190</v>
      </c>
      <c r="AH198">
        <f t="shared" si="48"/>
        <v>190</v>
      </c>
      <c r="AI198">
        <f t="shared" si="49"/>
        <v>190</v>
      </c>
      <c r="AJ198">
        <f t="shared" si="50"/>
        <v>0</v>
      </c>
      <c r="AK198">
        <f t="shared" si="51"/>
        <v>0</v>
      </c>
      <c r="AL198">
        <f t="shared" si="52"/>
        <v>0</v>
      </c>
      <c r="AM198">
        <f t="shared" si="53"/>
        <v>0</v>
      </c>
      <c r="AN198">
        <f t="shared" si="54"/>
        <v>190</v>
      </c>
      <c r="AO198">
        <f t="shared" si="55"/>
        <v>190</v>
      </c>
      <c r="AP198">
        <f t="shared" si="56"/>
        <v>190</v>
      </c>
      <c r="AQ198">
        <f t="shared" si="57"/>
        <v>190</v>
      </c>
      <c r="AR198" s="6">
        <f t="shared" si="58"/>
        <v>190</v>
      </c>
      <c r="AS198">
        <f t="shared" si="59"/>
        <v>190</v>
      </c>
      <c r="AV198" s="1" t="str">
        <f>IF(IFERROR(INDEX($A$9:$W$304,$AS198,COLUMNS($AV$9:AV197)),"")=0,"",IFERROR(INDEX($A$9:$W$304,$AS198,COLUMNS($AV$9:AV197)),""))</f>
        <v>Pyromancer</v>
      </c>
      <c r="AW198" s="1">
        <f>IFERROR(INDEX($A$9:$W$304,$AS198,COLUMNS($AV$9:AW197)),"")</f>
        <v>1</v>
      </c>
      <c r="AX198" s="1" t="str">
        <f>IF(IFERROR(INDEX($A$9:$X$304,$AS198,COLUMNS($AV$9:AX197)),"")=0,"",IFERROR(INDEX($A$9:$X$304,$AS198,COLUMNS($AV$9:AX197)),""))</f>
        <v>WILD</v>
      </c>
      <c r="AY198" s="1" t="str">
        <f>IF(IFERROR(INDEX($A$9:$X$304,$AS198,COLUMNS($AV$9:AY197)),"")=0,"",IFERROR(INDEX($A$9:$X$304,$AS198,COLUMNS($AV$9:AY197)),""))</f>
        <v/>
      </c>
      <c r="AZ198" s="1" t="str">
        <f>IF(IFERROR(INDEX($A$9:$X$304,$AS198,COLUMNS($AV$9:AZ197)),"")=0,"",IFERROR(INDEX($A$9:$X$304,$AS198,COLUMNS($AV$9:AZ197)),""))</f>
        <v>CHAMPION</v>
      </c>
      <c r="BA198" s="1">
        <f>IF(IFERROR(INDEX($A$9:$X$304,$AS198,COLUMNS($AV$9:BA197)),"")=0,"",IFERROR(INDEX($A$9:$X$304,$AS198,COLUMNS($AV$9:BA197)),""))</f>
        <v>5</v>
      </c>
      <c r="BB198" s="1">
        <f>IF(IFERROR(INDEX($A$9:$X$304,$AS198,COLUMNS($AV$9:BB197)),"")=0,"",IFERROR(INDEX($A$9:$X$304,$AS198,COLUMNS($AV$9:BB197)),""))</f>
        <v>7</v>
      </c>
      <c r="BC198" s="1" t="str">
        <f>IF(IFERROR(INDEX($A$9:$X$304,$AS198,COLUMNS($AV$9:BC197)),"")=0,"",IFERROR(INDEX($A$9:$X$304,$AS198,COLUMNS($AV$9:BC197)),""))</f>
        <v>Ambush</v>
      </c>
      <c r="BD198" s="1" t="str">
        <f>IF(IFERROR(INDEX($A$9:$X$304,$AS198,COLUMNS($AV$9:BD197)),"")=0,"",IFERROR(INDEX($A$9:$X$304,$AS198,COLUMNS($AV$9:BD197)),""))</f>
        <v>Tribute → Deal 4 damage to a target.</v>
      </c>
      <c r="BE198" s="1" t="str">
        <f>IF(IFERROR(INDEX($A$9:$X$304,$AS198,COLUMNS($AV$9:BE197)),"")=0,"",IFERROR(INDEX($A$9:$X$304,$AS198,COLUMNS($AV$9:BE197)),""))</f>
        <v>{1}: Deal 4 damage to a target.</v>
      </c>
      <c r="BF198" s="1" t="str">
        <f>IF(IFERROR(INDEX($A$9:$X$304,$AS198,COLUMNS($AV$9:BF197)),"")=0,"",IFERROR(INDEX($A$9:$X$304,$AS198,COLUMNS($AV$9:BF197)),""))</f>
        <v/>
      </c>
      <c r="BG198" s="1" t="str">
        <f>IF(IFERROR(INDEX($A$9:$X$304,$AS198,COLUMNS($AV$9:BG197)),"")=0,"",IFERROR(INDEX($A$9:$X$304,$AS198,COLUMNS($AV$9:BG197)),""))</f>
        <v/>
      </c>
      <c r="BH198" s="1" t="str">
        <f>IF(IFERROR(INDEX($A$9:$X$304,$AS198,COLUMNS($AV$9:BH197)),"")=0,"",IFERROR(INDEX($A$9:$X$304,$AS198,COLUMNS($AV$9:BH197)),""))</f>
        <v/>
      </c>
      <c r="BI198" s="1" t="str">
        <f>IF(IFERROR(INDEX($A$9:$X$304,$AS198,COLUMNS($AV$9:BI197)),"")=0,"",IFERROR(INDEX($A$9:$X$304,$AS198,COLUMNS($AV$9:BI197)),""))</f>
        <v/>
      </c>
      <c r="BJ198" s="1" t="str">
        <f>IF(IFERROR(INDEX($A$9:$X$304,$AS198,COLUMNS($AV$9:BJ197)),"")=0,"",IFERROR(INDEX($A$9:$X$304,$AS198,COLUMNS($AV$9:BJ197)),""))</f>
        <v>HUMAN MAGE</v>
      </c>
      <c r="BK198" s="1" t="str">
        <f>IF(IFERROR(INDEX($A$9:$X$304,$AS198,COLUMNS($AV$9:BK197)),"")=0,"",IFERROR(INDEX($A$9:$X$304,$AS198,COLUMNS($AV$9:BK197)),""))</f>
        <v>Rare</v>
      </c>
      <c r="BL198" s="1" t="str">
        <f>IF(IFERROR(INDEX($A$9:$X$304,$AS198,COLUMNS($AV$9:BL197)),"")=0,"",IFERROR(INDEX($A$9:$X$304,$AS198,COLUMNS($AV$9:BL197)),""))</f>
        <v>Jaan-Paul van Eeden</v>
      </c>
      <c r="BM198" s="1" t="str">
        <f>IF(IFERROR(INDEX($A$9:$X$304,$AS198,COLUMNS($AV$9:BM197)),"")=0,"",IFERROR(INDEX($A$9:$X$304,$AS198,COLUMNS($AV$9:BM197)),""))</f>
        <v>Base Set</v>
      </c>
      <c r="BN198" s="3" t="b">
        <f>IF(IFERROR(INDEX($A$9:$X$304,$AS198,COLUMNS($AV$9:BN197)),"")=0,"",IFERROR(INDEX($A$9:$X$304,$AS198,COLUMNS($AV$9:BN197)),""))</f>
        <v>1</v>
      </c>
      <c r="BO198" s="3" t="b">
        <f>IF(IFERROR(INDEX($A$9:$X$304,$AS198,COLUMNS($AV$9:BO197)),"")=0,"",IFERROR(INDEX($A$9:$X$304,$AS198,COLUMNS($AV$9:BO197)),""))</f>
        <v>0</v>
      </c>
      <c r="BP198" s="3" t="b">
        <f>IF(IFERROR(INDEX($A$9:$X$304,$AS198,COLUMNS($AV$9:BP197)),"")=0,"",IFERROR(INDEX($A$9:$X$304,$AS198,COLUMNS($AV$9:BP197)),""))</f>
        <v>0</v>
      </c>
      <c r="BQ198" s="3" t="b">
        <f>IF(IFERROR(INDEX($A$9:$X$304,$AS198,COLUMNS($AV$9:BQ197)),"")=0,"",IFERROR(INDEX($A$9:$X$304,$AS198,COLUMNS($AV$9:BQ197)),""))</f>
        <v>0</v>
      </c>
      <c r="BR198" s="3" t="str">
        <f>IF(IFERROR(INDEX($A$9:$X$304,$AS198,COLUMNS($AV$9:BR197)),"")=0,"",IFERROR(INDEX($A$9:$X$304,$AS198,COLUMNS($AV$9:BR197)),""))</f>
        <v>http://www.epiccardgame.com/wp-content/uploads/2015/09/pyromancer-215x300.jpg</v>
      </c>
      <c r="BS198" s="3" t="str">
        <f>IF(IFERROR(INDEX($A$9:$X$304,$AS198,COLUMNS($AV$9:BS197)),"")=0,"",IFERROR(INDEX($A$9:$X$304,$AS198,COLUMNS($AV$9:BS197)),""))</f>
        <v/>
      </c>
      <c r="BT198" s="3"/>
      <c r="BU198" s="15"/>
      <c r="BV198" t="s">
        <v>219</v>
      </c>
    </row>
    <row r="199" spans="1:74" ht="225.2" customHeight="1" x14ac:dyDescent="0.25">
      <c r="A199" t="s">
        <v>511</v>
      </c>
      <c r="B199">
        <v>1</v>
      </c>
      <c r="C199" t="s">
        <v>615</v>
      </c>
      <c r="E199" t="s">
        <v>620</v>
      </c>
      <c r="F199">
        <v>6</v>
      </c>
      <c r="G199">
        <v>3</v>
      </c>
      <c r="H199" t="s">
        <v>674</v>
      </c>
      <c r="I199" t="s">
        <v>897</v>
      </c>
      <c r="O199" t="s">
        <v>1101</v>
      </c>
      <c r="P199" t="s">
        <v>1112</v>
      </c>
      <c r="Q199" t="s">
        <v>1137</v>
      </c>
      <c r="R199" t="s">
        <v>1177</v>
      </c>
      <c r="S199" t="b">
        <v>1</v>
      </c>
      <c r="T199" t="b">
        <v>0</v>
      </c>
      <c r="U199" t="b">
        <v>0</v>
      </c>
      <c r="V199" t="b">
        <v>0</v>
      </c>
      <c r="W199" s="2" t="s">
        <v>1374</v>
      </c>
      <c r="X199" s="2"/>
      <c r="Y199" s="24">
        <v>191</v>
      </c>
      <c r="Z199">
        <f t="shared" si="40"/>
        <v>191</v>
      </c>
      <c r="AA199">
        <f t="shared" si="41"/>
        <v>191</v>
      </c>
      <c r="AB199">
        <f t="shared" si="42"/>
        <v>191</v>
      </c>
      <c r="AC199">
        <f t="shared" si="43"/>
        <v>0</v>
      </c>
      <c r="AD199">
        <f t="shared" si="44"/>
        <v>191</v>
      </c>
      <c r="AE199">
        <f t="shared" si="45"/>
        <v>191</v>
      </c>
      <c r="AF199">
        <f t="shared" si="46"/>
        <v>191</v>
      </c>
      <c r="AG199">
        <f t="shared" si="47"/>
        <v>191</v>
      </c>
      <c r="AH199">
        <f t="shared" si="48"/>
        <v>191</v>
      </c>
      <c r="AI199">
        <f t="shared" si="49"/>
        <v>0</v>
      </c>
      <c r="AJ199">
        <f t="shared" si="50"/>
        <v>0</v>
      </c>
      <c r="AK199">
        <f t="shared" si="51"/>
        <v>0</v>
      </c>
      <c r="AL199">
        <f t="shared" si="52"/>
        <v>0</v>
      </c>
      <c r="AM199">
        <f t="shared" si="53"/>
        <v>0</v>
      </c>
      <c r="AN199">
        <f t="shared" si="54"/>
        <v>191</v>
      </c>
      <c r="AO199">
        <f t="shared" si="55"/>
        <v>191</v>
      </c>
      <c r="AP199">
        <f t="shared" si="56"/>
        <v>191</v>
      </c>
      <c r="AQ199">
        <f t="shared" si="57"/>
        <v>191</v>
      </c>
      <c r="AR199" s="6">
        <f t="shared" si="58"/>
        <v>191</v>
      </c>
      <c r="AS199">
        <f t="shared" si="59"/>
        <v>191</v>
      </c>
      <c r="AV199" s="1" t="str">
        <f>IF(IFERROR(INDEX($A$9:$W$304,$AS199,COLUMNS($AV$9:AV198)),"")=0,"",IFERROR(INDEX($A$9:$W$304,$AS199,COLUMNS($AV$9:AV198)),""))</f>
        <v>Pyrosaur</v>
      </c>
      <c r="AW199" s="1">
        <f>IFERROR(INDEX($A$9:$W$304,$AS199,COLUMNS($AV$9:AW198)),"")</f>
        <v>1</v>
      </c>
      <c r="AX199" s="1" t="str">
        <f>IF(IFERROR(INDEX($A$9:$X$304,$AS199,COLUMNS($AV$9:AX198)),"")=0,"",IFERROR(INDEX($A$9:$X$304,$AS199,COLUMNS($AV$9:AX198)),""))</f>
        <v>WILD</v>
      </c>
      <c r="AY199" s="1" t="str">
        <f>IF(IFERROR(INDEX($A$9:$X$304,$AS199,COLUMNS($AV$9:AY198)),"")=0,"",IFERROR(INDEX($A$9:$X$304,$AS199,COLUMNS($AV$9:AY198)),""))</f>
        <v/>
      </c>
      <c r="AZ199" s="1" t="str">
        <f>IF(IFERROR(INDEX($A$9:$X$304,$AS199,COLUMNS($AV$9:AZ198)),"")=0,"",IFERROR(INDEX($A$9:$X$304,$AS199,COLUMNS($AV$9:AZ198)),""))</f>
        <v>CHAMPION</v>
      </c>
      <c r="BA199" s="1">
        <f>IF(IFERROR(INDEX($A$9:$X$304,$AS199,COLUMNS($AV$9:BA198)),"")=0,"",IFERROR(INDEX($A$9:$X$304,$AS199,COLUMNS($AV$9:BA198)),""))</f>
        <v>6</v>
      </c>
      <c r="BB199" s="1">
        <f>IF(IFERROR(INDEX($A$9:$X$304,$AS199,COLUMNS($AV$9:BB198)),"")=0,"",IFERROR(INDEX($A$9:$X$304,$AS199,COLUMNS($AV$9:BB198)),""))</f>
        <v>3</v>
      </c>
      <c r="BC199" s="1" t="str">
        <f>IF(IFERROR(INDEX($A$9:$X$304,$AS199,COLUMNS($AV$9:BC198)),"")=0,"",IFERROR(INDEX($A$9:$X$304,$AS199,COLUMNS($AV$9:BC198)),""))</f>
        <v>Loyalty 2 → Blitz</v>
      </c>
      <c r="BD199" s="1" t="str">
        <f>IF(IFERROR(INDEX($A$9:$X$304,$AS199,COLUMNS($AV$9:BD198)),"")=0,"",IFERROR(INDEX($A$9:$X$304,$AS199,COLUMNS($AV$9:BD198)),""))</f>
        <v>Tribute and/or when this card attacks → Deal 2 damage to each opposing champion and player.</v>
      </c>
      <c r="BE199" s="1" t="str">
        <f>IF(IFERROR(INDEX($A$9:$X$304,$AS199,COLUMNS($AV$9:BE198)),"")=0,"",IFERROR(INDEX($A$9:$X$304,$AS199,COLUMNS($AV$9:BE198)),""))</f>
        <v/>
      </c>
      <c r="BF199" s="1" t="str">
        <f>IF(IFERROR(INDEX($A$9:$X$304,$AS199,COLUMNS($AV$9:BF198)),"")=0,"",IFERROR(INDEX($A$9:$X$304,$AS199,COLUMNS($AV$9:BF198)),""))</f>
        <v/>
      </c>
      <c r="BG199" s="1" t="str">
        <f>IF(IFERROR(INDEX($A$9:$X$304,$AS199,COLUMNS($AV$9:BG198)),"")=0,"",IFERROR(INDEX($A$9:$X$304,$AS199,COLUMNS($AV$9:BG198)),""))</f>
        <v/>
      </c>
      <c r="BH199" s="1" t="str">
        <f>IF(IFERROR(INDEX($A$9:$X$304,$AS199,COLUMNS($AV$9:BH198)),"")=0,"",IFERROR(INDEX($A$9:$X$304,$AS199,COLUMNS($AV$9:BH198)),""))</f>
        <v/>
      </c>
      <c r="BI199" s="1" t="str">
        <f>IF(IFERROR(INDEX($A$9:$X$304,$AS199,COLUMNS($AV$9:BI198)),"")=0,"",IFERROR(INDEX($A$9:$X$304,$AS199,COLUMNS($AV$9:BI198)),""))</f>
        <v/>
      </c>
      <c r="BJ199" s="1" t="str">
        <f>IF(IFERROR(INDEX($A$9:$X$304,$AS199,COLUMNS($AV$9:BJ198)),"")=0,"",IFERROR(INDEX($A$9:$X$304,$AS199,COLUMNS($AV$9:BJ198)),""))</f>
        <v>DINOSAUR DRAGON</v>
      </c>
      <c r="BK199" s="1" t="str">
        <f>IF(IFERROR(INDEX($A$9:$X$304,$AS199,COLUMNS($AV$9:BK198)),"")=0,"",IFERROR(INDEX($A$9:$X$304,$AS199,COLUMNS($AV$9:BK198)),""))</f>
        <v>Common</v>
      </c>
      <c r="BL199" s="1" t="str">
        <f>IF(IFERROR(INDEX($A$9:$X$304,$AS199,COLUMNS($AV$9:BL198)),"")=0,"",IFERROR(INDEX($A$9:$X$304,$AS199,COLUMNS($AV$9:BL198)),""))</f>
        <v>David Nash</v>
      </c>
      <c r="BM199" s="1" t="str">
        <f>IF(IFERROR(INDEX($A$9:$X$304,$AS199,COLUMNS($AV$9:BM198)),"")=0,"",IFERROR(INDEX($A$9:$X$304,$AS199,COLUMNS($AV$9:BM198)),""))</f>
        <v>Uprising: Will of Zannos</v>
      </c>
      <c r="BN199" s="3" t="b">
        <f>IF(IFERROR(INDEX($A$9:$X$304,$AS199,COLUMNS($AV$9:BN198)),"")=0,"",IFERROR(INDEX($A$9:$X$304,$AS199,COLUMNS($AV$9:BN198)),""))</f>
        <v>1</v>
      </c>
      <c r="BO199" s="3" t="b">
        <f>IF(IFERROR(INDEX($A$9:$X$304,$AS199,COLUMNS($AV$9:BO198)),"")=0,"",IFERROR(INDEX($A$9:$X$304,$AS199,COLUMNS($AV$9:BO198)),""))</f>
        <v>0</v>
      </c>
      <c r="BP199" s="3" t="b">
        <f>IF(IFERROR(INDEX($A$9:$X$304,$AS199,COLUMNS($AV$9:BP198)),"")=0,"",IFERROR(INDEX($A$9:$X$304,$AS199,COLUMNS($AV$9:BP198)),""))</f>
        <v>0</v>
      </c>
      <c r="BQ199" s="3" t="b">
        <f>IF(IFERROR(INDEX($A$9:$X$304,$AS199,COLUMNS($AV$9:BQ198)),"")=0,"",IFERROR(INDEX($A$9:$X$304,$AS199,COLUMNS($AV$9:BQ198)),""))</f>
        <v>0</v>
      </c>
      <c r="BR199" s="3" t="str">
        <f>IF(IFERROR(INDEX($A$9:$X$304,$AS199,COLUMNS($AV$9:BR198)),"")=0,"",IFERROR(INDEX($A$9:$X$304,$AS199,COLUMNS($AV$9:BR198)),""))</f>
        <v>https://www.epiccardgame.com/wp-content/uploads/2017/11/UPZ-EN-pyrosaur.jpg</v>
      </c>
      <c r="BS199" s="3" t="str">
        <f>IF(IFERROR(INDEX($A$9:$X$304,$AS199,COLUMNS($AV$9:BS198)),"")=0,"",IFERROR(INDEX($A$9:$X$304,$AS199,COLUMNS($AV$9:BS198)),""))</f>
        <v/>
      </c>
      <c r="BT199" s="3"/>
      <c r="BU199" s="15"/>
      <c r="BV199" t="s">
        <v>220</v>
      </c>
    </row>
    <row r="200" spans="1:74" ht="225.2" customHeight="1" x14ac:dyDescent="0.25">
      <c r="A200" t="s">
        <v>512</v>
      </c>
      <c r="B200">
        <v>1</v>
      </c>
      <c r="C200" t="s">
        <v>617</v>
      </c>
      <c r="E200" t="s">
        <v>619</v>
      </c>
      <c r="H200" t="s">
        <v>717</v>
      </c>
      <c r="I200" t="s">
        <v>898</v>
      </c>
      <c r="O200" t="s">
        <v>1062</v>
      </c>
      <c r="P200" t="s">
        <v>1112</v>
      </c>
      <c r="Q200" t="s">
        <v>1143</v>
      </c>
      <c r="R200" t="s">
        <v>1176</v>
      </c>
      <c r="S200" t="b">
        <v>1</v>
      </c>
      <c r="T200" t="b">
        <v>1</v>
      </c>
      <c r="U200" t="b">
        <v>0</v>
      </c>
      <c r="V200" t="b">
        <v>0</v>
      </c>
      <c r="W200" s="2" t="s">
        <v>1375</v>
      </c>
      <c r="X200" s="2"/>
      <c r="Y200" s="24">
        <v>192</v>
      </c>
      <c r="Z200">
        <f t="shared" si="40"/>
        <v>192</v>
      </c>
      <c r="AA200">
        <f t="shared" si="41"/>
        <v>192</v>
      </c>
      <c r="AB200">
        <f t="shared" si="42"/>
        <v>192</v>
      </c>
      <c r="AC200">
        <f t="shared" si="43"/>
        <v>0</v>
      </c>
      <c r="AD200">
        <f t="shared" si="44"/>
        <v>192</v>
      </c>
      <c r="AE200">
        <f t="shared" si="45"/>
        <v>0</v>
      </c>
      <c r="AF200">
        <f t="shared" si="46"/>
        <v>0</v>
      </c>
      <c r="AG200">
        <f t="shared" si="47"/>
        <v>192</v>
      </c>
      <c r="AH200">
        <f t="shared" si="48"/>
        <v>192</v>
      </c>
      <c r="AI200">
        <f t="shared" si="49"/>
        <v>0</v>
      </c>
      <c r="AJ200">
        <f t="shared" si="50"/>
        <v>0</v>
      </c>
      <c r="AK200">
        <f t="shared" si="51"/>
        <v>0</v>
      </c>
      <c r="AL200">
        <f t="shared" si="52"/>
        <v>0</v>
      </c>
      <c r="AM200">
        <f t="shared" si="53"/>
        <v>0</v>
      </c>
      <c r="AN200">
        <f t="shared" si="54"/>
        <v>192</v>
      </c>
      <c r="AO200">
        <f t="shared" si="55"/>
        <v>192</v>
      </c>
      <c r="AP200">
        <f t="shared" si="56"/>
        <v>192</v>
      </c>
      <c r="AQ200">
        <f t="shared" si="57"/>
        <v>192</v>
      </c>
      <c r="AR200" s="6">
        <f t="shared" si="58"/>
        <v>192</v>
      </c>
      <c r="AS200">
        <f t="shared" si="59"/>
        <v>192</v>
      </c>
      <c r="AV200" s="1" t="str">
        <f>IF(IFERROR(INDEX($A$9:$W$304,$AS200,COLUMNS($AV$9:AV199)),"")=0,"",IFERROR(INDEX($A$9:$W$304,$AS200,COLUMNS($AV$9:AV199)),""))</f>
        <v>Quell</v>
      </c>
      <c r="AW200" s="1">
        <f>IFERROR(INDEX($A$9:$W$304,$AS200,COLUMNS($AV$9:AW199)),"")</f>
        <v>1</v>
      </c>
      <c r="AX200" s="1" t="str">
        <f>IF(IFERROR(INDEX($A$9:$X$304,$AS200,COLUMNS($AV$9:AX199)),"")=0,"",IFERROR(INDEX($A$9:$X$304,$AS200,COLUMNS($AV$9:AX199)),""))</f>
        <v>GOOD</v>
      </c>
      <c r="AY200" s="1" t="str">
        <f>IF(IFERROR(INDEX($A$9:$X$304,$AS200,COLUMNS($AV$9:AY199)),"")=0,"",IFERROR(INDEX($A$9:$X$304,$AS200,COLUMNS($AV$9:AY199)),""))</f>
        <v/>
      </c>
      <c r="AZ200" s="1" t="str">
        <f>IF(IFERROR(INDEX($A$9:$X$304,$AS200,COLUMNS($AV$9:AZ199)),"")=0,"",IFERROR(INDEX($A$9:$X$304,$AS200,COLUMNS($AV$9:AZ199)),""))</f>
        <v>EVENT</v>
      </c>
      <c r="BA200" s="1" t="str">
        <f>IF(IFERROR(INDEX($A$9:$X$304,$AS200,COLUMNS($AV$9:BA199)),"")=0,"",IFERROR(INDEX($A$9:$X$304,$AS200,COLUMNS($AV$9:BA199)),""))</f>
        <v/>
      </c>
      <c r="BB200" s="1" t="str">
        <f>IF(IFERROR(INDEX($A$9:$X$304,$AS200,COLUMNS($AV$9:BB199)),"")=0,"",IFERROR(INDEX($A$9:$X$304,$AS200,COLUMNS($AV$9:BB199)),""))</f>
        <v/>
      </c>
      <c r="BC200" s="1" t="str">
        <f>IF(IFERROR(INDEX($A$9:$X$304,$AS200,COLUMNS($AV$9:BC199)),"")=0,"",IFERROR(INDEX($A$9:$X$304,$AS200,COLUMNS($AV$9:BC199)),""))</f>
        <v>Banish all {0} champions. Draw a card.</v>
      </c>
      <c r="BD200" s="1" t="str">
        <f>IF(IFERROR(INDEX($A$9:$X$304,$AS200,COLUMNS($AV$9:BD199)),"")=0,"",IFERROR(INDEX($A$9:$X$304,$AS200,COLUMNS($AV$9:BD199)),""))</f>
        <v>If it is your turn, banish all {1} champions.</v>
      </c>
      <c r="BE200" s="1" t="str">
        <f>IF(IFERROR(INDEX($A$9:$X$304,$AS200,COLUMNS($AV$9:BE199)),"")=0,"",IFERROR(INDEX($A$9:$X$304,$AS200,COLUMNS($AV$9:BE199)),""))</f>
        <v/>
      </c>
      <c r="BF200" s="1" t="str">
        <f>IF(IFERROR(INDEX($A$9:$X$304,$AS200,COLUMNS($AV$9:BF199)),"")=0,"",IFERROR(INDEX($A$9:$X$304,$AS200,COLUMNS($AV$9:BF199)),""))</f>
        <v/>
      </c>
      <c r="BG200" s="1" t="str">
        <f>IF(IFERROR(INDEX($A$9:$X$304,$AS200,COLUMNS($AV$9:BG199)),"")=0,"",IFERROR(INDEX($A$9:$X$304,$AS200,COLUMNS($AV$9:BG199)),""))</f>
        <v/>
      </c>
      <c r="BH200" s="1" t="str">
        <f>IF(IFERROR(INDEX($A$9:$X$304,$AS200,COLUMNS($AV$9:BH199)),"")=0,"",IFERROR(INDEX($A$9:$X$304,$AS200,COLUMNS($AV$9:BH199)),""))</f>
        <v/>
      </c>
      <c r="BI200" s="1" t="str">
        <f>IF(IFERROR(INDEX($A$9:$X$304,$AS200,COLUMNS($AV$9:BI199)),"")=0,"",IFERROR(INDEX($A$9:$X$304,$AS200,COLUMNS($AV$9:BI199)),""))</f>
        <v/>
      </c>
      <c r="BJ200" s="1" t="str">
        <f>IF(IFERROR(INDEX($A$9:$X$304,$AS200,COLUMNS($AV$9:BJ199)),"")=0,"",IFERROR(INDEX($A$9:$X$304,$AS200,COLUMNS($AV$9:BJ199)),""))</f>
        <v>None</v>
      </c>
      <c r="BK200" s="1" t="str">
        <f>IF(IFERROR(INDEX($A$9:$X$304,$AS200,COLUMNS($AV$9:BK199)),"")=0,"",IFERROR(INDEX($A$9:$X$304,$AS200,COLUMNS($AV$9:BK199)),""))</f>
        <v>Common</v>
      </c>
      <c r="BL200" s="1" t="str">
        <f>IF(IFERROR(INDEX($A$9:$X$304,$AS200,COLUMNS($AV$9:BL199)),"")=0,"",IFERROR(INDEX($A$9:$X$304,$AS200,COLUMNS($AV$9:BL199)),""))</f>
        <v>Ina Wong</v>
      </c>
      <c r="BM200" s="1" t="str">
        <f>IF(IFERROR(INDEX($A$9:$X$304,$AS200,COLUMNS($AV$9:BM199)),"")=0,"",IFERROR(INDEX($A$9:$X$304,$AS200,COLUMNS($AV$9:BM199)),""))</f>
        <v>Tyrants: Markus' Command</v>
      </c>
      <c r="BN200" s="3" t="b">
        <f>IF(IFERROR(INDEX($A$9:$X$304,$AS200,COLUMNS($AV$9:BN199)),"")=0,"",IFERROR(INDEX($A$9:$X$304,$AS200,COLUMNS($AV$9:BN199)),""))</f>
        <v>1</v>
      </c>
      <c r="BO200" s="3" t="b">
        <f>IF(IFERROR(INDEX($A$9:$X$304,$AS200,COLUMNS($AV$9:BO199)),"")=0,"",IFERROR(INDEX($A$9:$X$304,$AS200,COLUMNS($AV$9:BO199)),""))</f>
        <v>1</v>
      </c>
      <c r="BP200" s="3" t="b">
        <f>IF(IFERROR(INDEX($A$9:$X$304,$AS200,COLUMNS($AV$9:BP199)),"")=0,"",IFERROR(INDEX($A$9:$X$304,$AS200,COLUMNS($AV$9:BP199)),""))</f>
        <v>0</v>
      </c>
      <c r="BQ200" s="3" t="b">
        <f>IF(IFERROR(INDEX($A$9:$X$304,$AS200,COLUMNS($AV$9:BQ199)),"")=0,"",IFERROR(INDEX($A$9:$X$304,$AS200,COLUMNS($AV$9:BQ199)),""))</f>
        <v>0</v>
      </c>
      <c r="BR200" s="3" t="str">
        <f>IF(IFERROR(INDEX($A$9:$X$304,$AS200,COLUMNS($AV$9:BR199)),"")=0,"",IFERROR(INDEX($A$9:$X$304,$AS200,COLUMNS($AV$9:BR199)),""))</f>
        <v>http://www.epiccardgame.com/wp-content/uploads/2016/03/quell-214x300.jpg</v>
      </c>
      <c r="BS200" s="3" t="str">
        <f>IF(IFERROR(INDEX($A$9:$X$304,$AS200,COLUMNS($AV$9:BS199)),"")=0,"",IFERROR(INDEX($A$9:$X$304,$AS200,COLUMNS($AV$9:BS199)),""))</f>
        <v/>
      </c>
      <c r="BT200" s="3"/>
      <c r="BU200" s="15"/>
      <c r="BV200" t="s">
        <v>221</v>
      </c>
    </row>
    <row r="201" spans="1:74" ht="225.2" customHeight="1" x14ac:dyDescent="0.25">
      <c r="A201" t="s">
        <v>513</v>
      </c>
      <c r="B201">
        <v>1</v>
      </c>
      <c r="C201" t="s">
        <v>617</v>
      </c>
      <c r="E201" t="s">
        <v>620</v>
      </c>
      <c r="F201">
        <v>5</v>
      </c>
      <c r="G201">
        <v>5</v>
      </c>
      <c r="H201" t="s">
        <v>22</v>
      </c>
      <c r="I201" t="s">
        <v>899</v>
      </c>
      <c r="O201" t="s">
        <v>1063</v>
      </c>
      <c r="P201" t="s">
        <v>1112</v>
      </c>
      <c r="Q201" t="s">
        <v>1114</v>
      </c>
      <c r="R201" t="s">
        <v>1175</v>
      </c>
      <c r="S201" t="b">
        <v>1</v>
      </c>
      <c r="T201" t="b">
        <v>0</v>
      </c>
      <c r="U201" t="b">
        <v>0</v>
      </c>
      <c r="V201" t="b">
        <v>0</v>
      </c>
      <c r="W201" s="2" t="s">
        <v>1376</v>
      </c>
      <c r="X201" s="2"/>
      <c r="Y201" s="24">
        <v>193</v>
      </c>
      <c r="Z201">
        <f t="shared" ref="Z201:Z264" si="60">IF((IFERROR(SEARCH($BU$6,A201), FALSE)),$Y201,0)</f>
        <v>193</v>
      </c>
      <c r="AA201">
        <f t="shared" ref="AA201:AA264" si="61">IF((IFERROR(SEARCH($BU$6,B201), FALSE)),$Y201,0)</f>
        <v>193</v>
      </c>
      <c r="AB201">
        <f t="shared" ref="AB201:AB264" si="62">IF((IFERROR(SEARCH($BU$6,C201), FALSE)),$Y201,0)</f>
        <v>193</v>
      </c>
      <c r="AC201">
        <f t="shared" ref="AC201:AC264" si="63">IF((IFERROR(SEARCH($BU$6,D201), FALSE)),$Y201,0)</f>
        <v>0</v>
      </c>
      <c r="AD201">
        <f t="shared" ref="AD201:AD264" si="64">IF((IFERROR(SEARCH($BU$6,E201), FALSE)),$Y201,0)</f>
        <v>193</v>
      </c>
      <c r="AE201">
        <f t="shared" ref="AE201:AE264" si="65">IF((IFERROR(SEARCH($BU$6,F201), FALSE)),$Y201,0)</f>
        <v>193</v>
      </c>
      <c r="AF201">
        <f t="shared" ref="AF201:AF264" si="66">IF((IFERROR(SEARCH($BU$6,G201), FALSE)),$Y201,0)</f>
        <v>193</v>
      </c>
      <c r="AG201">
        <f t="shared" ref="AG201:AG264" si="67">IF((IFERROR(SEARCH($BU$6,H201), FALSE)),$Y201,0)</f>
        <v>193</v>
      </c>
      <c r="AH201">
        <f t="shared" ref="AH201:AH264" si="68">IF((IFERROR(SEARCH($BU$6,I201), FALSE)),$Y201,0)</f>
        <v>193</v>
      </c>
      <c r="AI201">
        <f t="shared" ref="AI201:AI264" si="69">IF((IFERROR(SEARCH($BU$6,J201), FALSE)),$Y201,0)</f>
        <v>0</v>
      </c>
      <c r="AJ201">
        <f t="shared" ref="AJ201:AJ264" si="70">IF((IFERROR(SEARCH($BU$6,K201), FALSE)),$Y201,0)</f>
        <v>0</v>
      </c>
      <c r="AK201">
        <f t="shared" ref="AK201:AK264" si="71">IF((IFERROR(SEARCH($BU$6,L201), FALSE)),$Y201,0)</f>
        <v>0</v>
      </c>
      <c r="AL201">
        <f t="shared" ref="AL201:AL264" si="72">IF((IFERROR(SEARCH($BU$6,M201), FALSE)),$Y201,0)</f>
        <v>0</v>
      </c>
      <c r="AM201">
        <f t="shared" ref="AM201:AM264" si="73">IF((IFERROR(SEARCH($BU$6,N201), FALSE)),$Y201,0)</f>
        <v>0</v>
      </c>
      <c r="AN201">
        <f t="shared" ref="AN201:AN264" si="74">IF((IFERROR(SEARCH($BU$6,O201), FALSE)),$Y201,0)</f>
        <v>193</v>
      </c>
      <c r="AO201">
        <f t="shared" ref="AO201:AO264" si="75">IF((IFERROR(SEARCH($BU$6,P201), FALSE)),$Y201,0)</f>
        <v>193</v>
      </c>
      <c r="AP201">
        <f t="shared" ref="AP201:AP264" si="76">IF((IFERROR(SEARCH($BU$6,Q201), FALSE)),$Y201,0)</f>
        <v>193</v>
      </c>
      <c r="AQ201">
        <f t="shared" ref="AQ201:AQ264" si="77">IF((IFERROR(SEARCH($BU$6,R201), FALSE)),$Y201,0)</f>
        <v>193</v>
      </c>
      <c r="AR201" s="6">
        <f t="shared" si="58"/>
        <v>193</v>
      </c>
      <c r="AS201">
        <f t="shared" si="59"/>
        <v>193</v>
      </c>
      <c r="AV201" s="1" t="str">
        <f>IF(IFERROR(INDEX($A$9:$W$304,$AS201,COLUMNS($AV$9:AV200)),"")=0,"",IFERROR(INDEX($A$9:$W$304,$AS201,COLUMNS($AV$9:AV200)),""))</f>
        <v>Rabble Rouser</v>
      </c>
      <c r="AW201" s="1">
        <f>IFERROR(INDEX($A$9:$W$304,$AS201,COLUMNS($AV$9:AW200)),"")</f>
        <v>1</v>
      </c>
      <c r="AX201" s="1" t="str">
        <f>IF(IFERROR(INDEX($A$9:$X$304,$AS201,COLUMNS($AV$9:AX200)),"")=0,"",IFERROR(INDEX($A$9:$X$304,$AS201,COLUMNS($AV$9:AX200)),""))</f>
        <v>GOOD</v>
      </c>
      <c r="AY201" s="1" t="str">
        <f>IF(IFERROR(INDEX($A$9:$X$304,$AS201,COLUMNS($AV$9:AY200)),"")=0,"",IFERROR(INDEX($A$9:$X$304,$AS201,COLUMNS($AV$9:AY200)),""))</f>
        <v/>
      </c>
      <c r="AZ201" s="1" t="str">
        <f>IF(IFERROR(INDEX($A$9:$X$304,$AS201,COLUMNS($AV$9:AZ200)),"")=0,"",IFERROR(INDEX($A$9:$X$304,$AS201,COLUMNS($AV$9:AZ200)),""))</f>
        <v>CHAMPION</v>
      </c>
      <c r="BA201" s="1">
        <f>IF(IFERROR(INDEX($A$9:$X$304,$AS201,COLUMNS($AV$9:BA200)),"")=0,"",IFERROR(INDEX($A$9:$X$304,$AS201,COLUMNS($AV$9:BA200)),""))</f>
        <v>5</v>
      </c>
      <c r="BB201" s="1">
        <f>IF(IFERROR(INDEX($A$9:$X$304,$AS201,COLUMNS($AV$9:BB200)),"")=0,"",IFERROR(INDEX($A$9:$X$304,$AS201,COLUMNS($AV$9:BB200)),""))</f>
        <v>5</v>
      </c>
      <c r="BC201" s="1" t="str">
        <f>IF(IFERROR(INDEX($A$9:$X$304,$AS201,COLUMNS($AV$9:BC200)),"")=0,"",IFERROR(INDEX($A$9:$X$304,$AS201,COLUMNS($AV$9:BC200)),""))</f>
        <v>Blitz</v>
      </c>
      <c r="BD201" s="1" t="str">
        <f>IF(IFERROR(INDEX($A$9:$X$304,$AS201,COLUMNS($AV$9:BD200)),"")=0,"",IFERROR(INDEX($A$9:$X$304,$AS201,COLUMNS($AV$9:BD200)),""))</f>
        <v>{expend}: Put a human token into play, then double the number of your human tokens.</v>
      </c>
      <c r="BE201" s="1" t="str">
        <f>IF(IFERROR(INDEX($A$9:$X$304,$AS201,COLUMNS($AV$9:BE200)),"")=0,"",IFERROR(INDEX($A$9:$X$304,$AS201,COLUMNS($AV$9:BE200)),""))</f>
        <v/>
      </c>
      <c r="BF201" s="1" t="str">
        <f>IF(IFERROR(INDEX($A$9:$X$304,$AS201,COLUMNS($AV$9:BF200)),"")=0,"",IFERROR(INDEX($A$9:$X$304,$AS201,COLUMNS($AV$9:BF200)),""))</f>
        <v/>
      </c>
      <c r="BG201" s="1" t="str">
        <f>IF(IFERROR(INDEX($A$9:$X$304,$AS201,COLUMNS($AV$9:BG200)),"")=0,"",IFERROR(INDEX($A$9:$X$304,$AS201,COLUMNS($AV$9:BG200)),""))</f>
        <v/>
      </c>
      <c r="BH201" s="1" t="str">
        <f>IF(IFERROR(INDEX($A$9:$X$304,$AS201,COLUMNS($AV$9:BH200)),"")=0,"",IFERROR(INDEX($A$9:$X$304,$AS201,COLUMNS($AV$9:BH200)),""))</f>
        <v/>
      </c>
      <c r="BI201" s="1" t="str">
        <f>IF(IFERROR(INDEX($A$9:$X$304,$AS201,COLUMNS($AV$9:BI200)),"")=0,"",IFERROR(INDEX($A$9:$X$304,$AS201,COLUMNS($AV$9:BI200)),""))</f>
        <v/>
      </c>
      <c r="BJ201" s="1" t="str">
        <f>IF(IFERROR(INDEX($A$9:$X$304,$AS201,COLUMNS($AV$9:BJ200)),"")=0,"",IFERROR(INDEX($A$9:$X$304,$AS201,COLUMNS($AV$9:BJ200)),""))</f>
        <v>HUMAN</v>
      </c>
      <c r="BK201" s="1" t="str">
        <f>IF(IFERROR(INDEX($A$9:$X$304,$AS201,COLUMNS($AV$9:BK200)),"")=0,"",IFERROR(INDEX($A$9:$X$304,$AS201,COLUMNS($AV$9:BK200)),""))</f>
        <v>Common</v>
      </c>
      <c r="BL201" s="1" t="str">
        <f>IF(IFERROR(INDEX($A$9:$X$304,$AS201,COLUMNS($AV$9:BL200)),"")=0,"",IFERROR(INDEX($A$9:$X$304,$AS201,COLUMNS($AV$9:BL200)),""))</f>
        <v>Jaan-Paul van Eeden</v>
      </c>
      <c r="BM201" s="1" t="str">
        <f>IF(IFERROR(INDEX($A$9:$X$304,$AS201,COLUMNS($AV$9:BM200)),"")=0,"",IFERROR(INDEX($A$9:$X$304,$AS201,COLUMNS($AV$9:BM200)),""))</f>
        <v>Tyrants: Helion's Deceit</v>
      </c>
      <c r="BN201" s="3" t="b">
        <f>IF(IFERROR(INDEX($A$9:$X$304,$AS201,COLUMNS($AV$9:BN200)),"")=0,"",IFERROR(INDEX($A$9:$X$304,$AS201,COLUMNS($AV$9:BN200)),""))</f>
        <v>1</v>
      </c>
      <c r="BO201" s="3" t="b">
        <f>IF(IFERROR(INDEX($A$9:$X$304,$AS201,COLUMNS($AV$9:BO200)),"")=0,"",IFERROR(INDEX($A$9:$X$304,$AS201,COLUMNS($AV$9:BO200)),""))</f>
        <v>0</v>
      </c>
      <c r="BP201" s="3" t="b">
        <f>IF(IFERROR(INDEX($A$9:$X$304,$AS201,COLUMNS($AV$9:BP200)),"")=0,"",IFERROR(INDEX($A$9:$X$304,$AS201,COLUMNS($AV$9:BP200)),""))</f>
        <v>0</v>
      </c>
      <c r="BQ201" s="3" t="b">
        <f>IF(IFERROR(INDEX($A$9:$X$304,$AS201,COLUMNS($AV$9:BQ200)),"")=0,"",IFERROR(INDEX($A$9:$X$304,$AS201,COLUMNS($AV$9:BQ200)),""))</f>
        <v>0</v>
      </c>
      <c r="BR201" s="3" t="str">
        <f>IF(IFERROR(INDEX($A$9:$X$304,$AS201,COLUMNS($AV$9:BR200)),"")=0,"",IFERROR(INDEX($A$9:$X$304,$AS201,COLUMNS($AV$9:BR200)),""))</f>
        <v>http://www.epiccardgame.com/wp-content/uploads/2016/03/rabble_rouser-214x300.jpg</v>
      </c>
      <c r="BS201" s="3" t="str">
        <f>IF(IFERROR(INDEX($A$9:$X$304,$AS201,COLUMNS($AV$9:BS200)),"")=0,"",IFERROR(INDEX($A$9:$X$304,$AS201,COLUMNS($AV$9:BS200)),""))</f>
        <v/>
      </c>
      <c r="BT201" s="3"/>
      <c r="BU201" s="15"/>
      <c r="BV201" t="s">
        <v>222</v>
      </c>
    </row>
    <row r="202" spans="1:74" ht="225.2" customHeight="1" x14ac:dyDescent="0.25">
      <c r="A202" t="s">
        <v>514</v>
      </c>
      <c r="B202">
        <v>0</v>
      </c>
      <c r="C202" t="s">
        <v>615</v>
      </c>
      <c r="E202" t="s">
        <v>619</v>
      </c>
      <c r="H202" t="s">
        <v>718</v>
      </c>
      <c r="I202" t="s">
        <v>769</v>
      </c>
      <c r="O202" t="s">
        <v>1062</v>
      </c>
      <c r="P202" t="s">
        <v>1112</v>
      </c>
      <c r="Q202" t="s">
        <v>1118</v>
      </c>
      <c r="R202" t="s">
        <v>1171</v>
      </c>
      <c r="S202" t="b">
        <v>1</v>
      </c>
      <c r="T202" t="b">
        <v>1</v>
      </c>
      <c r="U202" t="b">
        <v>0</v>
      </c>
      <c r="V202" t="b">
        <v>0</v>
      </c>
      <c r="W202" s="2" t="s">
        <v>1377</v>
      </c>
      <c r="X202" s="2"/>
      <c r="Y202" s="24">
        <v>194</v>
      </c>
      <c r="Z202">
        <f t="shared" si="60"/>
        <v>194</v>
      </c>
      <c r="AA202">
        <f t="shared" si="61"/>
        <v>194</v>
      </c>
      <c r="AB202">
        <f t="shared" si="62"/>
        <v>194</v>
      </c>
      <c r="AC202">
        <f t="shared" si="63"/>
        <v>0</v>
      </c>
      <c r="AD202">
        <f t="shared" si="64"/>
        <v>194</v>
      </c>
      <c r="AE202">
        <f t="shared" si="65"/>
        <v>0</v>
      </c>
      <c r="AF202">
        <f t="shared" si="66"/>
        <v>0</v>
      </c>
      <c r="AG202">
        <f t="shared" si="67"/>
        <v>194</v>
      </c>
      <c r="AH202">
        <f t="shared" si="68"/>
        <v>194</v>
      </c>
      <c r="AI202">
        <f t="shared" si="69"/>
        <v>0</v>
      </c>
      <c r="AJ202">
        <f t="shared" si="70"/>
        <v>0</v>
      </c>
      <c r="AK202">
        <f t="shared" si="71"/>
        <v>0</v>
      </c>
      <c r="AL202">
        <f t="shared" si="72"/>
        <v>0</v>
      </c>
      <c r="AM202">
        <f t="shared" si="73"/>
        <v>0</v>
      </c>
      <c r="AN202">
        <f t="shared" si="74"/>
        <v>194</v>
      </c>
      <c r="AO202">
        <f t="shared" si="75"/>
        <v>194</v>
      </c>
      <c r="AP202">
        <f t="shared" si="76"/>
        <v>194</v>
      </c>
      <c r="AQ202">
        <f t="shared" si="77"/>
        <v>194</v>
      </c>
      <c r="AR202" s="6">
        <f t="shared" ref="AR202:AR265" si="78">IF(SUM($Z202:$AQ202)&gt;=$Y202,$Y202,"")</f>
        <v>194</v>
      </c>
      <c r="AS202">
        <f t="shared" ref="AS202:AS265" si="79">IFERROR(SMALL($AR$9:$AR$304,$Y202),"")</f>
        <v>194</v>
      </c>
      <c r="AV202" s="1" t="str">
        <f>IF(IFERROR(INDEX($A$9:$W$304,$AS202,COLUMNS($AV$9:AV201)),"")=0,"",IFERROR(INDEX($A$9:$W$304,$AS202,COLUMNS($AV$9:AV201)),""))</f>
        <v>Rage</v>
      </c>
      <c r="AW202" s="1">
        <f>IFERROR(INDEX($A$9:$W$304,$AS202,COLUMNS($AV$9:AW201)),"")</f>
        <v>0</v>
      </c>
      <c r="AX202" s="1" t="str">
        <f>IF(IFERROR(INDEX($A$9:$X$304,$AS202,COLUMNS($AV$9:AX201)),"")=0,"",IFERROR(INDEX($A$9:$X$304,$AS202,COLUMNS($AV$9:AX201)),""))</f>
        <v>WILD</v>
      </c>
      <c r="AY202" s="1" t="str">
        <f>IF(IFERROR(INDEX($A$9:$X$304,$AS202,COLUMNS($AV$9:AY201)),"")=0,"",IFERROR(INDEX($A$9:$X$304,$AS202,COLUMNS($AV$9:AY201)),""))</f>
        <v/>
      </c>
      <c r="AZ202" s="1" t="str">
        <f>IF(IFERROR(INDEX($A$9:$X$304,$AS202,COLUMNS($AV$9:AZ201)),"")=0,"",IFERROR(INDEX($A$9:$X$304,$AS202,COLUMNS($AV$9:AZ201)),""))</f>
        <v>EVENT</v>
      </c>
      <c r="BA202" s="1" t="str">
        <f>IF(IFERROR(INDEX($A$9:$X$304,$AS202,COLUMNS($AV$9:BA201)),"")=0,"",IFERROR(INDEX($A$9:$X$304,$AS202,COLUMNS($AV$9:BA201)),""))</f>
        <v/>
      </c>
      <c r="BB202" s="1" t="str">
        <f>IF(IFERROR(INDEX($A$9:$X$304,$AS202,COLUMNS($AV$9:BB201)),"")=0,"",IFERROR(INDEX($A$9:$X$304,$AS202,COLUMNS($AV$9:BB201)),""))</f>
        <v/>
      </c>
      <c r="BC202" s="1" t="str">
        <f>IF(IFERROR(INDEX($A$9:$X$304,$AS202,COLUMNS($AV$9:BC201)),"")=0,"",IFERROR(INDEX($A$9:$X$304,$AS202,COLUMNS($AV$9:BC201)),""))</f>
        <v>Target champion gains breakthrough, +4 {offense} and +4 {defense} this turn.</v>
      </c>
      <c r="BD202" s="1" t="str">
        <f>IF(IFERROR(INDEX($A$9:$X$304,$AS202,COLUMNS($AV$9:BD201)),"")=0,"",IFERROR(INDEX($A$9:$X$304,$AS202,COLUMNS($AV$9:BD201)),""))</f>
        <v>{1}: Draw two cards.</v>
      </c>
      <c r="BE202" s="1" t="str">
        <f>IF(IFERROR(INDEX($A$9:$X$304,$AS202,COLUMNS($AV$9:BE201)),"")=0,"",IFERROR(INDEX($A$9:$X$304,$AS202,COLUMNS($AV$9:BE201)),""))</f>
        <v/>
      </c>
      <c r="BF202" s="1" t="str">
        <f>IF(IFERROR(INDEX($A$9:$X$304,$AS202,COLUMNS($AV$9:BF201)),"")=0,"",IFERROR(INDEX($A$9:$X$304,$AS202,COLUMNS($AV$9:BF201)),""))</f>
        <v/>
      </c>
      <c r="BG202" s="1" t="str">
        <f>IF(IFERROR(INDEX($A$9:$X$304,$AS202,COLUMNS($AV$9:BG201)),"")=0,"",IFERROR(INDEX($A$9:$X$304,$AS202,COLUMNS($AV$9:BG201)),""))</f>
        <v/>
      </c>
      <c r="BH202" s="1" t="str">
        <f>IF(IFERROR(INDEX($A$9:$X$304,$AS202,COLUMNS($AV$9:BH201)),"")=0,"",IFERROR(INDEX($A$9:$X$304,$AS202,COLUMNS($AV$9:BH201)),""))</f>
        <v/>
      </c>
      <c r="BI202" s="1" t="str">
        <f>IF(IFERROR(INDEX($A$9:$X$304,$AS202,COLUMNS($AV$9:BI201)),"")=0,"",IFERROR(INDEX($A$9:$X$304,$AS202,COLUMNS($AV$9:BI201)),""))</f>
        <v/>
      </c>
      <c r="BJ202" s="1" t="str">
        <f>IF(IFERROR(INDEX($A$9:$X$304,$AS202,COLUMNS($AV$9:BJ201)),"")=0,"",IFERROR(INDEX($A$9:$X$304,$AS202,COLUMNS($AV$9:BJ201)),""))</f>
        <v>None</v>
      </c>
      <c r="BK202" s="1" t="str">
        <f>IF(IFERROR(INDEX($A$9:$X$304,$AS202,COLUMNS($AV$9:BK201)),"")=0,"",IFERROR(INDEX($A$9:$X$304,$AS202,COLUMNS($AV$9:BK201)),""))</f>
        <v>Common</v>
      </c>
      <c r="BL202" s="1" t="str">
        <f>IF(IFERROR(INDEX($A$9:$X$304,$AS202,COLUMNS($AV$9:BL201)),"")=0,"",IFERROR(INDEX($A$9:$X$304,$AS202,COLUMNS($AV$9:BL201)),""))</f>
        <v>L.Sean</v>
      </c>
      <c r="BM202" s="1" t="str">
        <f>IF(IFERROR(INDEX($A$9:$X$304,$AS202,COLUMNS($AV$9:BM201)),"")=0,"",IFERROR(INDEX($A$9:$X$304,$AS202,COLUMNS($AV$9:BM201)),""))</f>
        <v>Base Set</v>
      </c>
      <c r="BN202" s="3" t="b">
        <f>IF(IFERROR(INDEX($A$9:$X$304,$AS202,COLUMNS($AV$9:BN201)),"")=0,"",IFERROR(INDEX($A$9:$X$304,$AS202,COLUMNS($AV$9:BN201)),""))</f>
        <v>1</v>
      </c>
      <c r="BO202" s="3" t="b">
        <f>IF(IFERROR(INDEX($A$9:$X$304,$AS202,COLUMNS($AV$9:BO201)),"")=0,"",IFERROR(INDEX($A$9:$X$304,$AS202,COLUMNS($AV$9:BO201)),""))</f>
        <v>1</v>
      </c>
      <c r="BP202" s="3" t="b">
        <f>IF(IFERROR(INDEX($A$9:$X$304,$AS202,COLUMNS($AV$9:BP201)),"")=0,"",IFERROR(INDEX($A$9:$X$304,$AS202,COLUMNS($AV$9:BP201)),""))</f>
        <v>0</v>
      </c>
      <c r="BQ202" s="3" t="b">
        <f>IF(IFERROR(INDEX($A$9:$X$304,$AS202,COLUMNS($AV$9:BQ201)),"")=0,"",IFERROR(INDEX($A$9:$X$304,$AS202,COLUMNS($AV$9:BQ201)),""))</f>
        <v>0</v>
      </c>
      <c r="BR202" s="3" t="str">
        <f>IF(IFERROR(INDEX($A$9:$X$304,$AS202,COLUMNS($AV$9:BR201)),"")=0,"",IFERROR(INDEX($A$9:$X$304,$AS202,COLUMNS($AV$9:BR201)),""))</f>
        <v>http://www.epiccardgame.com/wp-content/uploads/2015/09/rage-215x300.jpg</v>
      </c>
      <c r="BS202" s="3" t="str">
        <f>IF(IFERROR(INDEX($A$9:$X$304,$AS202,COLUMNS($AV$9:BS201)),"")=0,"",IFERROR(INDEX($A$9:$X$304,$AS202,COLUMNS($AV$9:BS201)),""))</f>
        <v/>
      </c>
      <c r="BT202" s="3"/>
      <c r="BU202" s="15"/>
      <c r="BV202" t="s">
        <v>223</v>
      </c>
    </row>
    <row r="203" spans="1:74" ht="225.2" customHeight="1" x14ac:dyDescent="0.25">
      <c r="A203" t="s">
        <v>515</v>
      </c>
      <c r="B203">
        <v>1</v>
      </c>
      <c r="C203" t="s">
        <v>615</v>
      </c>
      <c r="E203" t="s">
        <v>620</v>
      </c>
      <c r="F203">
        <v>12</v>
      </c>
      <c r="G203">
        <v>10</v>
      </c>
      <c r="H203" t="s">
        <v>719</v>
      </c>
      <c r="I203" t="s">
        <v>900</v>
      </c>
      <c r="O203" t="s">
        <v>1066</v>
      </c>
      <c r="P203" t="s">
        <v>1112</v>
      </c>
      <c r="Q203" t="s">
        <v>1119</v>
      </c>
      <c r="R203" t="s">
        <v>1171</v>
      </c>
      <c r="S203" t="b">
        <v>1</v>
      </c>
      <c r="T203" t="b">
        <v>0</v>
      </c>
      <c r="U203" t="b">
        <v>0</v>
      </c>
      <c r="V203" t="b">
        <v>0</v>
      </c>
      <c r="W203" s="2" t="s">
        <v>1378</v>
      </c>
      <c r="X203" s="2"/>
      <c r="Y203" s="24">
        <v>195</v>
      </c>
      <c r="Z203">
        <f t="shared" si="60"/>
        <v>195</v>
      </c>
      <c r="AA203">
        <f t="shared" si="61"/>
        <v>195</v>
      </c>
      <c r="AB203">
        <f t="shared" si="62"/>
        <v>195</v>
      </c>
      <c r="AC203">
        <f t="shared" si="63"/>
        <v>0</v>
      </c>
      <c r="AD203">
        <f t="shared" si="64"/>
        <v>195</v>
      </c>
      <c r="AE203">
        <f t="shared" si="65"/>
        <v>195</v>
      </c>
      <c r="AF203">
        <f t="shared" si="66"/>
        <v>195</v>
      </c>
      <c r="AG203">
        <f t="shared" si="67"/>
        <v>195</v>
      </c>
      <c r="AH203">
        <f t="shared" si="68"/>
        <v>195</v>
      </c>
      <c r="AI203">
        <f t="shared" si="69"/>
        <v>0</v>
      </c>
      <c r="AJ203">
        <f t="shared" si="70"/>
        <v>0</v>
      </c>
      <c r="AK203">
        <f t="shared" si="71"/>
        <v>0</v>
      </c>
      <c r="AL203">
        <f t="shared" si="72"/>
        <v>0</v>
      </c>
      <c r="AM203">
        <f t="shared" si="73"/>
        <v>0</v>
      </c>
      <c r="AN203">
        <f t="shared" si="74"/>
        <v>195</v>
      </c>
      <c r="AO203">
        <f t="shared" si="75"/>
        <v>195</v>
      </c>
      <c r="AP203">
        <f t="shared" si="76"/>
        <v>195</v>
      </c>
      <c r="AQ203">
        <f t="shared" si="77"/>
        <v>195</v>
      </c>
      <c r="AR203" s="6">
        <f t="shared" si="78"/>
        <v>195</v>
      </c>
      <c r="AS203">
        <f t="shared" si="79"/>
        <v>195</v>
      </c>
      <c r="AV203" s="1" t="str">
        <f>IF(IFERROR(INDEX($A$9:$W$304,$AS203,COLUMNS($AV$9:AV202)),"")=0,"",IFERROR(INDEX($A$9:$W$304,$AS203,COLUMNS($AV$9:AV202)),""))</f>
        <v>Raging T-Rex</v>
      </c>
      <c r="AW203" s="1">
        <f>IFERROR(INDEX($A$9:$W$304,$AS203,COLUMNS($AV$9:AW202)),"")</f>
        <v>1</v>
      </c>
      <c r="AX203" s="1" t="str">
        <f>IF(IFERROR(INDEX($A$9:$X$304,$AS203,COLUMNS($AV$9:AX202)),"")=0,"",IFERROR(INDEX($A$9:$X$304,$AS203,COLUMNS($AV$9:AX202)),""))</f>
        <v>WILD</v>
      </c>
      <c r="AY203" s="1" t="str">
        <f>IF(IFERROR(INDEX($A$9:$X$304,$AS203,COLUMNS($AV$9:AY202)),"")=0,"",IFERROR(INDEX($A$9:$X$304,$AS203,COLUMNS($AV$9:AY202)),""))</f>
        <v/>
      </c>
      <c r="AZ203" s="1" t="str">
        <f>IF(IFERROR(INDEX($A$9:$X$304,$AS203,COLUMNS($AV$9:AZ202)),"")=0,"",IFERROR(INDEX($A$9:$X$304,$AS203,COLUMNS($AV$9:AZ202)),""))</f>
        <v>CHAMPION</v>
      </c>
      <c r="BA203" s="1">
        <f>IF(IFERROR(INDEX($A$9:$X$304,$AS203,COLUMNS($AV$9:BA202)),"")=0,"",IFERROR(INDEX($A$9:$X$304,$AS203,COLUMNS($AV$9:BA202)),""))</f>
        <v>12</v>
      </c>
      <c r="BB203" s="1">
        <f>IF(IFERROR(INDEX($A$9:$X$304,$AS203,COLUMNS($AV$9:BB202)),"")=0,"",IFERROR(INDEX($A$9:$X$304,$AS203,COLUMNS($AV$9:BB202)),""))</f>
        <v>10</v>
      </c>
      <c r="BC203" s="1" t="str">
        <f>IF(IFERROR(INDEX($A$9:$X$304,$AS203,COLUMNS($AV$9:BC202)),"")=0,"",IFERROR(INDEX($A$9:$X$304,$AS203,COLUMNS($AV$9:BC202)),""))</f>
        <v>Loyalty 2 → Draw two cards.</v>
      </c>
      <c r="BD203" s="1" t="str">
        <f>IF(IFERROR(INDEX($A$9:$X$304,$AS203,COLUMNS($AV$9:BD202)),"")=0,"",IFERROR(INDEX($A$9:$X$304,$AS203,COLUMNS($AV$9:BD202)),""))</f>
        <v>This card must attack each turn if able.</v>
      </c>
      <c r="BE203" s="1" t="str">
        <f>IF(IFERROR(INDEX($A$9:$X$304,$AS203,COLUMNS($AV$9:BE202)),"")=0,"",IFERROR(INDEX($A$9:$X$304,$AS203,COLUMNS($AV$9:BE202)),""))</f>
        <v/>
      </c>
      <c r="BF203" s="1" t="str">
        <f>IF(IFERROR(INDEX($A$9:$X$304,$AS203,COLUMNS($AV$9:BF202)),"")=0,"",IFERROR(INDEX($A$9:$X$304,$AS203,COLUMNS($AV$9:BF202)),""))</f>
        <v/>
      </c>
      <c r="BG203" s="1" t="str">
        <f>IF(IFERROR(INDEX($A$9:$X$304,$AS203,COLUMNS($AV$9:BG202)),"")=0,"",IFERROR(INDEX($A$9:$X$304,$AS203,COLUMNS($AV$9:BG202)),""))</f>
        <v/>
      </c>
      <c r="BH203" s="1" t="str">
        <f>IF(IFERROR(INDEX($A$9:$X$304,$AS203,COLUMNS($AV$9:BH202)),"")=0,"",IFERROR(INDEX($A$9:$X$304,$AS203,COLUMNS($AV$9:BH202)),""))</f>
        <v/>
      </c>
      <c r="BI203" s="1" t="str">
        <f>IF(IFERROR(INDEX($A$9:$X$304,$AS203,COLUMNS($AV$9:BI202)),"")=0,"",IFERROR(INDEX($A$9:$X$304,$AS203,COLUMNS($AV$9:BI202)),""))</f>
        <v/>
      </c>
      <c r="BJ203" s="1" t="str">
        <f>IF(IFERROR(INDEX($A$9:$X$304,$AS203,COLUMNS($AV$9:BJ202)),"")=0,"",IFERROR(INDEX($A$9:$X$304,$AS203,COLUMNS($AV$9:BJ202)),""))</f>
        <v>DINOSAUR</v>
      </c>
      <c r="BK203" s="1" t="str">
        <f>IF(IFERROR(INDEX($A$9:$X$304,$AS203,COLUMNS($AV$9:BK202)),"")=0,"",IFERROR(INDEX($A$9:$X$304,$AS203,COLUMNS($AV$9:BK202)),""))</f>
        <v>Common</v>
      </c>
      <c r="BL203" s="1" t="str">
        <f>IF(IFERROR(INDEX($A$9:$X$304,$AS203,COLUMNS($AV$9:BL202)),"")=0,"",IFERROR(INDEX($A$9:$X$304,$AS203,COLUMNS($AV$9:BL202)),""))</f>
        <v>Sarah McCulloch</v>
      </c>
      <c r="BM203" s="1" t="str">
        <f>IF(IFERROR(INDEX($A$9:$X$304,$AS203,COLUMNS($AV$9:BM202)),"")=0,"",IFERROR(INDEX($A$9:$X$304,$AS203,COLUMNS($AV$9:BM202)),""))</f>
        <v>Base Set</v>
      </c>
      <c r="BN203" s="3" t="b">
        <f>IF(IFERROR(INDEX($A$9:$X$304,$AS203,COLUMNS($AV$9:BN202)),"")=0,"",IFERROR(INDEX($A$9:$X$304,$AS203,COLUMNS($AV$9:BN202)),""))</f>
        <v>1</v>
      </c>
      <c r="BO203" s="3" t="b">
        <f>IF(IFERROR(INDEX($A$9:$X$304,$AS203,COLUMNS($AV$9:BO202)),"")=0,"",IFERROR(INDEX($A$9:$X$304,$AS203,COLUMNS($AV$9:BO202)),""))</f>
        <v>0</v>
      </c>
      <c r="BP203" s="3" t="b">
        <f>IF(IFERROR(INDEX($A$9:$X$304,$AS203,COLUMNS($AV$9:BP202)),"")=0,"",IFERROR(INDEX($A$9:$X$304,$AS203,COLUMNS($AV$9:BP202)),""))</f>
        <v>0</v>
      </c>
      <c r="BQ203" s="3" t="b">
        <f>IF(IFERROR(INDEX($A$9:$X$304,$AS203,COLUMNS($AV$9:BQ202)),"")=0,"",IFERROR(INDEX($A$9:$X$304,$AS203,COLUMNS($AV$9:BQ202)),""))</f>
        <v>0</v>
      </c>
      <c r="BR203" s="3" t="str">
        <f>IF(IFERROR(INDEX($A$9:$X$304,$AS203,COLUMNS($AV$9:BR202)),"")=0,"",IFERROR(INDEX($A$9:$X$304,$AS203,COLUMNS($AV$9:BR202)),""))</f>
        <v>http://www.epiccardgame.com/wp-content/uploads/2015/09/raging_t_rex-215x300.jpg</v>
      </c>
      <c r="BS203" s="3" t="str">
        <f>IF(IFERROR(INDEX($A$9:$X$304,$AS203,COLUMNS($AV$9:BS202)),"")=0,"",IFERROR(INDEX($A$9:$X$304,$AS203,COLUMNS($AV$9:BS202)),""))</f>
        <v/>
      </c>
      <c r="BT203" s="3"/>
      <c r="BU203" s="15"/>
      <c r="BV203" t="s">
        <v>224</v>
      </c>
    </row>
    <row r="204" spans="1:74" ht="225.2" customHeight="1" x14ac:dyDescent="0.25">
      <c r="A204" t="s">
        <v>516</v>
      </c>
      <c r="B204">
        <v>1</v>
      </c>
      <c r="C204" t="s">
        <v>615</v>
      </c>
      <c r="E204" t="s">
        <v>619</v>
      </c>
      <c r="H204" t="s">
        <v>627</v>
      </c>
      <c r="I204" t="s">
        <v>901</v>
      </c>
      <c r="O204" t="s">
        <v>1062</v>
      </c>
      <c r="P204" t="s">
        <v>1113</v>
      </c>
      <c r="Q204" t="s">
        <v>1117</v>
      </c>
      <c r="R204" t="s">
        <v>1171</v>
      </c>
      <c r="S204" t="b">
        <v>1</v>
      </c>
      <c r="T204" t="b">
        <v>1</v>
      </c>
      <c r="U204" t="b">
        <v>0</v>
      </c>
      <c r="V204" t="b">
        <v>0</v>
      </c>
      <c r="W204" s="2" t="s">
        <v>1379</v>
      </c>
      <c r="X204" s="2"/>
      <c r="Y204" s="24">
        <v>196</v>
      </c>
      <c r="Z204">
        <f t="shared" si="60"/>
        <v>196</v>
      </c>
      <c r="AA204">
        <f t="shared" si="61"/>
        <v>196</v>
      </c>
      <c r="AB204">
        <f t="shared" si="62"/>
        <v>196</v>
      </c>
      <c r="AC204">
        <f t="shared" si="63"/>
        <v>0</v>
      </c>
      <c r="AD204">
        <f t="shared" si="64"/>
        <v>196</v>
      </c>
      <c r="AE204">
        <f t="shared" si="65"/>
        <v>0</v>
      </c>
      <c r="AF204">
        <f t="shared" si="66"/>
        <v>0</v>
      </c>
      <c r="AG204">
        <f t="shared" si="67"/>
        <v>196</v>
      </c>
      <c r="AH204">
        <f t="shared" si="68"/>
        <v>196</v>
      </c>
      <c r="AI204">
        <f t="shared" si="69"/>
        <v>0</v>
      </c>
      <c r="AJ204">
        <f t="shared" si="70"/>
        <v>0</v>
      </c>
      <c r="AK204">
        <f t="shared" si="71"/>
        <v>0</v>
      </c>
      <c r="AL204">
        <f t="shared" si="72"/>
        <v>0</v>
      </c>
      <c r="AM204">
        <f t="shared" si="73"/>
        <v>0</v>
      </c>
      <c r="AN204">
        <f t="shared" si="74"/>
        <v>196</v>
      </c>
      <c r="AO204">
        <f t="shared" si="75"/>
        <v>196</v>
      </c>
      <c r="AP204">
        <f t="shared" si="76"/>
        <v>196</v>
      </c>
      <c r="AQ204">
        <f t="shared" si="77"/>
        <v>196</v>
      </c>
      <c r="AR204" s="6">
        <f t="shared" si="78"/>
        <v>196</v>
      </c>
      <c r="AS204">
        <f t="shared" si="79"/>
        <v>196</v>
      </c>
      <c r="AV204" s="1" t="str">
        <f>IF(IFERROR(INDEX($A$9:$W$304,$AS204,COLUMNS($AV$9:AV203)),"")=0,"",IFERROR(INDEX($A$9:$W$304,$AS204,COLUMNS($AV$9:AV203)),""))</f>
        <v>Rain of Fire</v>
      </c>
      <c r="AW204" s="1">
        <f>IFERROR(INDEX($A$9:$W$304,$AS204,COLUMNS($AV$9:AW203)),"")</f>
        <v>1</v>
      </c>
      <c r="AX204" s="1" t="str">
        <f>IF(IFERROR(INDEX($A$9:$X$304,$AS204,COLUMNS($AV$9:AX203)),"")=0,"",IFERROR(INDEX($A$9:$X$304,$AS204,COLUMNS($AV$9:AX203)),""))</f>
        <v>WILD</v>
      </c>
      <c r="AY204" s="1" t="str">
        <f>IF(IFERROR(INDEX($A$9:$X$304,$AS204,COLUMNS($AV$9:AY203)),"")=0,"",IFERROR(INDEX($A$9:$X$304,$AS204,COLUMNS($AV$9:AY203)),""))</f>
        <v/>
      </c>
      <c r="AZ204" s="1" t="str">
        <f>IF(IFERROR(INDEX($A$9:$X$304,$AS204,COLUMNS($AV$9:AZ203)),"")=0,"",IFERROR(INDEX($A$9:$X$304,$AS204,COLUMNS($AV$9:AZ203)),""))</f>
        <v>EVENT</v>
      </c>
      <c r="BA204" s="1" t="str">
        <f>IF(IFERROR(INDEX($A$9:$X$304,$AS204,COLUMNS($AV$9:BA203)),"")=0,"",IFERROR(INDEX($A$9:$X$304,$AS204,COLUMNS($AV$9:BA203)),""))</f>
        <v/>
      </c>
      <c r="BB204" s="1" t="str">
        <f>IF(IFERROR(INDEX($A$9:$X$304,$AS204,COLUMNS($AV$9:BB203)),"")=0,"",IFERROR(INDEX($A$9:$X$304,$AS204,COLUMNS($AV$9:BB203)),""))</f>
        <v/>
      </c>
      <c r="BC204" s="1" t="str">
        <f>IF(IFERROR(INDEX($A$9:$X$304,$AS204,COLUMNS($AV$9:BC203)),"")=0,"",IFERROR(INDEX($A$9:$X$304,$AS204,COLUMNS($AV$9:BC203)),""))</f>
        <v>Draw two cards.</v>
      </c>
      <c r="BD204" s="1" t="str">
        <f>IF(IFERROR(INDEX($A$9:$X$304,$AS204,COLUMNS($AV$9:BD203)),"")=0,"",IFERROR(INDEX($A$9:$X$304,$AS204,COLUMNS($AV$9:BD203)),""))</f>
        <v>Choose three targets. Deal 3 damage to the first, 4 damage to the second, and 5 damage to the third.</v>
      </c>
      <c r="BE204" s="1" t="str">
        <f>IF(IFERROR(INDEX($A$9:$X$304,$AS204,COLUMNS($AV$9:BE203)),"")=0,"",IFERROR(INDEX($A$9:$X$304,$AS204,COLUMNS($AV$9:BE203)),""))</f>
        <v/>
      </c>
      <c r="BF204" s="1" t="str">
        <f>IF(IFERROR(INDEX($A$9:$X$304,$AS204,COLUMNS($AV$9:BF203)),"")=0,"",IFERROR(INDEX($A$9:$X$304,$AS204,COLUMNS($AV$9:BF203)),""))</f>
        <v/>
      </c>
      <c r="BG204" s="1" t="str">
        <f>IF(IFERROR(INDEX($A$9:$X$304,$AS204,COLUMNS($AV$9:BG203)),"")=0,"",IFERROR(INDEX($A$9:$X$304,$AS204,COLUMNS($AV$9:BG203)),""))</f>
        <v/>
      </c>
      <c r="BH204" s="1" t="str">
        <f>IF(IFERROR(INDEX($A$9:$X$304,$AS204,COLUMNS($AV$9:BH203)),"")=0,"",IFERROR(INDEX($A$9:$X$304,$AS204,COLUMNS($AV$9:BH203)),""))</f>
        <v/>
      </c>
      <c r="BI204" s="1" t="str">
        <f>IF(IFERROR(INDEX($A$9:$X$304,$AS204,COLUMNS($AV$9:BI203)),"")=0,"",IFERROR(INDEX($A$9:$X$304,$AS204,COLUMNS($AV$9:BI203)),""))</f>
        <v/>
      </c>
      <c r="BJ204" s="1" t="str">
        <f>IF(IFERROR(INDEX($A$9:$X$304,$AS204,COLUMNS($AV$9:BJ203)),"")=0,"",IFERROR(INDEX($A$9:$X$304,$AS204,COLUMNS($AV$9:BJ203)),""))</f>
        <v>None</v>
      </c>
      <c r="BK204" s="1" t="str">
        <f>IF(IFERROR(INDEX($A$9:$X$304,$AS204,COLUMNS($AV$9:BK203)),"")=0,"",IFERROR(INDEX($A$9:$X$304,$AS204,COLUMNS($AV$9:BK203)),""))</f>
        <v>Rare</v>
      </c>
      <c r="BL204" s="1" t="str">
        <f>IF(IFERROR(INDEX($A$9:$X$304,$AS204,COLUMNS($AV$9:BL203)),"")=0,"",IFERROR(INDEX($A$9:$X$304,$AS204,COLUMNS($AV$9:BL203)),""))</f>
        <v>Antonis Papantoniou</v>
      </c>
      <c r="BM204" s="1" t="str">
        <f>IF(IFERROR(INDEX($A$9:$X$304,$AS204,COLUMNS($AV$9:BM203)),"")=0,"",IFERROR(INDEX($A$9:$X$304,$AS204,COLUMNS($AV$9:BM203)),""))</f>
        <v>Base Set</v>
      </c>
      <c r="BN204" s="3" t="b">
        <f>IF(IFERROR(INDEX($A$9:$X$304,$AS204,COLUMNS($AV$9:BN203)),"")=0,"",IFERROR(INDEX($A$9:$X$304,$AS204,COLUMNS($AV$9:BN203)),""))</f>
        <v>1</v>
      </c>
      <c r="BO204" s="3" t="b">
        <f>IF(IFERROR(INDEX($A$9:$X$304,$AS204,COLUMNS($AV$9:BO203)),"")=0,"",IFERROR(INDEX($A$9:$X$304,$AS204,COLUMNS($AV$9:BO203)),""))</f>
        <v>1</v>
      </c>
      <c r="BP204" s="3" t="b">
        <f>IF(IFERROR(INDEX($A$9:$X$304,$AS204,COLUMNS($AV$9:BP203)),"")=0,"",IFERROR(INDEX($A$9:$X$304,$AS204,COLUMNS($AV$9:BP203)),""))</f>
        <v>0</v>
      </c>
      <c r="BQ204" s="3" t="b">
        <f>IF(IFERROR(INDEX($A$9:$X$304,$AS204,COLUMNS($AV$9:BQ203)),"")=0,"",IFERROR(INDEX($A$9:$X$304,$AS204,COLUMNS($AV$9:BQ203)),""))</f>
        <v>0</v>
      </c>
      <c r="BR204" s="3" t="str">
        <f>IF(IFERROR(INDEX($A$9:$X$304,$AS204,COLUMNS($AV$9:BR203)),"")=0,"",IFERROR(INDEX($A$9:$X$304,$AS204,COLUMNS($AV$9:BR203)),""))</f>
        <v>http://www.epiccardgame.com/wp-content/uploads/2015/09/rain_of_fire-215x300.jpg</v>
      </c>
      <c r="BS204" s="3" t="str">
        <f>IF(IFERROR(INDEX($A$9:$X$304,$AS204,COLUMNS($AV$9:BS203)),"")=0,"",IFERROR(INDEX($A$9:$X$304,$AS204,COLUMNS($AV$9:BS203)),""))</f>
        <v/>
      </c>
      <c r="BT204" s="3"/>
      <c r="BU204" s="15"/>
      <c r="BV204" t="s">
        <v>225</v>
      </c>
    </row>
    <row r="205" spans="1:74" ht="225.2" customHeight="1" x14ac:dyDescent="0.25">
      <c r="A205" t="s">
        <v>517</v>
      </c>
      <c r="B205">
        <v>0</v>
      </c>
      <c r="C205" t="s">
        <v>617</v>
      </c>
      <c r="E205" t="s">
        <v>619</v>
      </c>
      <c r="H205" t="s">
        <v>720</v>
      </c>
      <c r="L205" t="s">
        <v>1044</v>
      </c>
      <c r="O205" t="s">
        <v>1063</v>
      </c>
      <c r="P205" t="s">
        <v>1112</v>
      </c>
      <c r="Q205" t="s">
        <v>1124</v>
      </c>
      <c r="R205" t="s">
        <v>1171</v>
      </c>
      <c r="S205" t="b">
        <v>1</v>
      </c>
      <c r="T205" t="b">
        <v>0</v>
      </c>
      <c r="U205" t="b">
        <v>0</v>
      </c>
      <c r="V205" t="b">
        <v>0</v>
      </c>
      <c r="W205" s="2" t="s">
        <v>1380</v>
      </c>
      <c r="X205" s="2"/>
      <c r="Y205" s="24">
        <v>197</v>
      </c>
      <c r="Z205">
        <f t="shared" si="60"/>
        <v>197</v>
      </c>
      <c r="AA205">
        <f t="shared" si="61"/>
        <v>197</v>
      </c>
      <c r="AB205">
        <f t="shared" si="62"/>
        <v>197</v>
      </c>
      <c r="AC205">
        <f t="shared" si="63"/>
        <v>0</v>
      </c>
      <c r="AD205">
        <f t="shared" si="64"/>
        <v>197</v>
      </c>
      <c r="AE205">
        <f t="shared" si="65"/>
        <v>0</v>
      </c>
      <c r="AF205">
        <f t="shared" si="66"/>
        <v>0</v>
      </c>
      <c r="AG205">
        <f t="shared" si="67"/>
        <v>197</v>
      </c>
      <c r="AH205">
        <f t="shared" si="68"/>
        <v>0</v>
      </c>
      <c r="AI205">
        <f t="shared" si="69"/>
        <v>0</v>
      </c>
      <c r="AJ205">
        <f t="shared" si="70"/>
        <v>0</v>
      </c>
      <c r="AK205">
        <f t="shared" si="71"/>
        <v>197</v>
      </c>
      <c r="AL205">
        <f t="shared" si="72"/>
        <v>0</v>
      </c>
      <c r="AM205">
        <f t="shared" si="73"/>
        <v>0</v>
      </c>
      <c r="AN205">
        <f t="shared" si="74"/>
        <v>197</v>
      </c>
      <c r="AO205">
        <f t="shared" si="75"/>
        <v>197</v>
      </c>
      <c r="AP205">
        <f t="shared" si="76"/>
        <v>197</v>
      </c>
      <c r="AQ205">
        <f t="shared" si="77"/>
        <v>197</v>
      </c>
      <c r="AR205" s="6">
        <f t="shared" si="78"/>
        <v>197</v>
      </c>
      <c r="AS205">
        <f t="shared" si="79"/>
        <v>197</v>
      </c>
      <c r="AV205" s="1" t="str">
        <f>IF(IFERROR(INDEX($A$9:$W$304,$AS205,COLUMNS($AV$9:AV204)),"")=0,"",IFERROR(INDEX($A$9:$W$304,$AS205,COLUMNS($AV$9:AV204)),""))</f>
        <v>Rally the People</v>
      </c>
      <c r="AW205" s="1">
        <f>IFERROR(INDEX($A$9:$W$304,$AS205,COLUMNS($AV$9:AW204)),"")</f>
        <v>0</v>
      </c>
      <c r="AX205" s="1" t="str">
        <f>IF(IFERROR(INDEX($A$9:$X$304,$AS205,COLUMNS($AV$9:AX204)),"")=0,"",IFERROR(INDEX($A$9:$X$304,$AS205,COLUMNS($AV$9:AX204)),""))</f>
        <v>GOOD</v>
      </c>
      <c r="AY205" s="1" t="str">
        <f>IF(IFERROR(INDEX($A$9:$X$304,$AS205,COLUMNS($AV$9:AY204)),"")=0,"",IFERROR(INDEX($A$9:$X$304,$AS205,COLUMNS($AV$9:AY204)),""))</f>
        <v/>
      </c>
      <c r="AZ205" s="1" t="str">
        <f>IF(IFERROR(INDEX($A$9:$X$304,$AS205,COLUMNS($AV$9:AZ204)),"")=0,"",IFERROR(INDEX($A$9:$X$304,$AS205,COLUMNS($AV$9:AZ204)),""))</f>
        <v>EVENT</v>
      </c>
      <c r="BA205" s="1" t="str">
        <f>IF(IFERROR(INDEX($A$9:$X$304,$AS205,COLUMNS($AV$9:BA204)),"")=0,"",IFERROR(INDEX($A$9:$X$304,$AS205,COLUMNS($AV$9:BA204)),""))</f>
        <v/>
      </c>
      <c r="BB205" s="1" t="str">
        <f>IF(IFERROR(INDEX($A$9:$X$304,$AS205,COLUMNS($AV$9:BB204)),"")=0,"",IFERROR(INDEX($A$9:$X$304,$AS205,COLUMNS($AV$9:BB204)),""))</f>
        <v/>
      </c>
      <c r="BC205" s="1" t="str">
        <f>IF(IFERROR(INDEX($A$9:$X$304,$AS205,COLUMNS($AV$9:BC204)),"")=0,"",IFERROR(INDEX($A$9:$X$304,$AS205,COLUMNS($AV$9:BC204)),""))</f>
        <v>Put a human token into play. Your champions get +1 {offense} this turn.</v>
      </c>
      <c r="BD205" s="1" t="str">
        <f>IF(IFERROR(INDEX($A$9:$X$304,$AS205,COLUMNS($AV$9:BD204)),"")=0,"",IFERROR(INDEX($A$9:$X$304,$AS205,COLUMNS($AV$9:BD204)),""))</f>
        <v/>
      </c>
      <c r="BE205" s="1" t="str">
        <f>IF(IFERROR(INDEX($A$9:$X$304,$AS205,COLUMNS($AV$9:BE204)),"")=0,"",IFERROR(INDEX($A$9:$X$304,$AS205,COLUMNS($AV$9:BE204)),""))</f>
        <v/>
      </c>
      <c r="BF205" s="1" t="str">
        <f>IF(IFERROR(INDEX($A$9:$X$304,$AS205,COLUMNS($AV$9:BF204)),"")=0,"",IFERROR(INDEX($A$9:$X$304,$AS205,COLUMNS($AV$9:BF204)),""))</f>
        <v/>
      </c>
      <c r="BG205" s="1" t="str">
        <f>IF(IFERROR(INDEX($A$9:$X$304,$AS205,COLUMNS($AV$9:BG204)),"")=0,"",IFERROR(INDEX($A$9:$X$304,$AS205,COLUMNS($AV$9:BG204)),""))</f>
        <v>{1}: Recall</v>
      </c>
      <c r="BH205" s="1" t="str">
        <f>IF(IFERROR(INDEX($A$9:$X$304,$AS205,COLUMNS($AV$9:BH204)),"")=0,"",IFERROR(INDEX($A$9:$X$304,$AS205,COLUMNS($AV$9:BH204)),""))</f>
        <v/>
      </c>
      <c r="BI205" s="1" t="str">
        <f>IF(IFERROR(INDEX($A$9:$X$304,$AS205,COLUMNS($AV$9:BI204)),"")=0,"",IFERROR(INDEX($A$9:$X$304,$AS205,COLUMNS($AV$9:BI204)),""))</f>
        <v/>
      </c>
      <c r="BJ205" s="1" t="str">
        <f>IF(IFERROR(INDEX($A$9:$X$304,$AS205,COLUMNS($AV$9:BJ204)),"")=0,"",IFERROR(INDEX($A$9:$X$304,$AS205,COLUMNS($AV$9:BJ204)),""))</f>
        <v>HUMAN</v>
      </c>
      <c r="BK205" s="1" t="str">
        <f>IF(IFERROR(INDEX($A$9:$X$304,$AS205,COLUMNS($AV$9:BK204)),"")=0,"",IFERROR(INDEX($A$9:$X$304,$AS205,COLUMNS($AV$9:BK204)),""))</f>
        <v>Common</v>
      </c>
      <c r="BL205" s="1" t="str">
        <f>IF(IFERROR(INDEX($A$9:$X$304,$AS205,COLUMNS($AV$9:BL204)),"")=0,"",IFERROR(INDEX($A$9:$X$304,$AS205,COLUMNS($AV$9:BL204)),""))</f>
        <v>Souveraine</v>
      </c>
      <c r="BM205" s="1" t="str">
        <f>IF(IFERROR(INDEX($A$9:$X$304,$AS205,COLUMNS($AV$9:BM204)),"")=0,"",IFERROR(INDEX($A$9:$X$304,$AS205,COLUMNS($AV$9:BM204)),""))</f>
        <v>Base Set</v>
      </c>
      <c r="BN205" s="3" t="b">
        <f>IF(IFERROR(INDEX($A$9:$X$304,$AS205,COLUMNS($AV$9:BN204)),"")=0,"",IFERROR(INDEX($A$9:$X$304,$AS205,COLUMNS($AV$9:BN204)),""))</f>
        <v>1</v>
      </c>
      <c r="BO205" s="3" t="b">
        <f>IF(IFERROR(INDEX($A$9:$X$304,$AS205,COLUMNS($AV$9:BO204)),"")=0,"",IFERROR(INDEX($A$9:$X$304,$AS205,COLUMNS($AV$9:BO204)),""))</f>
        <v>0</v>
      </c>
      <c r="BP205" s="3" t="b">
        <f>IF(IFERROR(INDEX($A$9:$X$304,$AS205,COLUMNS($AV$9:BP204)),"")=0,"",IFERROR(INDEX($A$9:$X$304,$AS205,COLUMNS($AV$9:BP204)),""))</f>
        <v>0</v>
      </c>
      <c r="BQ205" s="3" t="b">
        <f>IF(IFERROR(INDEX($A$9:$X$304,$AS205,COLUMNS($AV$9:BQ204)),"")=0,"",IFERROR(INDEX($A$9:$X$304,$AS205,COLUMNS($AV$9:BQ204)),""))</f>
        <v>0</v>
      </c>
      <c r="BR205" s="3" t="str">
        <f>IF(IFERROR(INDEX($A$9:$X$304,$AS205,COLUMNS($AV$9:BR204)),"")=0,"",IFERROR(INDEX($A$9:$X$304,$AS205,COLUMNS($AV$9:BR204)),""))</f>
        <v>http://www.epiccardgame.com/wp-content/uploads/2015/09/rally_the_people-215x300.jpg</v>
      </c>
      <c r="BS205" s="3" t="str">
        <f>IF(IFERROR(INDEX($A$9:$X$304,$AS205,COLUMNS($AV$9:BS204)),"")=0,"",IFERROR(INDEX($A$9:$X$304,$AS205,COLUMNS($AV$9:BS204)),""))</f>
        <v/>
      </c>
      <c r="BT205" s="3"/>
      <c r="BU205" s="15"/>
      <c r="BV205" t="s">
        <v>226</v>
      </c>
    </row>
    <row r="206" spans="1:74" ht="225.2" customHeight="1" x14ac:dyDescent="0.25">
      <c r="A206" t="s">
        <v>518</v>
      </c>
      <c r="B206">
        <v>1</v>
      </c>
      <c r="C206" t="s">
        <v>615</v>
      </c>
      <c r="E206" t="s">
        <v>620</v>
      </c>
      <c r="F206">
        <v>14</v>
      </c>
      <c r="G206">
        <v>14</v>
      </c>
      <c r="H206" t="s">
        <v>22</v>
      </c>
      <c r="I206" t="s">
        <v>902</v>
      </c>
      <c r="O206" t="s">
        <v>1071</v>
      </c>
      <c r="P206" t="s">
        <v>1112</v>
      </c>
      <c r="Q206" t="s">
        <v>1151</v>
      </c>
      <c r="R206" t="s">
        <v>1171</v>
      </c>
      <c r="S206" t="b">
        <v>1</v>
      </c>
      <c r="T206" t="b">
        <v>0</v>
      </c>
      <c r="U206" t="b">
        <v>0</v>
      </c>
      <c r="V206" t="b">
        <v>0</v>
      </c>
      <c r="W206" s="2" t="s">
        <v>1381</v>
      </c>
      <c r="X206" s="2"/>
      <c r="Y206" s="24">
        <v>198</v>
      </c>
      <c r="Z206">
        <f t="shared" si="60"/>
        <v>198</v>
      </c>
      <c r="AA206">
        <f t="shared" si="61"/>
        <v>198</v>
      </c>
      <c r="AB206">
        <f t="shared" si="62"/>
        <v>198</v>
      </c>
      <c r="AC206">
        <f t="shared" si="63"/>
        <v>0</v>
      </c>
      <c r="AD206">
        <f t="shared" si="64"/>
        <v>198</v>
      </c>
      <c r="AE206">
        <f t="shared" si="65"/>
        <v>198</v>
      </c>
      <c r="AF206">
        <f t="shared" si="66"/>
        <v>198</v>
      </c>
      <c r="AG206">
        <f t="shared" si="67"/>
        <v>198</v>
      </c>
      <c r="AH206">
        <f t="shared" si="68"/>
        <v>198</v>
      </c>
      <c r="AI206">
        <f t="shared" si="69"/>
        <v>0</v>
      </c>
      <c r="AJ206">
        <f t="shared" si="70"/>
        <v>0</v>
      </c>
      <c r="AK206">
        <f t="shared" si="71"/>
        <v>0</v>
      </c>
      <c r="AL206">
        <f t="shared" si="72"/>
        <v>0</v>
      </c>
      <c r="AM206">
        <f t="shared" si="73"/>
        <v>0</v>
      </c>
      <c r="AN206">
        <f t="shared" si="74"/>
        <v>198</v>
      </c>
      <c r="AO206">
        <f t="shared" si="75"/>
        <v>198</v>
      </c>
      <c r="AP206">
        <f t="shared" si="76"/>
        <v>198</v>
      </c>
      <c r="AQ206">
        <f t="shared" si="77"/>
        <v>198</v>
      </c>
      <c r="AR206" s="6">
        <f t="shared" si="78"/>
        <v>198</v>
      </c>
      <c r="AS206">
        <f t="shared" si="79"/>
        <v>198</v>
      </c>
      <c r="AV206" s="1" t="str">
        <f>IF(IFERROR(INDEX($A$9:$W$304,$AS206,COLUMNS($AV$9:AV205)),"")=0,"",IFERROR(INDEX($A$9:$W$304,$AS206,COLUMNS($AV$9:AV205)),""))</f>
        <v>Rampaging Wurm</v>
      </c>
      <c r="AW206" s="1">
        <f>IFERROR(INDEX($A$9:$W$304,$AS206,COLUMNS($AV$9:AW205)),"")</f>
        <v>1</v>
      </c>
      <c r="AX206" s="1" t="str">
        <f>IF(IFERROR(INDEX($A$9:$X$304,$AS206,COLUMNS($AV$9:AX205)),"")=0,"",IFERROR(INDEX($A$9:$X$304,$AS206,COLUMNS($AV$9:AX205)),""))</f>
        <v>WILD</v>
      </c>
      <c r="AY206" s="1" t="str">
        <f>IF(IFERROR(INDEX($A$9:$X$304,$AS206,COLUMNS($AV$9:AY205)),"")=0,"",IFERROR(INDEX($A$9:$X$304,$AS206,COLUMNS($AV$9:AY205)),""))</f>
        <v/>
      </c>
      <c r="AZ206" s="1" t="str">
        <f>IF(IFERROR(INDEX($A$9:$X$304,$AS206,COLUMNS($AV$9:AZ205)),"")=0,"",IFERROR(INDEX($A$9:$X$304,$AS206,COLUMNS($AV$9:AZ205)),""))</f>
        <v>CHAMPION</v>
      </c>
      <c r="BA206" s="1">
        <f>IF(IFERROR(INDEX($A$9:$X$304,$AS206,COLUMNS($AV$9:BA205)),"")=0,"",IFERROR(INDEX($A$9:$X$304,$AS206,COLUMNS($AV$9:BA205)),""))</f>
        <v>14</v>
      </c>
      <c r="BB206" s="1">
        <f>IF(IFERROR(INDEX($A$9:$X$304,$AS206,COLUMNS($AV$9:BB205)),"")=0,"",IFERROR(INDEX($A$9:$X$304,$AS206,COLUMNS($AV$9:BB205)),""))</f>
        <v>14</v>
      </c>
      <c r="BC206" s="1" t="str">
        <f>IF(IFERROR(INDEX($A$9:$X$304,$AS206,COLUMNS($AV$9:BC205)),"")=0,"",IFERROR(INDEX($A$9:$X$304,$AS206,COLUMNS($AV$9:BC205)),""))</f>
        <v>Blitz</v>
      </c>
      <c r="BD206" s="1" t="str">
        <f>IF(IFERROR(INDEX($A$9:$X$304,$AS206,COLUMNS($AV$9:BD205)),"")=0,"",IFERROR(INDEX($A$9:$X$304,$AS206,COLUMNS($AV$9:BD205)),""))</f>
        <v>(Blitz champions may attack or use expend powers the turn they enter play.)</v>
      </c>
      <c r="BE206" s="1" t="str">
        <f>IF(IFERROR(INDEX($A$9:$X$304,$AS206,COLUMNS($AV$9:BE205)),"")=0,"",IFERROR(INDEX($A$9:$X$304,$AS206,COLUMNS($AV$9:BE205)),""))</f>
        <v/>
      </c>
      <c r="BF206" s="1" t="str">
        <f>IF(IFERROR(INDEX($A$9:$X$304,$AS206,COLUMNS($AV$9:BF205)),"")=0,"",IFERROR(INDEX($A$9:$X$304,$AS206,COLUMNS($AV$9:BF205)),""))</f>
        <v/>
      </c>
      <c r="BG206" s="1" t="str">
        <f>IF(IFERROR(INDEX($A$9:$X$304,$AS206,COLUMNS($AV$9:BG205)),"")=0,"",IFERROR(INDEX($A$9:$X$304,$AS206,COLUMNS($AV$9:BG205)),""))</f>
        <v/>
      </c>
      <c r="BH206" s="1" t="str">
        <f>IF(IFERROR(INDEX($A$9:$X$304,$AS206,COLUMNS($AV$9:BH205)),"")=0,"",IFERROR(INDEX($A$9:$X$304,$AS206,COLUMNS($AV$9:BH205)),""))</f>
        <v/>
      </c>
      <c r="BI206" s="1" t="str">
        <f>IF(IFERROR(INDEX($A$9:$X$304,$AS206,COLUMNS($AV$9:BI205)),"")=0,"",IFERROR(INDEX($A$9:$X$304,$AS206,COLUMNS($AV$9:BI205)),""))</f>
        <v/>
      </c>
      <c r="BJ206" s="1" t="str">
        <f>IF(IFERROR(INDEX($A$9:$X$304,$AS206,COLUMNS($AV$9:BJ205)),"")=0,"",IFERROR(INDEX($A$9:$X$304,$AS206,COLUMNS($AV$9:BJ205)),""))</f>
        <v>WURM</v>
      </c>
      <c r="BK206" s="1" t="str">
        <f>IF(IFERROR(INDEX($A$9:$X$304,$AS206,COLUMNS($AV$9:BK205)),"")=0,"",IFERROR(INDEX($A$9:$X$304,$AS206,COLUMNS($AV$9:BK205)),""))</f>
        <v>Common</v>
      </c>
      <c r="BL206" s="1" t="str">
        <f>IF(IFERROR(INDEX($A$9:$X$304,$AS206,COLUMNS($AV$9:BL205)),"")=0,"",IFERROR(INDEX($A$9:$X$304,$AS206,COLUMNS($AV$9:BL205)),""))</f>
        <v>Daniel Dussault</v>
      </c>
      <c r="BM206" s="1" t="str">
        <f>IF(IFERROR(INDEX($A$9:$X$304,$AS206,COLUMNS($AV$9:BM205)),"")=0,"",IFERROR(INDEX($A$9:$X$304,$AS206,COLUMNS($AV$9:BM205)),""))</f>
        <v>Base Set</v>
      </c>
      <c r="BN206" s="3" t="b">
        <f>IF(IFERROR(INDEX($A$9:$X$304,$AS206,COLUMNS($AV$9:BN205)),"")=0,"",IFERROR(INDEX($A$9:$X$304,$AS206,COLUMNS($AV$9:BN205)),""))</f>
        <v>1</v>
      </c>
      <c r="BO206" s="3" t="b">
        <f>IF(IFERROR(INDEX($A$9:$X$304,$AS206,COLUMNS($AV$9:BO205)),"")=0,"",IFERROR(INDEX($A$9:$X$304,$AS206,COLUMNS($AV$9:BO205)),""))</f>
        <v>0</v>
      </c>
      <c r="BP206" s="3" t="b">
        <f>IF(IFERROR(INDEX($A$9:$X$304,$AS206,COLUMNS($AV$9:BP205)),"")=0,"",IFERROR(INDEX($A$9:$X$304,$AS206,COLUMNS($AV$9:BP205)),""))</f>
        <v>0</v>
      </c>
      <c r="BQ206" s="3" t="b">
        <f>IF(IFERROR(INDEX($A$9:$X$304,$AS206,COLUMNS($AV$9:BQ205)),"")=0,"",IFERROR(INDEX($A$9:$X$304,$AS206,COLUMNS($AV$9:BQ205)),""))</f>
        <v>0</v>
      </c>
      <c r="BR206" s="3" t="str">
        <f>IF(IFERROR(INDEX($A$9:$X$304,$AS206,COLUMNS($AV$9:BR205)),"")=0,"",IFERROR(INDEX($A$9:$X$304,$AS206,COLUMNS($AV$9:BR205)),""))</f>
        <v>http://www.epiccardgame.com/wp-content/uploads/2015/09/rampaging_wurm-215x300.jpg</v>
      </c>
      <c r="BS206" s="3" t="str">
        <f>IF(IFERROR(INDEX($A$9:$X$304,$AS206,COLUMNS($AV$9:BS205)),"")=0,"",IFERROR(INDEX($A$9:$X$304,$AS206,COLUMNS($AV$9:BS205)),""))</f>
        <v/>
      </c>
      <c r="BT206" s="3"/>
      <c r="BU206" s="15"/>
      <c r="BV206" t="s">
        <v>227</v>
      </c>
    </row>
    <row r="207" spans="1:74" ht="225.2" customHeight="1" x14ac:dyDescent="0.25">
      <c r="A207" t="s">
        <v>519</v>
      </c>
      <c r="B207">
        <v>0</v>
      </c>
      <c r="C207" t="s">
        <v>618</v>
      </c>
      <c r="E207" t="s">
        <v>619</v>
      </c>
      <c r="H207" t="s">
        <v>721</v>
      </c>
      <c r="I207" t="s">
        <v>769</v>
      </c>
      <c r="O207" t="s">
        <v>1102</v>
      </c>
      <c r="P207" t="s">
        <v>1113</v>
      </c>
      <c r="Q207" t="s">
        <v>1139</v>
      </c>
      <c r="R207" t="s">
        <v>1175</v>
      </c>
      <c r="S207" t="b">
        <v>1</v>
      </c>
      <c r="T207" t="b">
        <v>1</v>
      </c>
      <c r="U207" t="b">
        <v>0</v>
      </c>
      <c r="V207" t="b">
        <v>0</v>
      </c>
      <c r="W207" s="2" t="s">
        <v>1382</v>
      </c>
      <c r="X207" s="2"/>
      <c r="Y207" s="24">
        <v>199</v>
      </c>
      <c r="Z207">
        <f t="shared" si="60"/>
        <v>199</v>
      </c>
      <c r="AA207">
        <f t="shared" si="61"/>
        <v>199</v>
      </c>
      <c r="AB207">
        <f t="shared" si="62"/>
        <v>199</v>
      </c>
      <c r="AC207">
        <f t="shared" si="63"/>
        <v>0</v>
      </c>
      <c r="AD207">
        <f t="shared" si="64"/>
        <v>199</v>
      </c>
      <c r="AE207">
        <f t="shared" si="65"/>
        <v>0</v>
      </c>
      <c r="AF207">
        <f t="shared" si="66"/>
        <v>0</v>
      </c>
      <c r="AG207">
        <f t="shared" si="67"/>
        <v>199</v>
      </c>
      <c r="AH207">
        <f t="shared" si="68"/>
        <v>199</v>
      </c>
      <c r="AI207">
        <f t="shared" si="69"/>
        <v>0</v>
      </c>
      <c r="AJ207">
        <f t="shared" si="70"/>
        <v>0</v>
      </c>
      <c r="AK207">
        <f t="shared" si="71"/>
        <v>0</v>
      </c>
      <c r="AL207">
        <f t="shared" si="72"/>
        <v>0</v>
      </c>
      <c r="AM207">
        <f t="shared" si="73"/>
        <v>0</v>
      </c>
      <c r="AN207">
        <f t="shared" si="74"/>
        <v>199</v>
      </c>
      <c r="AO207">
        <f t="shared" si="75"/>
        <v>199</v>
      </c>
      <c r="AP207">
        <f t="shared" si="76"/>
        <v>199</v>
      </c>
      <c r="AQ207">
        <f t="shared" si="77"/>
        <v>199</v>
      </c>
      <c r="AR207" s="6">
        <f t="shared" si="78"/>
        <v>199</v>
      </c>
      <c r="AS207">
        <f t="shared" si="79"/>
        <v>199</v>
      </c>
      <c r="AV207" s="1" t="str">
        <f>IF(IFERROR(INDEX($A$9:$W$304,$AS207,COLUMNS($AV$9:AV206)),"")=0,"",IFERROR(INDEX($A$9:$W$304,$AS207,COLUMNS($AV$9:AV206)),""))</f>
        <v>Raxxa's Curse</v>
      </c>
      <c r="AW207" s="1">
        <f>IFERROR(INDEX($A$9:$W$304,$AS207,COLUMNS($AV$9:AW206)),"")</f>
        <v>0</v>
      </c>
      <c r="AX207" s="1" t="str">
        <f>IF(IFERROR(INDEX($A$9:$X$304,$AS207,COLUMNS($AV$9:AX206)),"")=0,"",IFERROR(INDEX($A$9:$X$304,$AS207,COLUMNS($AV$9:AX206)),""))</f>
        <v>EVIL</v>
      </c>
      <c r="AY207" s="1" t="str">
        <f>IF(IFERROR(INDEX($A$9:$X$304,$AS207,COLUMNS($AV$9:AY206)),"")=0,"",IFERROR(INDEX($A$9:$X$304,$AS207,COLUMNS($AV$9:AY206)),""))</f>
        <v/>
      </c>
      <c r="AZ207" s="1" t="str">
        <f>IF(IFERROR(INDEX($A$9:$X$304,$AS207,COLUMNS($AV$9:AZ206)),"")=0,"",IFERROR(INDEX($A$9:$X$304,$AS207,COLUMNS($AV$9:AZ206)),""))</f>
        <v>EVENT</v>
      </c>
      <c r="BA207" s="1" t="str">
        <f>IF(IFERROR(INDEX($A$9:$X$304,$AS207,COLUMNS($AV$9:BA206)),"")=0,"",IFERROR(INDEX($A$9:$X$304,$AS207,COLUMNS($AV$9:BA206)),""))</f>
        <v/>
      </c>
      <c r="BB207" s="1" t="str">
        <f>IF(IFERROR(INDEX($A$9:$X$304,$AS207,COLUMNS($AV$9:BB206)),"")=0,"",IFERROR(INDEX($A$9:$X$304,$AS207,COLUMNS($AV$9:BB206)),""))</f>
        <v/>
      </c>
      <c r="BC207" s="1" t="str">
        <f>IF(IFERROR(INDEX($A$9:$X$304,$AS207,COLUMNS($AV$9:BC206)),"")=0,"",IFERROR(INDEX($A$9:$X$304,$AS207,COLUMNS($AV$9:BC206)),""))</f>
        <v>Put a demon token into play, then break target {0} champion.</v>
      </c>
      <c r="BD207" s="1" t="str">
        <f>IF(IFERROR(INDEX($A$9:$X$304,$AS207,COLUMNS($AV$9:BD206)),"")=0,"",IFERROR(INDEX($A$9:$X$304,$AS207,COLUMNS($AV$9:BD206)),""))</f>
        <v>{1}: Draw two cards.</v>
      </c>
      <c r="BE207" s="1" t="str">
        <f>IF(IFERROR(INDEX($A$9:$X$304,$AS207,COLUMNS($AV$9:BE206)),"")=0,"",IFERROR(INDEX($A$9:$X$304,$AS207,COLUMNS($AV$9:BE206)),""))</f>
        <v/>
      </c>
      <c r="BF207" s="1" t="str">
        <f>IF(IFERROR(INDEX($A$9:$X$304,$AS207,COLUMNS($AV$9:BF206)),"")=0,"",IFERROR(INDEX($A$9:$X$304,$AS207,COLUMNS($AV$9:BF206)),""))</f>
        <v/>
      </c>
      <c r="BG207" s="1" t="str">
        <f>IF(IFERROR(INDEX($A$9:$X$304,$AS207,COLUMNS($AV$9:BG206)),"")=0,"",IFERROR(INDEX($A$9:$X$304,$AS207,COLUMNS($AV$9:BG206)),""))</f>
        <v/>
      </c>
      <c r="BH207" s="1" t="str">
        <f>IF(IFERROR(INDEX($A$9:$X$304,$AS207,COLUMNS($AV$9:BH206)),"")=0,"",IFERROR(INDEX($A$9:$X$304,$AS207,COLUMNS($AV$9:BH206)),""))</f>
        <v/>
      </c>
      <c r="BI207" s="1" t="str">
        <f>IF(IFERROR(INDEX($A$9:$X$304,$AS207,COLUMNS($AV$9:BI206)),"")=0,"",IFERROR(INDEX($A$9:$X$304,$AS207,COLUMNS($AV$9:BI206)),""))</f>
        <v/>
      </c>
      <c r="BJ207" s="1" t="str">
        <f>IF(IFERROR(INDEX($A$9:$X$304,$AS207,COLUMNS($AV$9:BJ206)),"")=0,"",IFERROR(INDEX($A$9:$X$304,$AS207,COLUMNS($AV$9:BJ206)),""))</f>
        <v>DEMON TYRANT</v>
      </c>
      <c r="BK207" s="1" t="str">
        <f>IF(IFERROR(INDEX($A$9:$X$304,$AS207,COLUMNS($AV$9:BK206)),"")=0,"",IFERROR(INDEX($A$9:$X$304,$AS207,COLUMNS($AV$9:BK206)),""))</f>
        <v>Rare</v>
      </c>
      <c r="BL207" s="1" t="str">
        <f>IF(IFERROR(INDEX($A$9:$X$304,$AS207,COLUMNS($AV$9:BL206)),"")=0,"",IFERROR(INDEX($A$9:$X$304,$AS207,COLUMNS($AV$9:BL206)),""))</f>
        <v>Bramasta Aji</v>
      </c>
      <c r="BM207" s="1" t="str">
        <f>IF(IFERROR(INDEX($A$9:$X$304,$AS207,COLUMNS($AV$9:BM206)),"")=0,"",IFERROR(INDEX($A$9:$X$304,$AS207,COLUMNS($AV$9:BM206)),""))</f>
        <v>Tyrants: Helion's Deceit</v>
      </c>
      <c r="BN207" s="3" t="b">
        <f>IF(IFERROR(INDEX($A$9:$X$304,$AS207,COLUMNS($AV$9:BN206)),"")=0,"",IFERROR(INDEX($A$9:$X$304,$AS207,COLUMNS($AV$9:BN206)),""))</f>
        <v>1</v>
      </c>
      <c r="BO207" s="3" t="b">
        <f>IF(IFERROR(INDEX($A$9:$X$304,$AS207,COLUMNS($AV$9:BO206)),"")=0,"",IFERROR(INDEX($A$9:$X$304,$AS207,COLUMNS($AV$9:BO206)),""))</f>
        <v>1</v>
      </c>
      <c r="BP207" s="3" t="b">
        <f>IF(IFERROR(INDEX($A$9:$X$304,$AS207,COLUMNS($AV$9:BP206)),"")=0,"",IFERROR(INDEX($A$9:$X$304,$AS207,COLUMNS($AV$9:BP206)),""))</f>
        <v>0</v>
      </c>
      <c r="BQ207" s="3" t="b">
        <f>IF(IFERROR(INDEX($A$9:$X$304,$AS207,COLUMNS($AV$9:BQ206)),"")=0,"",IFERROR(INDEX($A$9:$X$304,$AS207,COLUMNS($AV$9:BQ206)),""))</f>
        <v>0</v>
      </c>
      <c r="BR207" s="3" t="str">
        <f>IF(IFERROR(INDEX($A$9:$X$304,$AS207,COLUMNS($AV$9:BR206)),"")=0,"",IFERROR(INDEX($A$9:$X$304,$AS207,COLUMNS($AV$9:BR206)),""))</f>
        <v>http://www.epiccardgame.com/wp-content/uploads/2016/03/raxxas_curse-214x300.jpg</v>
      </c>
      <c r="BS207" s="3" t="str">
        <f>IF(IFERROR(INDEX($A$9:$X$304,$AS207,COLUMNS($AV$9:BS206)),"")=0,"",IFERROR(INDEX($A$9:$X$304,$AS207,COLUMNS($AV$9:BS206)),""))</f>
        <v/>
      </c>
      <c r="BT207" s="3"/>
      <c r="BU207" s="15"/>
      <c r="BV207" t="s">
        <v>228</v>
      </c>
    </row>
    <row r="208" spans="1:74" ht="225.2" customHeight="1" x14ac:dyDescent="0.25">
      <c r="A208" t="s">
        <v>520</v>
      </c>
      <c r="B208">
        <v>1</v>
      </c>
      <c r="C208" t="s">
        <v>618</v>
      </c>
      <c r="E208" t="s">
        <v>619</v>
      </c>
      <c r="H208" t="s">
        <v>627</v>
      </c>
      <c r="I208" t="s">
        <v>903</v>
      </c>
      <c r="O208" t="s">
        <v>1102</v>
      </c>
      <c r="P208" t="s">
        <v>1112</v>
      </c>
      <c r="Q208" t="s">
        <v>1139</v>
      </c>
      <c r="R208" t="s">
        <v>1183</v>
      </c>
      <c r="S208" t="b">
        <v>1</v>
      </c>
      <c r="T208" t="b">
        <v>1</v>
      </c>
      <c r="U208" t="b">
        <v>0</v>
      </c>
      <c r="V208" t="b">
        <v>0</v>
      </c>
      <c r="W208" s="2" t="s">
        <v>1383</v>
      </c>
      <c r="X208" s="2"/>
      <c r="Y208" s="24">
        <v>200</v>
      </c>
      <c r="Z208">
        <f t="shared" si="60"/>
        <v>200</v>
      </c>
      <c r="AA208">
        <f t="shared" si="61"/>
        <v>200</v>
      </c>
      <c r="AB208">
        <f t="shared" si="62"/>
        <v>200</v>
      </c>
      <c r="AC208">
        <f t="shared" si="63"/>
        <v>0</v>
      </c>
      <c r="AD208">
        <f t="shared" si="64"/>
        <v>200</v>
      </c>
      <c r="AE208">
        <f t="shared" si="65"/>
        <v>0</v>
      </c>
      <c r="AF208">
        <f t="shared" si="66"/>
        <v>0</v>
      </c>
      <c r="AG208">
        <f t="shared" si="67"/>
        <v>200</v>
      </c>
      <c r="AH208">
        <f t="shared" si="68"/>
        <v>200</v>
      </c>
      <c r="AI208">
        <f t="shared" si="69"/>
        <v>0</v>
      </c>
      <c r="AJ208">
        <f t="shared" si="70"/>
        <v>0</v>
      </c>
      <c r="AK208">
        <f t="shared" si="71"/>
        <v>0</v>
      </c>
      <c r="AL208">
        <f t="shared" si="72"/>
        <v>0</v>
      </c>
      <c r="AM208">
        <f t="shared" si="73"/>
        <v>0</v>
      </c>
      <c r="AN208">
        <f t="shared" si="74"/>
        <v>200</v>
      </c>
      <c r="AO208">
        <f t="shared" si="75"/>
        <v>200</v>
      </c>
      <c r="AP208">
        <f t="shared" si="76"/>
        <v>200</v>
      </c>
      <c r="AQ208">
        <f t="shared" si="77"/>
        <v>200</v>
      </c>
      <c r="AR208" s="6">
        <f t="shared" si="78"/>
        <v>200</v>
      </c>
      <c r="AS208">
        <f t="shared" si="79"/>
        <v>200</v>
      </c>
      <c r="AV208" s="1" t="str">
        <f>IF(IFERROR(INDEX($A$9:$W$304,$AS208,COLUMNS($AV$9:AV207)),"")=0,"",IFERROR(INDEX($A$9:$W$304,$AS208,COLUMNS($AV$9:AV207)),""))</f>
        <v>Raxxa's Displeasure</v>
      </c>
      <c r="AW208" s="1">
        <f>IFERROR(INDEX($A$9:$W$304,$AS208,COLUMNS($AV$9:AW207)),"")</f>
        <v>1</v>
      </c>
      <c r="AX208" s="1" t="str">
        <f>IF(IFERROR(INDEX($A$9:$X$304,$AS208,COLUMNS($AV$9:AX207)),"")=0,"",IFERROR(INDEX($A$9:$X$304,$AS208,COLUMNS($AV$9:AX207)),""))</f>
        <v>EVIL</v>
      </c>
      <c r="AY208" s="1" t="str">
        <f>IF(IFERROR(INDEX($A$9:$X$304,$AS208,COLUMNS($AV$9:AY207)),"")=0,"",IFERROR(INDEX($A$9:$X$304,$AS208,COLUMNS($AV$9:AY207)),""))</f>
        <v/>
      </c>
      <c r="AZ208" s="1" t="str">
        <f>IF(IFERROR(INDEX($A$9:$X$304,$AS208,COLUMNS($AV$9:AZ207)),"")=0,"",IFERROR(INDEX($A$9:$X$304,$AS208,COLUMNS($AV$9:AZ207)),""))</f>
        <v>EVENT</v>
      </c>
      <c r="BA208" s="1" t="str">
        <f>IF(IFERROR(INDEX($A$9:$X$304,$AS208,COLUMNS($AV$9:BA207)),"")=0,"",IFERROR(INDEX($A$9:$X$304,$AS208,COLUMNS($AV$9:BA207)),""))</f>
        <v/>
      </c>
      <c r="BB208" s="1" t="str">
        <f>IF(IFERROR(INDEX($A$9:$X$304,$AS208,COLUMNS($AV$9:BB207)),"")=0,"",IFERROR(INDEX($A$9:$X$304,$AS208,COLUMNS($AV$9:BB207)),""))</f>
        <v/>
      </c>
      <c r="BC208" s="1" t="str">
        <f>IF(IFERROR(INDEX($A$9:$X$304,$AS208,COLUMNS($AV$9:BC207)),"")=0,"",IFERROR(INDEX($A$9:$X$304,$AS208,COLUMNS($AV$9:BC207)),""))</f>
        <v>Draw two cards.</v>
      </c>
      <c r="BD208" s="1" t="str">
        <f>IF(IFERROR(INDEX($A$9:$X$304,$AS208,COLUMNS($AV$9:BD207)),"")=0,"",IFERROR(INDEX($A$9:$X$304,$AS208,COLUMNS($AV$9:BD207)),""))</f>
        <v>If it is your turn, break all non-demon champions.</v>
      </c>
      <c r="BE208" s="1" t="str">
        <f>IF(IFERROR(INDEX($A$9:$X$304,$AS208,COLUMNS($AV$9:BE207)),"")=0,"",IFERROR(INDEX($A$9:$X$304,$AS208,COLUMNS($AV$9:BE207)),""))</f>
        <v/>
      </c>
      <c r="BF208" s="1" t="str">
        <f>IF(IFERROR(INDEX($A$9:$X$304,$AS208,COLUMNS($AV$9:BF207)),"")=0,"",IFERROR(INDEX($A$9:$X$304,$AS208,COLUMNS($AV$9:BF207)),""))</f>
        <v/>
      </c>
      <c r="BG208" s="1" t="str">
        <f>IF(IFERROR(INDEX($A$9:$X$304,$AS208,COLUMNS($AV$9:BG207)),"")=0,"",IFERROR(INDEX($A$9:$X$304,$AS208,COLUMNS($AV$9:BG207)),""))</f>
        <v/>
      </c>
      <c r="BH208" s="1" t="str">
        <f>IF(IFERROR(INDEX($A$9:$X$304,$AS208,COLUMNS($AV$9:BH207)),"")=0,"",IFERROR(INDEX($A$9:$X$304,$AS208,COLUMNS($AV$9:BH207)),""))</f>
        <v/>
      </c>
      <c r="BI208" s="1" t="str">
        <f>IF(IFERROR(INDEX($A$9:$X$304,$AS208,COLUMNS($AV$9:BI207)),"")=0,"",IFERROR(INDEX($A$9:$X$304,$AS208,COLUMNS($AV$9:BI207)),""))</f>
        <v/>
      </c>
      <c r="BJ208" s="1" t="str">
        <f>IF(IFERROR(INDEX($A$9:$X$304,$AS208,COLUMNS($AV$9:BJ207)),"")=0,"",IFERROR(INDEX($A$9:$X$304,$AS208,COLUMNS($AV$9:BJ207)),""))</f>
        <v>DEMON TYRANT</v>
      </c>
      <c r="BK208" s="1" t="str">
        <f>IF(IFERROR(INDEX($A$9:$X$304,$AS208,COLUMNS($AV$9:BK207)),"")=0,"",IFERROR(INDEX($A$9:$X$304,$AS208,COLUMNS($AV$9:BK207)),""))</f>
        <v>Common</v>
      </c>
      <c r="BL208" s="1" t="str">
        <f>IF(IFERROR(INDEX($A$9:$X$304,$AS208,COLUMNS($AV$9:BL207)),"")=0,"",IFERROR(INDEX($A$9:$X$304,$AS208,COLUMNS($AV$9:BL207)),""))</f>
        <v>Bramasta Aji</v>
      </c>
      <c r="BM208" s="1" t="str">
        <f>IF(IFERROR(INDEX($A$9:$X$304,$AS208,COLUMNS($AV$9:BM207)),"")=0,"",IFERROR(INDEX($A$9:$X$304,$AS208,COLUMNS($AV$9:BM207)),""))</f>
        <v>Tyrants: Raxxa's Revenge</v>
      </c>
      <c r="BN208" s="3" t="b">
        <f>IF(IFERROR(INDEX($A$9:$X$304,$AS208,COLUMNS($AV$9:BN207)),"")=0,"",IFERROR(INDEX($A$9:$X$304,$AS208,COLUMNS($AV$9:BN207)),""))</f>
        <v>1</v>
      </c>
      <c r="BO208" s="3" t="b">
        <f>IF(IFERROR(INDEX($A$9:$X$304,$AS208,COLUMNS($AV$9:BO207)),"")=0,"",IFERROR(INDEX($A$9:$X$304,$AS208,COLUMNS($AV$9:BO207)),""))</f>
        <v>1</v>
      </c>
      <c r="BP208" s="3" t="b">
        <f>IF(IFERROR(INDEX($A$9:$X$304,$AS208,COLUMNS($AV$9:BP207)),"")=0,"",IFERROR(INDEX($A$9:$X$304,$AS208,COLUMNS($AV$9:BP207)),""))</f>
        <v>0</v>
      </c>
      <c r="BQ208" s="3" t="b">
        <f>IF(IFERROR(INDEX($A$9:$X$304,$AS208,COLUMNS($AV$9:BQ207)),"")=0,"",IFERROR(INDEX($A$9:$X$304,$AS208,COLUMNS($AV$9:BQ207)),""))</f>
        <v>0</v>
      </c>
      <c r="BR208" s="3" t="str">
        <f>IF(IFERROR(INDEX($A$9:$X$304,$AS208,COLUMNS($AV$9:BR207)),"")=0,"",IFERROR(INDEX($A$9:$X$304,$AS208,COLUMNS($AV$9:BR207)),""))</f>
        <v>http://www.epiccardgame.com/wp-content/uploads/2016/03/raxxas_displeasure-214x300.jpg</v>
      </c>
      <c r="BS208" s="3" t="str">
        <f>IF(IFERROR(INDEX($A$9:$X$304,$AS208,COLUMNS($AV$9:BS207)),"")=0,"",IFERROR(INDEX($A$9:$X$304,$AS208,COLUMNS($AV$9:BS207)),""))</f>
        <v/>
      </c>
      <c r="BT208" s="3"/>
      <c r="BU208" s="15"/>
      <c r="BV208" t="s">
        <v>229</v>
      </c>
    </row>
    <row r="209" spans="1:74" ht="225.2" customHeight="1" x14ac:dyDescent="0.25">
      <c r="A209" t="s">
        <v>521</v>
      </c>
      <c r="B209">
        <v>1</v>
      </c>
      <c r="C209" t="s">
        <v>618</v>
      </c>
      <c r="E209" t="s">
        <v>620</v>
      </c>
      <c r="F209">
        <v>8</v>
      </c>
      <c r="G209">
        <v>5</v>
      </c>
      <c r="H209" t="s">
        <v>722</v>
      </c>
      <c r="I209" t="s">
        <v>904</v>
      </c>
      <c r="O209" t="s">
        <v>1078</v>
      </c>
      <c r="P209" t="s">
        <v>1112</v>
      </c>
      <c r="Q209" t="s">
        <v>1125</v>
      </c>
      <c r="R209" t="s">
        <v>1172</v>
      </c>
      <c r="S209" t="b">
        <v>1</v>
      </c>
      <c r="T209" t="b">
        <v>0</v>
      </c>
      <c r="U209" t="b">
        <v>0</v>
      </c>
      <c r="V209" t="b">
        <v>0</v>
      </c>
      <c r="W209" s="2" t="s">
        <v>1384</v>
      </c>
      <c r="X209" s="2"/>
      <c r="Y209" s="24">
        <v>201</v>
      </c>
      <c r="Z209">
        <f t="shared" si="60"/>
        <v>201</v>
      </c>
      <c r="AA209">
        <f t="shared" si="61"/>
        <v>201</v>
      </c>
      <c r="AB209">
        <f t="shared" si="62"/>
        <v>201</v>
      </c>
      <c r="AC209">
        <f t="shared" si="63"/>
        <v>0</v>
      </c>
      <c r="AD209">
        <f t="shared" si="64"/>
        <v>201</v>
      </c>
      <c r="AE209">
        <f t="shared" si="65"/>
        <v>201</v>
      </c>
      <c r="AF209">
        <f t="shared" si="66"/>
        <v>201</v>
      </c>
      <c r="AG209">
        <f t="shared" si="67"/>
        <v>201</v>
      </c>
      <c r="AH209">
        <f t="shared" si="68"/>
        <v>201</v>
      </c>
      <c r="AI209">
        <f t="shared" si="69"/>
        <v>0</v>
      </c>
      <c r="AJ209">
        <f t="shared" si="70"/>
        <v>0</v>
      </c>
      <c r="AK209">
        <f t="shared" si="71"/>
        <v>0</v>
      </c>
      <c r="AL209">
        <f t="shared" si="72"/>
        <v>0</v>
      </c>
      <c r="AM209">
        <f t="shared" si="73"/>
        <v>0</v>
      </c>
      <c r="AN209">
        <f t="shared" si="74"/>
        <v>201</v>
      </c>
      <c r="AO209">
        <f t="shared" si="75"/>
        <v>201</v>
      </c>
      <c r="AP209">
        <f t="shared" si="76"/>
        <v>201</v>
      </c>
      <c r="AQ209">
        <f t="shared" si="77"/>
        <v>201</v>
      </c>
      <c r="AR209" s="6">
        <f t="shared" si="78"/>
        <v>201</v>
      </c>
      <c r="AS209">
        <f t="shared" si="79"/>
        <v>201</v>
      </c>
      <c r="AV209" s="1" t="str">
        <f>IF(IFERROR(INDEX($A$9:$W$304,$AS209,COLUMNS($AV$9:AV208)),"")=0,"",IFERROR(INDEX($A$9:$W$304,$AS209,COLUMNS($AV$9:AV208)),""))</f>
        <v>Raxxa's Enforcer</v>
      </c>
      <c r="AW209" s="1">
        <f>IFERROR(INDEX($A$9:$W$304,$AS209,COLUMNS($AV$9:AW208)),"")</f>
        <v>1</v>
      </c>
      <c r="AX209" s="1" t="str">
        <f>IF(IFERROR(INDEX($A$9:$X$304,$AS209,COLUMNS($AV$9:AX208)),"")=0,"",IFERROR(INDEX($A$9:$X$304,$AS209,COLUMNS($AV$9:AX208)),""))</f>
        <v>EVIL</v>
      </c>
      <c r="AY209" s="1" t="str">
        <f>IF(IFERROR(INDEX($A$9:$X$304,$AS209,COLUMNS($AV$9:AY208)),"")=0,"",IFERROR(INDEX($A$9:$X$304,$AS209,COLUMNS($AV$9:AY208)),""))</f>
        <v/>
      </c>
      <c r="AZ209" s="1" t="str">
        <f>IF(IFERROR(INDEX($A$9:$X$304,$AS209,COLUMNS($AV$9:AZ208)),"")=0,"",IFERROR(INDEX($A$9:$X$304,$AS209,COLUMNS($AV$9:AZ208)),""))</f>
        <v>CHAMPION</v>
      </c>
      <c r="BA209" s="1">
        <f>IF(IFERROR(INDEX($A$9:$X$304,$AS209,COLUMNS($AV$9:BA208)),"")=0,"",IFERROR(INDEX($A$9:$X$304,$AS209,COLUMNS($AV$9:BA208)),""))</f>
        <v>8</v>
      </c>
      <c r="BB209" s="1">
        <f>IF(IFERROR(INDEX($A$9:$X$304,$AS209,COLUMNS($AV$9:BB208)),"")=0,"",IFERROR(INDEX($A$9:$X$304,$AS209,COLUMNS($AV$9:BB208)),""))</f>
        <v>5</v>
      </c>
      <c r="BC209" s="1" t="str">
        <f>IF(IFERROR(INDEX($A$9:$X$304,$AS209,COLUMNS($AV$9:BC208)),"")=0,"",IFERROR(INDEX($A$9:$X$304,$AS209,COLUMNS($AV$9:BC208)),""))</f>
        <v>Opposing champions have -3 {offense}.</v>
      </c>
      <c r="BD209" s="1" t="str">
        <f>IF(IFERROR(INDEX($A$9:$X$304,$AS209,COLUMNS($AV$9:BD208)),"")=0,"",IFERROR(INDEX($A$9:$X$304,$AS209,COLUMNS($AV$9:BD208)),""))</f>
        <v>Tribute → Deal 3 damage to each opposing champion.</v>
      </c>
      <c r="BE209" s="1" t="str">
        <f>IF(IFERROR(INDEX($A$9:$X$304,$AS209,COLUMNS($AV$9:BE208)),"")=0,"",IFERROR(INDEX($A$9:$X$304,$AS209,COLUMNS($AV$9:BE208)),""))</f>
        <v/>
      </c>
      <c r="BF209" s="1" t="str">
        <f>IF(IFERROR(INDEX($A$9:$X$304,$AS209,COLUMNS($AV$9:BF208)),"")=0,"",IFERROR(INDEX($A$9:$X$304,$AS209,COLUMNS($AV$9:BF208)),""))</f>
        <v/>
      </c>
      <c r="BG209" s="1" t="str">
        <f>IF(IFERROR(INDEX($A$9:$X$304,$AS209,COLUMNS($AV$9:BG208)),"")=0,"",IFERROR(INDEX($A$9:$X$304,$AS209,COLUMNS($AV$9:BG208)),""))</f>
        <v/>
      </c>
      <c r="BH209" s="1" t="str">
        <f>IF(IFERROR(INDEX($A$9:$X$304,$AS209,COLUMNS($AV$9:BH208)),"")=0,"",IFERROR(INDEX($A$9:$X$304,$AS209,COLUMNS($AV$9:BH208)),""))</f>
        <v/>
      </c>
      <c r="BI209" s="1" t="str">
        <f>IF(IFERROR(INDEX($A$9:$X$304,$AS209,COLUMNS($AV$9:BI208)),"")=0,"",IFERROR(INDEX($A$9:$X$304,$AS209,COLUMNS($AV$9:BI208)),""))</f>
        <v/>
      </c>
      <c r="BJ209" s="1" t="str">
        <f>IF(IFERROR(INDEX($A$9:$X$304,$AS209,COLUMNS($AV$9:BJ208)),"")=0,"",IFERROR(INDEX($A$9:$X$304,$AS209,COLUMNS($AV$9:BJ208)),""))</f>
        <v>DEMON</v>
      </c>
      <c r="BK209" s="1" t="str">
        <f>IF(IFERROR(INDEX($A$9:$X$304,$AS209,COLUMNS($AV$9:BK208)),"")=0,"",IFERROR(INDEX($A$9:$X$304,$AS209,COLUMNS($AV$9:BK208)),""))</f>
        <v>Common</v>
      </c>
      <c r="BL209" s="1" t="str">
        <f>IF(IFERROR(INDEX($A$9:$X$304,$AS209,COLUMNS($AV$9:BL208)),"")=0,"",IFERROR(INDEX($A$9:$X$304,$AS209,COLUMNS($AV$9:BL208)),""))</f>
        <v>Grant Griffin</v>
      </c>
      <c r="BM209" s="1" t="str">
        <f>IF(IFERROR(INDEX($A$9:$X$304,$AS209,COLUMNS($AV$9:BM208)),"")=0,"",IFERROR(INDEX($A$9:$X$304,$AS209,COLUMNS($AV$9:BM208)),""))</f>
        <v>Uprising: Velden's Wrath</v>
      </c>
      <c r="BN209" s="3" t="b">
        <f>IF(IFERROR(INDEX($A$9:$X$304,$AS209,COLUMNS($AV$9:BN208)),"")=0,"",IFERROR(INDEX($A$9:$X$304,$AS209,COLUMNS($AV$9:BN208)),""))</f>
        <v>1</v>
      </c>
      <c r="BO209" s="3" t="b">
        <f>IF(IFERROR(INDEX($A$9:$X$304,$AS209,COLUMNS($AV$9:BO208)),"")=0,"",IFERROR(INDEX($A$9:$X$304,$AS209,COLUMNS($AV$9:BO208)),""))</f>
        <v>0</v>
      </c>
      <c r="BP209" s="3" t="b">
        <f>IF(IFERROR(INDEX($A$9:$X$304,$AS209,COLUMNS($AV$9:BP208)),"")=0,"",IFERROR(INDEX($A$9:$X$304,$AS209,COLUMNS($AV$9:BP208)),""))</f>
        <v>0</v>
      </c>
      <c r="BQ209" s="3" t="b">
        <f>IF(IFERROR(INDEX($A$9:$X$304,$AS209,COLUMNS($AV$9:BQ208)),"")=0,"",IFERROR(INDEX($A$9:$X$304,$AS209,COLUMNS($AV$9:BQ208)),""))</f>
        <v>0</v>
      </c>
      <c r="BR209" s="3" t="str">
        <f>IF(IFERROR(INDEX($A$9:$X$304,$AS209,COLUMNS($AV$9:BR208)),"")=0,"",IFERROR(INDEX($A$9:$X$304,$AS209,COLUMNS($AV$9:BR208)),""))</f>
        <v>https://www.epiccardgame.com/wp-content/uploads/2017/11/UPV-EN-raxxa-s-enforcer.jpg</v>
      </c>
      <c r="BS209" s="3" t="str">
        <f>IF(IFERROR(INDEX($A$9:$X$304,$AS209,COLUMNS($AV$9:BS208)),"")=0,"",IFERROR(INDEX($A$9:$X$304,$AS209,COLUMNS($AV$9:BS208)),""))</f>
        <v/>
      </c>
      <c r="BT209" s="3"/>
      <c r="BU209" s="15"/>
      <c r="BV209" t="s">
        <v>230</v>
      </c>
    </row>
    <row r="210" spans="1:74" ht="225.2" customHeight="1" x14ac:dyDescent="0.25">
      <c r="A210" t="s">
        <v>522</v>
      </c>
      <c r="B210">
        <v>1</v>
      </c>
      <c r="C210" t="s">
        <v>618</v>
      </c>
      <c r="E210" t="s">
        <v>620</v>
      </c>
      <c r="F210">
        <v>6</v>
      </c>
      <c r="G210">
        <v>6</v>
      </c>
      <c r="H210" t="s">
        <v>723</v>
      </c>
      <c r="I210" t="s">
        <v>905</v>
      </c>
      <c r="J210" t="s">
        <v>1008</v>
      </c>
      <c r="O210" t="s">
        <v>1102</v>
      </c>
      <c r="P210" t="s">
        <v>1113</v>
      </c>
      <c r="Q210" t="s">
        <v>1127</v>
      </c>
      <c r="R210" t="s">
        <v>1183</v>
      </c>
      <c r="S210" t="b">
        <v>1</v>
      </c>
      <c r="T210" t="b">
        <v>0</v>
      </c>
      <c r="U210" t="b">
        <v>0</v>
      </c>
      <c r="V210" t="b">
        <v>0</v>
      </c>
      <c r="W210" s="2" t="s">
        <v>1385</v>
      </c>
      <c r="X210" s="2"/>
      <c r="Y210" s="24">
        <v>202</v>
      </c>
      <c r="Z210">
        <f t="shared" si="60"/>
        <v>202</v>
      </c>
      <c r="AA210">
        <f t="shared" si="61"/>
        <v>202</v>
      </c>
      <c r="AB210">
        <f t="shared" si="62"/>
        <v>202</v>
      </c>
      <c r="AC210">
        <f t="shared" si="63"/>
        <v>0</v>
      </c>
      <c r="AD210">
        <f t="shared" si="64"/>
        <v>202</v>
      </c>
      <c r="AE210">
        <f t="shared" si="65"/>
        <v>202</v>
      </c>
      <c r="AF210">
        <f t="shared" si="66"/>
        <v>202</v>
      </c>
      <c r="AG210">
        <f t="shared" si="67"/>
        <v>202</v>
      </c>
      <c r="AH210">
        <f t="shared" si="68"/>
        <v>202</v>
      </c>
      <c r="AI210">
        <f t="shared" si="69"/>
        <v>202</v>
      </c>
      <c r="AJ210">
        <f t="shared" si="70"/>
        <v>0</v>
      </c>
      <c r="AK210">
        <f t="shared" si="71"/>
        <v>0</v>
      </c>
      <c r="AL210">
        <f t="shared" si="72"/>
        <v>0</v>
      </c>
      <c r="AM210">
        <f t="shared" si="73"/>
        <v>0</v>
      </c>
      <c r="AN210">
        <f t="shared" si="74"/>
        <v>202</v>
      </c>
      <c r="AO210">
        <f t="shared" si="75"/>
        <v>202</v>
      </c>
      <c r="AP210">
        <f t="shared" si="76"/>
        <v>202</v>
      </c>
      <c r="AQ210">
        <f t="shared" si="77"/>
        <v>202</v>
      </c>
      <c r="AR210" s="6">
        <f t="shared" si="78"/>
        <v>202</v>
      </c>
      <c r="AS210">
        <f t="shared" si="79"/>
        <v>202</v>
      </c>
      <c r="AV210" s="1" t="str">
        <f>IF(IFERROR(INDEX($A$9:$W$304,$AS210,COLUMNS($AV$9:AV209)),"")=0,"",IFERROR(INDEX($A$9:$W$304,$AS210,COLUMNS($AV$9:AV209)),""))</f>
        <v>Raxxa, Demon Tyrant</v>
      </c>
      <c r="AW210" s="1">
        <f>IFERROR(INDEX($A$9:$W$304,$AS210,COLUMNS($AV$9:AW209)),"")</f>
        <v>1</v>
      </c>
      <c r="AX210" s="1" t="str">
        <f>IF(IFERROR(INDEX($A$9:$X$304,$AS210,COLUMNS($AV$9:AX209)),"")=0,"",IFERROR(INDEX($A$9:$X$304,$AS210,COLUMNS($AV$9:AX209)),""))</f>
        <v>EVIL</v>
      </c>
      <c r="AY210" s="1" t="str">
        <f>IF(IFERROR(INDEX($A$9:$X$304,$AS210,COLUMNS($AV$9:AY209)),"")=0,"",IFERROR(INDEX($A$9:$X$304,$AS210,COLUMNS($AV$9:AY209)),""))</f>
        <v/>
      </c>
      <c r="AZ210" s="1" t="str">
        <f>IF(IFERROR(INDEX($A$9:$X$304,$AS210,COLUMNS($AV$9:AZ209)),"")=0,"",IFERROR(INDEX($A$9:$X$304,$AS210,COLUMNS($AV$9:AZ209)),""))</f>
        <v>CHAMPION</v>
      </c>
      <c r="BA210" s="1">
        <f>IF(IFERROR(INDEX($A$9:$X$304,$AS210,COLUMNS($AV$9:BA209)),"")=0,"",IFERROR(INDEX($A$9:$X$304,$AS210,COLUMNS($AV$9:BA209)),""))</f>
        <v>6</v>
      </c>
      <c r="BB210" s="1">
        <f>IF(IFERROR(INDEX($A$9:$X$304,$AS210,COLUMNS($AV$9:BB209)),"")=0,"",IFERROR(INDEX($A$9:$X$304,$AS210,COLUMNS($AV$9:BB209)),""))</f>
        <v>6</v>
      </c>
      <c r="BC210" s="1" t="str">
        <f>IF(IFERROR(INDEX($A$9:$X$304,$AS210,COLUMNS($AV$9:BC209)),"")=0,"",IFERROR(INDEX($A$9:$X$304,$AS210,COLUMNS($AV$9:BC209)),""))</f>
        <v>Loyalty 2 → Deal 2 damage to each opposing champion.</v>
      </c>
      <c r="BD210" s="1" t="str">
        <f>IF(IFERROR(INDEX($A$9:$X$304,$AS210,COLUMNS($AV$9:BD209)),"")=0,"",IFERROR(INDEX($A$9:$X$304,$AS210,COLUMNS($AV$9:BD209)),""))</f>
        <v>Tribute → Put two demon tokens into play.</v>
      </c>
      <c r="BE210" s="1" t="str">
        <f>IF(IFERROR(INDEX($A$9:$X$304,$AS210,COLUMNS($AV$9:BE209)),"")=0,"",IFERROR(INDEX($A$9:$X$304,$AS210,COLUMNS($AV$9:BE209)),""))</f>
        <v>Your demon tokens have +2 {offense} and +2 {defense}.</v>
      </c>
      <c r="BF210" s="1" t="str">
        <f>IF(IFERROR(INDEX($A$9:$X$304,$AS210,COLUMNS($AV$9:BF209)),"")=0,"",IFERROR(INDEX($A$9:$X$304,$AS210,COLUMNS($AV$9:BF209)),""))</f>
        <v/>
      </c>
      <c r="BG210" s="1" t="str">
        <f>IF(IFERROR(INDEX($A$9:$X$304,$AS210,COLUMNS($AV$9:BG209)),"")=0,"",IFERROR(INDEX($A$9:$X$304,$AS210,COLUMNS($AV$9:BG209)),""))</f>
        <v/>
      </c>
      <c r="BH210" s="1" t="str">
        <f>IF(IFERROR(INDEX($A$9:$X$304,$AS210,COLUMNS($AV$9:BH209)),"")=0,"",IFERROR(INDEX($A$9:$X$304,$AS210,COLUMNS($AV$9:BH209)),""))</f>
        <v/>
      </c>
      <c r="BI210" s="1" t="str">
        <f>IF(IFERROR(INDEX($A$9:$X$304,$AS210,COLUMNS($AV$9:BI209)),"")=0,"",IFERROR(INDEX($A$9:$X$304,$AS210,COLUMNS($AV$9:BI209)),""))</f>
        <v/>
      </c>
      <c r="BJ210" s="1" t="str">
        <f>IF(IFERROR(INDEX($A$9:$X$304,$AS210,COLUMNS($AV$9:BJ209)),"")=0,"",IFERROR(INDEX($A$9:$X$304,$AS210,COLUMNS($AV$9:BJ209)),""))</f>
        <v>DEMON TYRANT</v>
      </c>
      <c r="BK210" s="1" t="str">
        <f>IF(IFERROR(INDEX($A$9:$X$304,$AS210,COLUMNS($AV$9:BK209)),"")=0,"",IFERROR(INDEX($A$9:$X$304,$AS210,COLUMNS($AV$9:BK209)),""))</f>
        <v>Rare</v>
      </c>
      <c r="BL210" s="1" t="str">
        <f>IF(IFERROR(INDEX($A$9:$X$304,$AS210,COLUMNS($AV$9:BL209)),"")=0,"",IFERROR(INDEX($A$9:$X$304,$AS210,COLUMNS($AV$9:BL209)),""))</f>
        <v>Johnny Morrow</v>
      </c>
      <c r="BM210" s="1" t="str">
        <f>IF(IFERROR(INDEX($A$9:$X$304,$AS210,COLUMNS($AV$9:BM209)),"")=0,"",IFERROR(INDEX($A$9:$X$304,$AS210,COLUMNS($AV$9:BM209)),""))</f>
        <v>Tyrants: Raxxa's Revenge</v>
      </c>
      <c r="BN210" s="3" t="b">
        <f>IF(IFERROR(INDEX($A$9:$X$304,$AS210,COLUMNS($AV$9:BN209)),"")=0,"",IFERROR(INDEX($A$9:$X$304,$AS210,COLUMNS($AV$9:BN209)),""))</f>
        <v>1</v>
      </c>
      <c r="BO210" s="3" t="b">
        <f>IF(IFERROR(INDEX($A$9:$X$304,$AS210,COLUMNS($AV$9:BO209)),"")=0,"",IFERROR(INDEX($A$9:$X$304,$AS210,COLUMNS($AV$9:BO209)),""))</f>
        <v>0</v>
      </c>
      <c r="BP210" s="3" t="b">
        <f>IF(IFERROR(INDEX($A$9:$X$304,$AS210,COLUMNS($AV$9:BP209)),"")=0,"",IFERROR(INDEX($A$9:$X$304,$AS210,COLUMNS($AV$9:BP209)),""))</f>
        <v>0</v>
      </c>
      <c r="BQ210" s="3" t="b">
        <f>IF(IFERROR(INDEX($A$9:$X$304,$AS210,COLUMNS($AV$9:BQ209)),"")=0,"",IFERROR(INDEX($A$9:$X$304,$AS210,COLUMNS($AV$9:BQ209)),""))</f>
        <v>0</v>
      </c>
      <c r="BR210" s="3" t="str">
        <f>IF(IFERROR(INDEX($A$9:$X$304,$AS210,COLUMNS($AV$9:BR209)),"")=0,"",IFERROR(INDEX($A$9:$X$304,$AS210,COLUMNS($AV$9:BR209)),""))</f>
        <v>http://www.epiccardgame.com/wp-content/uploads/2016/03/raxxa_demon_tyrant-214x300.jpg</v>
      </c>
      <c r="BS210" s="3" t="str">
        <f>IF(IFERROR(INDEX($A$9:$X$304,$AS210,COLUMNS($AV$9:BS209)),"")=0,"",IFERROR(INDEX($A$9:$X$304,$AS210,COLUMNS($AV$9:BS209)),""))</f>
        <v/>
      </c>
      <c r="BT210" s="3"/>
      <c r="BU210" s="15"/>
      <c r="BV210" t="s">
        <v>231</v>
      </c>
    </row>
    <row r="211" spans="1:74" ht="225.2" customHeight="1" x14ac:dyDescent="0.25">
      <c r="A211" t="s">
        <v>523</v>
      </c>
      <c r="B211">
        <v>1</v>
      </c>
      <c r="C211" t="s">
        <v>618</v>
      </c>
      <c r="E211" t="s">
        <v>619</v>
      </c>
      <c r="H211" t="s">
        <v>724</v>
      </c>
      <c r="I211" t="s">
        <v>773</v>
      </c>
      <c r="O211" t="s">
        <v>1068</v>
      </c>
      <c r="P211" t="s">
        <v>1112</v>
      </c>
      <c r="Q211" t="s">
        <v>1127</v>
      </c>
      <c r="R211" t="s">
        <v>1176</v>
      </c>
      <c r="S211" t="b">
        <v>1</v>
      </c>
      <c r="T211" t="b">
        <v>1</v>
      </c>
      <c r="U211" t="b">
        <v>0</v>
      </c>
      <c r="V211" t="b">
        <v>0</v>
      </c>
      <c r="W211" s="2" t="s">
        <v>1386</v>
      </c>
      <c r="X211" s="2"/>
      <c r="Y211" s="24">
        <v>203</v>
      </c>
      <c r="Z211">
        <f t="shared" si="60"/>
        <v>203</v>
      </c>
      <c r="AA211">
        <f t="shared" si="61"/>
        <v>203</v>
      </c>
      <c r="AB211">
        <f t="shared" si="62"/>
        <v>203</v>
      </c>
      <c r="AC211">
        <f t="shared" si="63"/>
        <v>0</v>
      </c>
      <c r="AD211">
        <f t="shared" si="64"/>
        <v>203</v>
      </c>
      <c r="AE211">
        <f t="shared" si="65"/>
        <v>0</v>
      </c>
      <c r="AF211">
        <f t="shared" si="66"/>
        <v>0</v>
      </c>
      <c r="AG211">
        <f t="shared" si="67"/>
        <v>203</v>
      </c>
      <c r="AH211">
        <f t="shared" si="68"/>
        <v>203</v>
      </c>
      <c r="AI211">
        <f t="shared" si="69"/>
        <v>0</v>
      </c>
      <c r="AJ211">
        <f t="shared" si="70"/>
        <v>0</v>
      </c>
      <c r="AK211">
        <f t="shared" si="71"/>
        <v>0</v>
      </c>
      <c r="AL211">
        <f t="shared" si="72"/>
        <v>0</v>
      </c>
      <c r="AM211">
        <f t="shared" si="73"/>
        <v>0</v>
      </c>
      <c r="AN211">
        <f t="shared" si="74"/>
        <v>203</v>
      </c>
      <c r="AO211">
        <f t="shared" si="75"/>
        <v>203</v>
      </c>
      <c r="AP211">
        <f t="shared" si="76"/>
        <v>203</v>
      </c>
      <c r="AQ211">
        <f t="shared" si="77"/>
        <v>203</v>
      </c>
      <c r="AR211" s="6">
        <f t="shared" si="78"/>
        <v>203</v>
      </c>
      <c r="AS211">
        <f t="shared" si="79"/>
        <v>203</v>
      </c>
      <c r="AV211" s="1" t="str">
        <f>IF(IFERROR(INDEX($A$9:$W$304,$AS211,COLUMNS($AV$9:AV210)),"")=0,"",IFERROR(INDEX($A$9:$W$304,$AS211,COLUMNS($AV$9:AV210)),""))</f>
        <v>Reap or Sow</v>
      </c>
      <c r="AW211" s="1">
        <f>IFERROR(INDEX($A$9:$W$304,$AS211,COLUMNS($AV$9:AW210)),"")</f>
        <v>1</v>
      </c>
      <c r="AX211" s="1" t="str">
        <f>IF(IFERROR(INDEX($A$9:$X$304,$AS211,COLUMNS($AV$9:AX210)),"")=0,"",IFERROR(INDEX($A$9:$X$304,$AS211,COLUMNS($AV$9:AX210)),""))</f>
        <v>EVIL</v>
      </c>
      <c r="AY211" s="1" t="str">
        <f>IF(IFERROR(INDEX($A$9:$X$304,$AS211,COLUMNS($AV$9:AY210)),"")=0,"",IFERROR(INDEX($A$9:$X$304,$AS211,COLUMNS($AV$9:AY210)),""))</f>
        <v/>
      </c>
      <c r="AZ211" s="1" t="str">
        <f>IF(IFERROR(INDEX($A$9:$X$304,$AS211,COLUMNS($AV$9:AZ210)),"")=0,"",IFERROR(INDEX($A$9:$X$304,$AS211,COLUMNS($AV$9:AZ210)),""))</f>
        <v>EVENT</v>
      </c>
      <c r="BA211" s="1" t="str">
        <f>IF(IFERROR(INDEX($A$9:$X$304,$AS211,COLUMNS($AV$9:BA210)),"")=0,"",IFERROR(INDEX($A$9:$X$304,$AS211,COLUMNS($AV$9:BA210)),""))</f>
        <v/>
      </c>
      <c r="BB211" s="1" t="str">
        <f>IF(IFERROR(INDEX($A$9:$X$304,$AS211,COLUMNS($AV$9:BB210)),"")=0,"",IFERROR(INDEX($A$9:$X$304,$AS211,COLUMNS($AV$9:BB210)),""))</f>
        <v/>
      </c>
      <c r="BC211" s="1" t="str">
        <f>IF(IFERROR(INDEX($A$9:$X$304,$AS211,COLUMNS($AV$9:BC210)),"")=0,"",IFERROR(INDEX($A$9:$X$304,$AS211,COLUMNS($AV$9:BC210)),""))</f>
        <v>Put four zombie tokens into play.</v>
      </c>
      <c r="BD211" s="1" t="str">
        <f>IF(IFERROR(INDEX($A$9:$X$304,$AS211,COLUMNS($AV$9:BD210)),"")=0,"",IFERROR(INDEX($A$9:$X$304,$AS211,COLUMNS($AV$9:BD210)),""))</f>
        <v>If it is your turn, break all champions.</v>
      </c>
      <c r="BE211" s="1" t="str">
        <f>IF(IFERROR(INDEX($A$9:$X$304,$AS211,COLUMNS($AV$9:BE210)),"")=0,"",IFERROR(INDEX($A$9:$X$304,$AS211,COLUMNS($AV$9:BE210)),""))</f>
        <v/>
      </c>
      <c r="BF211" s="1" t="str">
        <f>IF(IFERROR(INDEX($A$9:$X$304,$AS211,COLUMNS($AV$9:BF210)),"")=0,"",IFERROR(INDEX($A$9:$X$304,$AS211,COLUMNS($AV$9:BF210)),""))</f>
        <v/>
      </c>
      <c r="BG211" s="1" t="str">
        <f>IF(IFERROR(INDEX($A$9:$X$304,$AS211,COLUMNS($AV$9:BG210)),"")=0,"",IFERROR(INDEX($A$9:$X$304,$AS211,COLUMNS($AV$9:BG210)),""))</f>
        <v/>
      </c>
      <c r="BH211" s="1" t="str">
        <f>IF(IFERROR(INDEX($A$9:$X$304,$AS211,COLUMNS($AV$9:BH210)),"")=0,"",IFERROR(INDEX($A$9:$X$304,$AS211,COLUMNS($AV$9:BH210)),""))</f>
        <v/>
      </c>
      <c r="BI211" s="1" t="str">
        <f>IF(IFERROR(INDEX($A$9:$X$304,$AS211,COLUMNS($AV$9:BI210)),"")=0,"",IFERROR(INDEX($A$9:$X$304,$AS211,COLUMNS($AV$9:BI210)),""))</f>
        <v/>
      </c>
      <c r="BJ211" s="1" t="str">
        <f>IF(IFERROR(INDEX($A$9:$X$304,$AS211,COLUMNS($AV$9:BJ210)),"")=0,"",IFERROR(INDEX($A$9:$X$304,$AS211,COLUMNS($AV$9:BJ210)),""))</f>
        <v>ZOMBIE</v>
      </c>
      <c r="BK211" s="1" t="str">
        <f>IF(IFERROR(INDEX($A$9:$X$304,$AS211,COLUMNS($AV$9:BK210)),"")=0,"",IFERROR(INDEX($A$9:$X$304,$AS211,COLUMNS($AV$9:BK210)),""))</f>
        <v>Common</v>
      </c>
      <c r="BL211" s="1" t="str">
        <f>IF(IFERROR(INDEX($A$9:$X$304,$AS211,COLUMNS($AV$9:BL210)),"")=0,"",IFERROR(INDEX($A$9:$X$304,$AS211,COLUMNS($AV$9:BL210)),""))</f>
        <v>Johnny Morrow</v>
      </c>
      <c r="BM211" s="1" t="str">
        <f>IF(IFERROR(INDEX($A$9:$X$304,$AS211,COLUMNS($AV$9:BM210)),"")=0,"",IFERROR(INDEX($A$9:$X$304,$AS211,COLUMNS($AV$9:BM210)),""))</f>
        <v>Tyrants: Markus' Command</v>
      </c>
      <c r="BN211" s="3" t="b">
        <f>IF(IFERROR(INDEX($A$9:$X$304,$AS211,COLUMNS($AV$9:BN210)),"")=0,"",IFERROR(INDEX($A$9:$X$304,$AS211,COLUMNS($AV$9:BN210)),""))</f>
        <v>1</v>
      </c>
      <c r="BO211" s="3" t="b">
        <f>IF(IFERROR(INDEX($A$9:$X$304,$AS211,COLUMNS($AV$9:BO210)),"")=0,"",IFERROR(INDEX($A$9:$X$304,$AS211,COLUMNS($AV$9:BO210)),""))</f>
        <v>1</v>
      </c>
      <c r="BP211" s="3" t="b">
        <f>IF(IFERROR(INDEX($A$9:$X$304,$AS211,COLUMNS($AV$9:BP210)),"")=0,"",IFERROR(INDEX($A$9:$X$304,$AS211,COLUMNS($AV$9:BP210)),""))</f>
        <v>0</v>
      </c>
      <c r="BQ211" s="3" t="b">
        <f>IF(IFERROR(INDEX($A$9:$X$304,$AS211,COLUMNS($AV$9:BQ210)),"")=0,"",IFERROR(INDEX($A$9:$X$304,$AS211,COLUMNS($AV$9:BQ210)),""))</f>
        <v>0</v>
      </c>
      <c r="BR211" s="3" t="str">
        <f>IF(IFERROR(INDEX($A$9:$X$304,$AS211,COLUMNS($AV$9:BR210)),"")=0,"",IFERROR(INDEX($A$9:$X$304,$AS211,COLUMNS($AV$9:BR210)),""))</f>
        <v>http://www.epiccardgame.com/wp-content/uploads/2016/03/reap_or_sow-214x300.jpg</v>
      </c>
      <c r="BS211" s="3" t="str">
        <f>IF(IFERROR(INDEX($A$9:$X$304,$AS211,COLUMNS($AV$9:BS210)),"")=0,"",IFERROR(INDEX($A$9:$X$304,$AS211,COLUMNS($AV$9:BS210)),""))</f>
        <v/>
      </c>
      <c r="BT211" s="3"/>
      <c r="BU211" s="15"/>
      <c r="BV211" t="s">
        <v>232</v>
      </c>
    </row>
    <row r="212" spans="1:74" ht="225.2" customHeight="1" x14ac:dyDescent="0.25">
      <c r="A212" t="s">
        <v>524</v>
      </c>
      <c r="B212">
        <v>1</v>
      </c>
      <c r="C212" t="s">
        <v>618</v>
      </c>
      <c r="E212" t="s">
        <v>620</v>
      </c>
      <c r="F212">
        <v>7</v>
      </c>
      <c r="G212">
        <v>9</v>
      </c>
      <c r="H212" t="s">
        <v>725</v>
      </c>
      <c r="O212" t="s">
        <v>1078</v>
      </c>
      <c r="P212" t="s">
        <v>1112</v>
      </c>
      <c r="Q212" t="s">
        <v>1114</v>
      </c>
      <c r="R212" t="s">
        <v>1175</v>
      </c>
      <c r="S212" t="b">
        <v>1</v>
      </c>
      <c r="T212" t="b">
        <v>0</v>
      </c>
      <c r="U212" t="b">
        <v>0</v>
      </c>
      <c r="V212" t="b">
        <v>0</v>
      </c>
      <c r="W212" s="2" t="s">
        <v>1387</v>
      </c>
      <c r="X212" s="2"/>
      <c r="Y212" s="24">
        <v>204</v>
      </c>
      <c r="Z212">
        <f t="shared" si="60"/>
        <v>204</v>
      </c>
      <c r="AA212">
        <f t="shared" si="61"/>
        <v>204</v>
      </c>
      <c r="AB212">
        <f t="shared" si="62"/>
        <v>204</v>
      </c>
      <c r="AC212">
        <f t="shared" si="63"/>
        <v>0</v>
      </c>
      <c r="AD212">
        <f t="shared" si="64"/>
        <v>204</v>
      </c>
      <c r="AE212">
        <f t="shared" si="65"/>
        <v>204</v>
      </c>
      <c r="AF212">
        <f t="shared" si="66"/>
        <v>204</v>
      </c>
      <c r="AG212">
        <f t="shared" si="67"/>
        <v>204</v>
      </c>
      <c r="AH212">
        <f t="shared" si="68"/>
        <v>0</v>
      </c>
      <c r="AI212">
        <f t="shared" si="69"/>
        <v>0</v>
      </c>
      <c r="AJ212">
        <f t="shared" si="70"/>
        <v>0</v>
      </c>
      <c r="AK212">
        <f t="shared" si="71"/>
        <v>0</v>
      </c>
      <c r="AL212">
        <f t="shared" si="72"/>
        <v>0</v>
      </c>
      <c r="AM212">
        <f t="shared" si="73"/>
        <v>0</v>
      </c>
      <c r="AN212">
        <f t="shared" si="74"/>
        <v>204</v>
      </c>
      <c r="AO212">
        <f t="shared" si="75"/>
        <v>204</v>
      </c>
      <c r="AP212">
        <f t="shared" si="76"/>
        <v>204</v>
      </c>
      <c r="AQ212">
        <f t="shared" si="77"/>
        <v>204</v>
      </c>
      <c r="AR212" s="6">
        <f t="shared" si="78"/>
        <v>204</v>
      </c>
      <c r="AS212">
        <f t="shared" si="79"/>
        <v>204</v>
      </c>
      <c r="AV212" s="1" t="str">
        <f>IF(IFERROR(INDEX($A$9:$W$304,$AS212,COLUMNS($AV$9:AV211)),"")=0,"",IFERROR(INDEX($A$9:$W$304,$AS212,COLUMNS($AV$9:AV211)),""))</f>
        <v>Reaper</v>
      </c>
      <c r="AW212" s="1">
        <f>IFERROR(INDEX($A$9:$W$304,$AS212,COLUMNS($AV$9:AW211)),"")</f>
        <v>1</v>
      </c>
      <c r="AX212" s="1" t="str">
        <f>IF(IFERROR(INDEX($A$9:$X$304,$AS212,COLUMNS($AV$9:AX211)),"")=0,"",IFERROR(INDEX($A$9:$X$304,$AS212,COLUMNS($AV$9:AX211)),""))</f>
        <v>EVIL</v>
      </c>
      <c r="AY212" s="1" t="str">
        <f>IF(IFERROR(INDEX($A$9:$X$304,$AS212,COLUMNS($AV$9:AY211)),"")=0,"",IFERROR(INDEX($A$9:$X$304,$AS212,COLUMNS($AV$9:AY211)),""))</f>
        <v/>
      </c>
      <c r="AZ212" s="1" t="str">
        <f>IF(IFERROR(INDEX($A$9:$X$304,$AS212,COLUMNS($AV$9:AZ211)),"")=0,"",IFERROR(INDEX($A$9:$X$304,$AS212,COLUMNS($AV$9:AZ211)),""))</f>
        <v>CHAMPION</v>
      </c>
      <c r="BA212" s="1">
        <f>IF(IFERROR(INDEX($A$9:$X$304,$AS212,COLUMNS($AV$9:BA211)),"")=0,"",IFERROR(INDEX($A$9:$X$304,$AS212,COLUMNS($AV$9:BA211)),""))</f>
        <v>7</v>
      </c>
      <c r="BB212" s="1">
        <f>IF(IFERROR(INDEX($A$9:$X$304,$AS212,COLUMNS($AV$9:BB211)),"")=0,"",IFERROR(INDEX($A$9:$X$304,$AS212,COLUMNS($AV$9:BB211)),""))</f>
        <v>9</v>
      </c>
      <c r="BC212" s="1" t="str">
        <f>IF(IFERROR(INDEX($A$9:$X$304,$AS212,COLUMNS($AV$9:BC211)),"")=0,"",IFERROR(INDEX($A$9:$X$304,$AS212,COLUMNS($AV$9:BC211)),""))</f>
        <v>Tribute and/or {evil} → You may break target champion. If you do, its controller puts a demon token into play.</v>
      </c>
      <c r="BD212" s="1" t="str">
        <f>IF(IFERROR(INDEX($A$9:$X$304,$AS212,COLUMNS($AV$9:BD211)),"")=0,"",IFERROR(INDEX($A$9:$X$304,$AS212,COLUMNS($AV$9:BD211)),""))</f>
        <v/>
      </c>
      <c r="BE212" s="1" t="str">
        <f>IF(IFERROR(INDEX($A$9:$X$304,$AS212,COLUMNS($AV$9:BE211)),"")=0,"",IFERROR(INDEX($A$9:$X$304,$AS212,COLUMNS($AV$9:BE211)),""))</f>
        <v/>
      </c>
      <c r="BF212" s="1" t="str">
        <f>IF(IFERROR(INDEX($A$9:$X$304,$AS212,COLUMNS($AV$9:BF211)),"")=0,"",IFERROR(INDEX($A$9:$X$304,$AS212,COLUMNS($AV$9:BF211)),""))</f>
        <v/>
      </c>
      <c r="BG212" s="1" t="str">
        <f>IF(IFERROR(INDEX($A$9:$X$304,$AS212,COLUMNS($AV$9:BG211)),"")=0,"",IFERROR(INDEX($A$9:$X$304,$AS212,COLUMNS($AV$9:BG211)),""))</f>
        <v/>
      </c>
      <c r="BH212" s="1" t="str">
        <f>IF(IFERROR(INDEX($A$9:$X$304,$AS212,COLUMNS($AV$9:BH211)),"")=0,"",IFERROR(INDEX($A$9:$X$304,$AS212,COLUMNS($AV$9:BH211)),""))</f>
        <v/>
      </c>
      <c r="BI212" s="1" t="str">
        <f>IF(IFERROR(INDEX($A$9:$X$304,$AS212,COLUMNS($AV$9:BI211)),"")=0,"",IFERROR(INDEX($A$9:$X$304,$AS212,COLUMNS($AV$9:BI211)),""))</f>
        <v/>
      </c>
      <c r="BJ212" s="1" t="str">
        <f>IF(IFERROR(INDEX($A$9:$X$304,$AS212,COLUMNS($AV$9:BJ211)),"")=0,"",IFERROR(INDEX($A$9:$X$304,$AS212,COLUMNS($AV$9:BJ211)),""))</f>
        <v>DEMON</v>
      </c>
      <c r="BK212" s="1" t="str">
        <f>IF(IFERROR(INDEX($A$9:$X$304,$AS212,COLUMNS($AV$9:BK211)),"")=0,"",IFERROR(INDEX($A$9:$X$304,$AS212,COLUMNS($AV$9:BK211)),""))</f>
        <v>Common</v>
      </c>
      <c r="BL212" s="1" t="str">
        <f>IF(IFERROR(INDEX($A$9:$X$304,$AS212,COLUMNS($AV$9:BL211)),"")=0,"",IFERROR(INDEX($A$9:$X$304,$AS212,COLUMNS($AV$9:BL211)),""))</f>
        <v>Jaan-Paul van Eeden</v>
      </c>
      <c r="BM212" s="1" t="str">
        <f>IF(IFERROR(INDEX($A$9:$X$304,$AS212,COLUMNS($AV$9:BM211)),"")=0,"",IFERROR(INDEX($A$9:$X$304,$AS212,COLUMNS($AV$9:BM211)),""))</f>
        <v>Tyrants: Helion's Deceit</v>
      </c>
      <c r="BN212" s="3" t="b">
        <f>IF(IFERROR(INDEX($A$9:$X$304,$AS212,COLUMNS($AV$9:BN211)),"")=0,"",IFERROR(INDEX($A$9:$X$304,$AS212,COLUMNS($AV$9:BN211)),""))</f>
        <v>1</v>
      </c>
      <c r="BO212" s="3" t="b">
        <f>IF(IFERROR(INDEX($A$9:$X$304,$AS212,COLUMNS($AV$9:BO211)),"")=0,"",IFERROR(INDEX($A$9:$X$304,$AS212,COLUMNS($AV$9:BO211)),""))</f>
        <v>0</v>
      </c>
      <c r="BP212" s="3" t="b">
        <f>IF(IFERROR(INDEX($A$9:$X$304,$AS212,COLUMNS($AV$9:BP211)),"")=0,"",IFERROR(INDEX($A$9:$X$304,$AS212,COLUMNS($AV$9:BP211)),""))</f>
        <v>0</v>
      </c>
      <c r="BQ212" s="3" t="b">
        <f>IF(IFERROR(INDEX($A$9:$X$304,$AS212,COLUMNS($AV$9:BQ211)),"")=0,"",IFERROR(INDEX($A$9:$X$304,$AS212,COLUMNS($AV$9:BQ211)),""))</f>
        <v>0</v>
      </c>
      <c r="BR212" s="3" t="str">
        <f>IF(IFERROR(INDEX($A$9:$X$304,$AS212,COLUMNS($AV$9:BR211)),"")=0,"",IFERROR(INDEX($A$9:$X$304,$AS212,COLUMNS($AV$9:BR211)),""))</f>
        <v>http://www.epiccardgame.com/wp-content/uploads/2016/03/reaper-214x300.jpg</v>
      </c>
      <c r="BS212" s="3" t="str">
        <f>IF(IFERROR(INDEX($A$9:$X$304,$AS212,COLUMNS($AV$9:BS211)),"")=0,"",IFERROR(INDEX($A$9:$X$304,$AS212,COLUMNS($AV$9:BS211)),""))</f>
        <v/>
      </c>
      <c r="BT212" s="3"/>
      <c r="BU212" s="15"/>
      <c r="BV212" t="s">
        <v>233</v>
      </c>
    </row>
    <row r="213" spans="1:74" ht="225.2" customHeight="1" x14ac:dyDescent="0.25">
      <c r="A213" t="s">
        <v>525</v>
      </c>
      <c r="B213">
        <v>0</v>
      </c>
      <c r="C213" t="s">
        <v>617</v>
      </c>
      <c r="E213" t="s">
        <v>620</v>
      </c>
      <c r="F213">
        <v>3</v>
      </c>
      <c r="G213">
        <v>7</v>
      </c>
      <c r="H213" t="s">
        <v>690</v>
      </c>
      <c r="I213" t="s">
        <v>906</v>
      </c>
      <c r="O213" t="s">
        <v>1103</v>
      </c>
      <c r="P213" t="s">
        <v>1112</v>
      </c>
      <c r="Q213" t="s">
        <v>1160</v>
      </c>
      <c r="R213" t="s">
        <v>1172</v>
      </c>
      <c r="S213" t="b">
        <v>0</v>
      </c>
      <c r="T213" t="b">
        <v>0</v>
      </c>
      <c r="U213" t="b">
        <v>0</v>
      </c>
      <c r="V213" t="b">
        <v>0</v>
      </c>
      <c r="W213" s="2" t="s">
        <v>1388</v>
      </c>
      <c r="X213" s="2"/>
      <c r="Y213" s="24">
        <v>205</v>
      </c>
      <c r="Z213">
        <f t="shared" si="60"/>
        <v>205</v>
      </c>
      <c r="AA213">
        <f t="shared" si="61"/>
        <v>205</v>
      </c>
      <c r="AB213">
        <f t="shared" si="62"/>
        <v>205</v>
      </c>
      <c r="AC213">
        <f t="shared" si="63"/>
        <v>0</v>
      </c>
      <c r="AD213">
        <f t="shared" si="64"/>
        <v>205</v>
      </c>
      <c r="AE213">
        <f t="shared" si="65"/>
        <v>205</v>
      </c>
      <c r="AF213">
        <f t="shared" si="66"/>
        <v>205</v>
      </c>
      <c r="AG213">
        <f t="shared" si="67"/>
        <v>205</v>
      </c>
      <c r="AH213">
        <f t="shared" si="68"/>
        <v>205</v>
      </c>
      <c r="AI213">
        <f t="shared" si="69"/>
        <v>0</v>
      </c>
      <c r="AJ213">
        <f t="shared" si="70"/>
        <v>0</v>
      </c>
      <c r="AK213">
        <f t="shared" si="71"/>
        <v>0</v>
      </c>
      <c r="AL213">
        <f t="shared" si="72"/>
        <v>0</v>
      </c>
      <c r="AM213">
        <f t="shared" si="73"/>
        <v>0</v>
      </c>
      <c r="AN213">
        <f t="shared" si="74"/>
        <v>205</v>
      </c>
      <c r="AO213">
        <f t="shared" si="75"/>
        <v>205</v>
      </c>
      <c r="AP213">
        <f t="shared" si="76"/>
        <v>205</v>
      </c>
      <c r="AQ213">
        <f t="shared" si="77"/>
        <v>205</v>
      </c>
      <c r="AR213" s="6">
        <f t="shared" si="78"/>
        <v>205</v>
      </c>
      <c r="AS213">
        <f t="shared" si="79"/>
        <v>205</v>
      </c>
      <c r="AV213" s="1" t="str">
        <f>IF(IFERROR(INDEX($A$9:$W$304,$AS213,COLUMNS($AV$9:AV212)),"")=0,"",IFERROR(INDEX($A$9:$W$304,$AS213,COLUMNS($AV$9:AV212)),""))</f>
        <v>Rescue Griffin</v>
      </c>
      <c r="AW213" s="1">
        <f>IFERROR(INDEX($A$9:$W$304,$AS213,COLUMNS($AV$9:AW212)),"")</f>
        <v>0</v>
      </c>
      <c r="AX213" s="1" t="str">
        <f>IF(IFERROR(INDEX($A$9:$X$304,$AS213,COLUMNS($AV$9:AX212)),"")=0,"",IFERROR(INDEX($A$9:$X$304,$AS213,COLUMNS($AV$9:AX212)),""))</f>
        <v>GOOD</v>
      </c>
      <c r="AY213" s="1" t="str">
        <f>IF(IFERROR(INDEX($A$9:$X$304,$AS213,COLUMNS($AV$9:AY212)),"")=0,"",IFERROR(INDEX($A$9:$X$304,$AS213,COLUMNS($AV$9:AY212)),""))</f>
        <v/>
      </c>
      <c r="AZ213" s="1" t="str">
        <f>IF(IFERROR(INDEX($A$9:$X$304,$AS213,COLUMNS($AV$9:AZ212)),"")=0,"",IFERROR(INDEX($A$9:$X$304,$AS213,COLUMNS($AV$9:AZ212)),""))</f>
        <v>CHAMPION</v>
      </c>
      <c r="BA213" s="1">
        <f>IF(IFERROR(INDEX($A$9:$X$304,$AS213,COLUMNS($AV$9:BA212)),"")=0,"",IFERROR(INDEX($A$9:$X$304,$AS213,COLUMNS($AV$9:BA212)),""))</f>
        <v>3</v>
      </c>
      <c r="BB213" s="1">
        <f>IF(IFERROR(INDEX($A$9:$X$304,$AS213,COLUMNS($AV$9:BB212)),"")=0,"",IFERROR(INDEX($A$9:$X$304,$AS213,COLUMNS($AV$9:BB212)),""))</f>
        <v>7</v>
      </c>
      <c r="BC213" s="1" t="str">
        <f>IF(IFERROR(INDEX($A$9:$X$304,$AS213,COLUMNS($AV$9:BC212)),"")=0,"",IFERROR(INDEX($A$9:$X$304,$AS213,COLUMNS($AV$9:BC212)),""))</f>
        <v>Airborne ◆ Ambush</v>
      </c>
      <c r="BD213" s="1" t="str">
        <f>IF(IFERROR(INDEX($A$9:$X$304,$AS213,COLUMNS($AV$9:BD212)),"")=0,"",IFERROR(INDEX($A$9:$X$304,$AS213,COLUMNS($AV$9:BD212)),""))</f>
        <v>When you near the walls of Covenant, you come under their protection.</v>
      </c>
      <c r="BE213" s="1" t="str">
        <f>IF(IFERROR(INDEX($A$9:$X$304,$AS213,COLUMNS($AV$9:BE212)),"")=0,"",IFERROR(INDEX($A$9:$X$304,$AS213,COLUMNS($AV$9:BE212)),""))</f>
        <v/>
      </c>
      <c r="BF213" s="1" t="str">
        <f>IF(IFERROR(INDEX($A$9:$X$304,$AS213,COLUMNS($AV$9:BF212)),"")=0,"",IFERROR(INDEX($A$9:$X$304,$AS213,COLUMNS($AV$9:BF212)),""))</f>
        <v/>
      </c>
      <c r="BG213" s="1" t="str">
        <f>IF(IFERROR(INDEX($A$9:$X$304,$AS213,COLUMNS($AV$9:BG212)),"")=0,"",IFERROR(INDEX($A$9:$X$304,$AS213,COLUMNS($AV$9:BG212)),""))</f>
        <v/>
      </c>
      <c r="BH213" s="1" t="str">
        <f>IF(IFERROR(INDEX($A$9:$X$304,$AS213,COLUMNS($AV$9:BH212)),"")=0,"",IFERROR(INDEX($A$9:$X$304,$AS213,COLUMNS($AV$9:BH212)),""))</f>
        <v/>
      </c>
      <c r="BI213" s="1" t="str">
        <f>IF(IFERROR(INDEX($A$9:$X$304,$AS213,COLUMNS($AV$9:BI212)),"")=0,"",IFERROR(INDEX($A$9:$X$304,$AS213,COLUMNS($AV$9:BI212)),""))</f>
        <v/>
      </c>
      <c r="BJ213" s="1" t="str">
        <f>IF(IFERROR(INDEX($A$9:$X$304,$AS213,COLUMNS($AV$9:BJ212)),"")=0,"",IFERROR(INDEX($A$9:$X$304,$AS213,COLUMNS($AV$9:BJ212)),""))</f>
        <v>GRIFFIN</v>
      </c>
      <c r="BK213" s="1" t="str">
        <f>IF(IFERROR(INDEX($A$9:$X$304,$AS213,COLUMNS($AV$9:BK212)),"")=0,"",IFERROR(INDEX($A$9:$X$304,$AS213,COLUMNS($AV$9:BK212)),""))</f>
        <v>Common</v>
      </c>
      <c r="BL213" s="1" t="str">
        <f>IF(IFERROR(INDEX($A$9:$X$304,$AS213,COLUMNS($AV$9:BL212)),"")=0,"",IFERROR(INDEX($A$9:$X$304,$AS213,COLUMNS($AV$9:BL212)),""))</f>
        <v>Ørjan Svendsen</v>
      </c>
      <c r="BM213" s="1" t="str">
        <f>IF(IFERROR(INDEX($A$9:$X$304,$AS213,COLUMNS($AV$9:BM212)),"")=0,"",IFERROR(INDEX($A$9:$X$304,$AS213,COLUMNS($AV$9:BM212)),""))</f>
        <v>Uprising: Velden's Wrath</v>
      </c>
      <c r="BN213" s="3" t="b">
        <f>IF(IFERROR(INDEX($A$9:$X$304,$AS213,COLUMNS($AV$9:BN212)),"")=0,"",IFERROR(INDEX($A$9:$X$304,$AS213,COLUMNS($AV$9:BN212)),""))</f>
        <v>0</v>
      </c>
      <c r="BO213" s="3" t="b">
        <f>IF(IFERROR(INDEX($A$9:$X$304,$AS213,COLUMNS($AV$9:BO212)),"")=0,"",IFERROR(INDEX($A$9:$X$304,$AS213,COLUMNS($AV$9:BO212)),""))</f>
        <v>0</v>
      </c>
      <c r="BP213" s="3" t="b">
        <f>IF(IFERROR(INDEX($A$9:$X$304,$AS213,COLUMNS($AV$9:BP212)),"")=0,"",IFERROR(INDEX($A$9:$X$304,$AS213,COLUMNS($AV$9:BP212)),""))</f>
        <v>0</v>
      </c>
      <c r="BQ213" s="3" t="b">
        <f>IF(IFERROR(INDEX($A$9:$X$304,$AS213,COLUMNS($AV$9:BQ212)),"")=0,"",IFERROR(INDEX($A$9:$X$304,$AS213,COLUMNS($AV$9:BQ212)),""))</f>
        <v>0</v>
      </c>
      <c r="BR213" s="3" t="str">
        <f>IF(IFERROR(INDEX($A$9:$X$304,$AS213,COLUMNS($AV$9:BR212)),"")=0,"",IFERROR(INDEX($A$9:$X$304,$AS213,COLUMNS($AV$9:BR212)),""))</f>
        <v>https://www.epiccardgame.com/wp-content/uploads/2017/11/UPV-EN-rescue-griffin.jpg</v>
      </c>
      <c r="BS213" s="3" t="str">
        <f>IF(IFERROR(INDEX($A$9:$X$304,$AS213,COLUMNS($AV$9:BS212)),"")=0,"",IFERROR(INDEX($A$9:$X$304,$AS213,COLUMNS($AV$9:BS212)),""))</f>
        <v/>
      </c>
      <c r="BT213" s="3"/>
      <c r="BU213" s="15"/>
      <c r="BV213" t="s">
        <v>234</v>
      </c>
    </row>
    <row r="214" spans="1:74" ht="225" customHeight="1" x14ac:dyDescent="0.25">
      <c r="A214" t="s">
        <v>526</v>
      </c>
      <c r="B214">
        <v>1</v>
      </c>
      <c r="C214" t="s">
        <v>616</v>
      </c>
      <c r="E214" t="s">
        <v>619</v>
      </c>
      <c r="H214" t="s">
        <v>627</v>
      </c>
      <c r="I214" t="s">
        <v>907</v>
      </c>
      <c r="J214" t="s">
        <v>778</v>
      </c>
      <c r="O214" t="s">
        <v>1062</v>
      </c>
      <c r="P214" t="s">
        <v>1112</v>
      </c>
      <c r="Q214" t="s">
        <v>1161</v>
      </c>
      <c r="R214" t="s">
        <v>1180</v>
      </c>
      <c r="S214" t="b">
        <v>1</v>
      </c>
      <c r="T214" t="b">
        <v>1</v>
      </c>
      <c r="U214" t="b">
        <v>0</v>
      </c>
      <c r="V214" t="b">
        <v>0</v>
      </c>
      <c r="W214" s="2" t="s">
        <v>1389</v>
      </c>
      <c r="X214" s="2"/>
      <c r="Y214" s="24">
        <v>206</v>
      </c>
      <c r="Z214">
        <f t="shared" si="60"/>
        <v>206</v>
      </c>
      <c r="AA214">
        <f t="shared" si="61"/>
        <v>206</v>
      </c>
      <c r="AB214">
        <f t="shared" si="62"/>
        <v>206</v>
      </c>
      <c r="AC214">
        <f t="shared" si="63"/>
        <v>0</v>
      </c>
      <c r="AD214">
        <f t="shared" si="64"/>
        <v>206</v>
      </c>
      <c r="AE214">
        <f t="shared" si="65"/>
        <v>0</v>
      </c>
      <c r="AF214">
        <f t="shared" si="66"/>
        <v>0</v>
      </c>
      <c r="AG214">
        <f t="shared" si="67"/>
        <v>206</v>
      </c>
      <c r="AH214">
        <f t="shared" si="68"/>
        <v>206</v>
      </c>
      <c r="AI214">
        <f t="shared" si="69"/>
        <v>206</v>
      </c>
      <c r="AJ214">
        <f t="shared" si="70"/>
        <v>0</v>
      </c>
      <c r="AK214">
        <f t="shared" si="71"/>
        <v>0</v>
      </c>
      <c r="AL214">
        <f t="shared" si="72"/>
        <v>0</v>
      </c>
      <c r="AM214">
        <f t="shared" si="73"/>
        <v>0</v>
      </c>
      <c r="AN214">
        <f t="shared" si="74"/>
        <v>206</v>
      </c>
      <c r="AO214">
        <f t="shared" si="75"/>
        <v>206</v>
      </c>
      <c r="AP214">
        <f t="shared" si="76"/>
        <v>206</v>
      </c>
      <c r="AQ214">
        <f t="shared" si="77"/>
        <v>206</v>
      </c>
      <c r="AR214" s="6">
        <f t="shared" si="78"/>
        <v>206</v>
      </c>
      <c r="AS214">
        <f t="shared" si="79"/>
        <v>206</v>
      </c>
      <c r="AV214" s="1" t="str">
        <f>IF(IFERROR(INDEX($A$9:$W$304,$AS214,COLUMNS($AV$9:AV213)),"")=0,"",IFERROR(INDEX($A$9:$W$304,$AS214,COLUMNS($AV$9:AV213)),""))</f>
        <v>Reset</v>
      </c>
      <c r="AW214" s="1">
        <f>IFERROR(INDEX($A$9:$W$304,$AS214,COLUMNS($AV$9:AW213)),"")</f>
        <v>1</v>
      </c>
      <c r="AX214" s="1" t="str">
        <f>IF(IFERROR(INDEX($A$9:$X$304,$AS214,COLUMNS($AV$9:AX213)),"")=0,"",IFERROR(INDEX($A$9:$X$304,$AS214,COLUMNS($AV$9:AX213)),""))</f>
        <v>SAGE</v>
      </c>
      <c r="AY214" s="1" t="str">
        <f>IF(IFERROR(INDEX($A$9:$X$304,$AS214,COLUMNS($AV$9:AY213)),"")=0,"",IFERROR(INDEX($A$9:$X$304,$AS214,COLUMNS($AV$9:AY213)),""))</f>
        <v/>
      </c>
      <c r="AZ214" s="1" t="str">
        <f>IF(IFERROR(INDEX($A$9:$X$304,$AS214,COLUMNS($AV$9:AZ213)),"")=0,"",IFERROR(INDEX($A$9:$X$304,$AS214,COLUMNS($AV$9:AZ213)),""))</f>
        <v>EVENT</v>
      </c>
      <c r="BA214" s="1" t="str">
        <f>IF(IFERROR(INDEX($A$9:$X$304,$AS214,COLUMNS($AV$9:BA213)),"")=0,"",IFERROR(INDEX($A$9:$X$304,$AS214,COLUMNS($AV$9:BA213)),""))</f>
        <v/>
      </c>
      <c r="BB214" s="1" t="str">
        <f>IF(IFERROR(INDEX($A$9:$X$304,$AS214,COLUMNS($AV$9:BB213)),"")=0,"",IFERROR(INDEX($A$9:$X$304,$AS214,COLUMNS($AV$9:BB213)),""))</f>
        <v/>
      </c>
      <c r="BC214" s="1" t="str">
        <f>IF(IFERROR(INDEX($A$9:$X$304,$AS214,COLUMNS($AV$9:BC213)),"")=0,"",IFERROR(INDEX($A$9:$X$304,$AS214,COLUMNS($AV$9:BC213)),""))</f>
        <v>Draw two cards.</v>
      </c>
      <c r="BD214" s="1" t="str">
        <f>IF(IFERROR(INDEX($A$9:$X$304,$AS214,COLUMNS($AV$9:BD213)),"")=0,"",IFERROR(INDEX($A$9:$X$304,$AS214,COLUMNS($AV$9:BD213)),""))</f>
        <v>Return each champion to its owner's hand.</v>
      </c>
      <c r="BE214" s="1" t="str">
        <f>IF(IFERROR(INDEX($A$9:$X$304,$AS214,COLUMNS($AV$9:BE213)),"")=0,"",IFERROR(INDEX($A$9:$X$304,$AS214,COLUMNS($AV$9:BE213)),""))</f>
        <v>The player whose turn it is draws a card.</v>
      </c>
      <c r="BF214" s="1" t="str">
        <f>IF(IFERROR(INDEX($A$9:$X$304,$AS214,COLUMNS($AV$9:BF213)),"")=0,"",IFERROR(INDEX($A$9:$X$304,$AS214,COLUMNS($AV$9:BF213)),""))</f>
        <v/>
      </c>
      <c r="BG214" s="1" t="str">
        <f>IF(IFERROR(INDEX($A$9:$X$304,$AS214,COLUMNS($AV$9:BG213)),"")=0,"",IFERROR(INDEX($A$9:$X$304,$AS214,COLUMNS($AV$9:BG213)),""))</f>
        <v/>
      </c>
      <c r="BH214" s="1" t="str">
        <f>IF(IFERROR(INDEX($A$9:$X$304,$AS214,COLUMNS($AV$9:BH213)),"")=0,"",IFERROR(INDEX($A$9:$X$304,$AS214,COLUMNS($AV$9:BH213)),""))</f>
        <v/>
      </c>
      <c r="BI214" s="1" t="str">
        <f>IF(IFERROR(INDEX($A$9:$X$304,$AS214,COLUMNS($AV$9:BI213)),"")=0,"",IFERROR(INDEX($A$9:$X$304,$AS214,COLUMNS($AV$9:BI213)),""))</f>
        <v/>
      </c>
      <c r="BJ214" s="1" t="str">
        <f>IF(IFERROR(INDEX($A$9:$X$304,$AS214,COLUMNS($AV$9:BJ213)),"")=0,"",IFERROR(INDEX($A$9:$X$304,$AS214,COLUMNS($AV$9:BJ213)),""))</f>
        <v>None</v>
      </c>
      <c r="BK214" s="1" t="str">
        <f>IF(IFERROR(INDEX($A$9:$X$304,$AS214,COLUMNS($AV$9:BK213)),"")=0,"",IFERROR(INDEX($A$9:$X$304,$AS214,COLUMNS($AV$9:BK213)),""))</f>
        <v>Common</v>
      </c>
      <c r="BL214" s="1" t="str">
        <f>IF(IFERROR(INDEX($A$9:$X$304,$AS214,COLUMNS($AV$9:BL213)),"")=0,"",IFERROR(INDEX($A$9:$X$304,$AS214,COLUMNS($AV$9:BL213)),""))</f>
        <v>Jamie Tayag</v>
      </c>
      <c r="BM214" s="1" t="str">
        <f>IF(IFERROR(INDEX($A$9:$X$304,$AS214,COLUMNS($AV$9:BM213)),"")=0,"",IFERROR(INDEX($A$9:$X$304,$AS214,COLUMNS($AV$9:BM213)),""))</f>
        <v>Uprising: Flames of Scarros</v>
      </c>
      <c r="BN214" s="3" t="b">
        <f>IF(IFERROR(INDEX($A$9:$X$304,$AS214,COLUMNS($AV$9:BN213)),"")=0,"",IFERROR(INDEX($A$9:$X$304,$AS214,COLUMNS($AV$9:BN213)),""))</f>
        <v>1</v>
      </c>
      <c r="BO214" s="3" t="b">
        <f>IF(IFERROR(INDEX($A$9:$X$304,$AS214,COLUMNS($AV$9:BO213)),"")=0,"",IFERROR(INDEX($A$9:$X$304,$AS214,COLUMNS($AV$9:BO213)),""))</f>
        <v>1</v>
      </c>
      <c r="BP214" s="3" t="b">
        <f>IF(IFERROR(INDEX($A$9:$X$304,$AS214,COLUMNS($AV$9:BP213)),"")=0,"",IFERROR(INDEX($A$9:$X$304,$AS214,COLUMNS($AV$9:BP213)),""))</f>
        <v>0</v>
      </c>
      <c r="BQ214" s="3" t="b">
        <f>IF(IFERROR(INDEX($A$9:$X$304,$AS214,COLUMNS($AV$9:BQ213)),"")=0,"",IFERROR(INDEX($A$9:$X$304,$AS214,COLUMNS($AV$9:BQ213)),""))</f>
        <v>0</v>
      </c>
      <c r="BR214" s="3" t="str">
        <f>IF(IFERROR(INDEX($A$9:$X$304,$AS214,COLUMNS($AV$9:BR213)),"")=0,"",IFERROR(INDEX($A$9:$X$304,$AS214,COLUMNS($AV$9:BR213)),""))</f>
        <v>https://www.epiccardgame.com/wp-content/uploads/2017/11/UPS-EN-reset.jpg</v>
      </c>
      <c r="BS214" s="3" t="str">
        <f>IF(IFERROR(INDEX($A$9:$X$304,$AS214,COLUMNS($AV$9:BS213)),"")=0,"",IFERROR(INDEX($A$9:$X$304,$AS214,COLUMNS($AV$9:BS213)),""))</f>
        <v/>
      </c>
      <c r="BT214" s="3"/>
      <c r="BU214" s="15"/>
      <c r="BV214" t="s">
        <v>235</v>
      </c>
    </row>
    <row r="215" spans="1:74" ht="225.2" customHeight="1" x14ac:dyDescent="0.25">
      <c r="A215" t="s">
        <v>527</v>
      </c>
      <c r="B215">
        <v>1</v>
      </c>
      <c r="C215" t="s">
        <v>617</v>
      </c>
      <c r="E215" t="s">
        <v>619</v>
      </c>
      <c r="H215" t="s">
        <v>627</v>
      </c>
      <c r="I215" t="s">
        <v>908</v>
      </c>
      <c r="O215" t="s">
        <v>1062</v>
      </c>
      <c r="P215" t="s">
        <v>1112</v>
      </c>
      <c r="Q215" t="s">
        <v>1124</v>
      </c>
      <c r="R215" t="s">
        <v>1171</v>
      </c>
      <c r="S215" t="b">
        <v>1</v>
      </c>
      <c r="T215" t="b">
        <v>1</v>
      </c>
      <c r="U215" t="b">
        <v>0</v>
      </c>
      <c r="V215" t="b">
        <v>0</v>
      </c>
      <c r="W215" s="2" t="s">
        <v>1390</v>
      </c>
      <c r="X215" s="2"/>
      <c r="Y215" s="24">
        <v>207</v>
      </c>
      <c r="Z215">
        <f t="shared" si="60"/>
        <v>207</v>
      </c>
      <c r="AA215">
        <f t="shared" si="61"/>
        <v>207</v>
      </c>
      <c r="AB215">
        <f t="shared" si="62"/>
        <v>207</v>
      </c>
      <c r="AC215">
        <f t="shared" si="63"/>
        <v>0</v>
      </c>
      <c r="AD215">
        <f t="shared" si="64"/>
        <v>207</v>
      </c>
      <c r="AE215">
        <f t="shared" si="65"/>
        <v>0</v>
      </c>
      <c r="AF215">
        <f t="shared" si="66"/>
        <v>0</v>
      </c>
      <c r="AG215">
        <f t="shared" si="67"/>
        <v>207</v>
      </c>
      <c r="AH215">
        <f t="shared" si="68"/>
        <v>207</v>
      </c>
      <c r="AI215">
        <f t="shared" si="69"/>
        <v>0</v>
      </c>
      <c r="AJ215">
        <f t="shared" si="70"/>
        <v>0</v>
      </c>
      <c r="AK215">
        <f t="shared" si="71"/>
        <v>0</v>
      </c>
      <c r="AL215">
        <f t="shared" si="72"/>
        <v>0</v>
      </c>
      <c r="AM215">
        <f t="shared" si="73"/>
        <v>0</v>
      </c>
      <c r="AN215">
        <f t="shared" si="74"/>
        <v>207</v>
      </c>
      <c r="AO215">
        <f t="shared" si="75"/>
        <v>207</v>
      </c>
      <c r="AP215">
        <f t="shared" si="76"/>
        <v>207</v>
      </c>
      <c r="AQ215">
        <f t="shared" si="77"/>
        <v>207</v>
      </c>
      <c r="AR215" s="6">
        <f t="shared" si="78"/>
        <v>207</v>
      </c>
      <c r="AS215">
        <f t="shared" si="79"/>
        <v>207</v>
      </c>
      <c r="AV215" s="1" t="str">
        <f>IF(IFERROR(INDEX($A$9:$W$304,$AS215,COLUMNS($AV$9:AV214)),"")=0,"",IFERROR(INDEX($A$9:$W$304,$AS215,COLUMNS($AV$9:AV214)),""))</f>
        <v>Resurrection</v>
      </c>
      <c r="AW215" s="1">
        <f>IFERROR(INDEX($A$9:$W$304,$AS215,COLUMNS($AV$9:AW214)),"")</f>
        <v>1</v>
      </c>
      <c r="AX215" s="1" t="str">
        <f>IF(IFERROR(INDEX($A$9:$X$304,$AS215,COLUMNS($AV$9:AX214)),"")=0,"",IFERROR(INDEX($A$9:$X$304,$AS215,COLUMNS($AV$9:AX214)),""))</f>
        <v>GOOD</v>
      </c>
      <c r="AY215" s="1" t="str">
        <f>IF(IFERROR(INDEX($A$9:$X$304,$AS215,COLUMNS($AV$9:AY214)),"")=0,"",IFERROR(INDEX($A$9:$X$304,$AS215,COLUMNS($AV$9:AY214)),""))</f>
        <v/>
      </c>
      <c r="AZ215" s="1" t="str">
        <f>IF(IFERROR(INDEX($A$9:$X$304,$AS215,COLUMNS($AV$9:AZ214)),"")=0,"",IFERROR(INDEX($A$9:$X$304,$AS215,COLUMNS($AV$9:AZ214)),""))</f>
        <v>EVENT</v>
      </c>
      <c r="BA215" s="1" t="str">
        <f>IF(IFERROR(INDEX($A$9:$X$304,$AS215,COLUMNS($AV$9:BA214)),"")=0,"",IFERROR(INDEX($A$9:$X$304,$AS215,COLUMNS($AV$9:BA214)),""))</f>
        <v/>
      </c>
      <c r="BB215" s="1" t="str">
        <f>IF(IFERROR(INDEX($A$9:$X$304,$AS215,COLUMNS($AV$9:BB214)),"")=0,"",IFERROR(INDEX($A$9:$X$304,$AS215,COLUMNS($AV$9:BB214)),""))</f>
        <v/>
      </c>
      <c r="BC215" s="1" t="str">
        <f>IF(IFERROR(INDEX($A$9:$X$304,$AS215,COLUMNS($AV$9:BC214)),"")=0,"",IFERROR(INDEX($A$9:$X$304,$AS215,COLUMNS($AV$9:BC214)),""))</f>
        <v>Draw two cards.</v>
      </c>
      <c r="BD215" s="1" t="str">
        <f>IF(IFERROR(INDEX($A$9:$X$304,$AS215,COLUMNS($AV$9:BD214)),"")=0,"",IFERROR(INDEX($A$9:$X$304,$AS215,COLUMNS($AV$9:BD214)),""))</f>
        <v>Target a champion card in your discard pile that was broken this turn. Return it to play.</v>
      </c>
      <c r="BE215" s="1" t="str">
        <f>IF(IFERROR(INDEX($A$9:$X$304,$AS215,COLUMNS($AV$9:BE214)),"")=0,"",IFERROR(INDEX($A$9:$X$304,$AS215,COLUMNS($AV$9:BE214)),""))</f>
        <v/>
      </c>
      <c r="BF215" s="1" t="str">
        <f>IF(IFERROR(INDEX($A$9:$X$304,$AS215,COLUMNS($AV$9:BF214)),"")=0,"",IFERROR(INDEX($A$9:$X$304,$AS215,COLUMNS($AV$9:BF214)),""))</f>
        <v/>
      </c>
      <c r="BG215" s="1" t="str">
        <f>IF(IFERROR(INDEX($A$9:$X$304,$AS215,COLUMNS($AV$9:BG214)),"")=0,"",IFERROR(INDEX($A$9:$X$304,$AS215,COLUMNS($AV$9:BG214)),""))</f>
        <v/>
      </c>
      <c r="BH215" s="1" t="str">
        <f>IF(IFERROR(INDEX($A$9:$X$304,$AS215,COLUMNS($AV$9:BH214)),"")=0,"",IFERROR(INDEX($A$9:$X$304,$AS215,COLUMNS($AV$9:BH214)),""))</f>
        <v/>
      </c>
      <c r="BI215" s="1" t="str">
        <f>IF(IFERROR(INDEX($A$9:$X$304,$AS215,COLUMNS($AV$9:BI214)),"")=0,"",IFERROR(INDEX($A$9:$X$304,$AS215,COLUMNS($AV$9:BI214)),""))</f>
        <v/>
      </c>
      <c r="BJ215" s="1" t="str">
        <f>IF(IFERROR(INDEX($A$9:$X$304,$AS215,COLUMNS($AV$9:BJ214)),"")=0,"",IFERROR(INDEX($A$9:$X$304,$AS215,COLUMNS($AV$9:BJ214)),""))</f>
        <v>None</v>
      </c>
      <c r="BK215" s="1" t="str">
        <f>IF(IFERROR(INDEX($A$9:$X$304,$AS215,COLUMNS($AV$9:BK214)),"")=0,"",IFERROR(INDEX($A$9:$X$304,$AS215,COLUMNS($AV$9:BK214)),""))</f>
        <v>Common</v>
      </c>
      <c r="BL215" s="1" t="str">
        <f>IF(IFERROR(INDEX($A$9:$X$304,$AS215,COLUMNS($AV$9:BL214)),"")=0,"",IFERROR(INDEX($A$9:$X$304,$AS215,COLUMNS($AV$9:BL214)),""))</f>
        <v>Souveraine</v>
      </c>
      <c r="BM215" s="1" t="str">
        <f>IF(IFERROR(INDEX($A$9:$X$304,$AS215,COLUMNS($AV$9:BM214)),"")=0,"",IFERROR(INDEX($A$9:$X$304,$AS215,COLUMNS($AV$9:BM214)),""))</f>
        <v>Base Set</v>
      </c>
      <c r="BN215" s="3" t="b">
        <f>IF(IFERROR(INDEX($A$9:$X$304,$AS215,COLUMNS($AV$9:BN214)),"")=0,"",IFERROR(INDEX($A$9:$X$304,$AS215,COLUMNS($AV$9:BN214)),""))</f>
        <v>1</v>
      </c>
      <c r="BO215" s="3" t="b">
        <f>IF(IFERROR(INDEX($A$9:$X$304,$AS215,COLUMNS($AV$9:BO214)),"")=0,"",IFERROR(INDEX($A$9:$X$304,$AS215,COLUMNS($AV$9:BO214)),""))</f>
        <v>1</v>
      </c>
      <c r="BP215" s="3" t="b">
        <f>IF(IFERROR(INDEX($A$9:$X$304,$AS215,COLUMNS($AV$9:BP214)),"")=0,"",IFERROR(INDEX($A$9:$X$304,$AS215,COLUMNS($AV$9:BP214)),""))</f>
        <v>0</v>
      </c>
      <c r="BQ215" s="3" t="b">
        <f>IF(IFERROR(INDEX($A$9:$X$304,$AS215,COLUMNS($AV$9:BQ214)),"")=0,"",IFERROR(INDEX($A$9:$X$304,$AS215,COLUMNS($AV$9:BQ214)),""))</f>
        <v>0</v>
      </c>
      <c r="BR215" s="3" t="str">
        <f>IF(IFERROR(INDEX($A$9:$X$304,$AS215,COLUMNS($AV$9:BR214)),"")=0,"",IFERROR(INDEX($A$9:$X$304,$AS215,COLUMNS($AV$9:BR214)),""))</f>
        <v>http://www.epiccardgame.com/wp-content/uploads/2015/09/resurrection-215x300.jpg</v>
      </c>
      <c r="BS215" s="3" t="str">
        <f>IF(IFERROR(INDEX($A$9:$X$304,$AS215,COLUMNS($AV$9:BS214)),"")=0,"",IFERROR(INDEX($A$9:$X$304,$AS215,COLUMNS($AV$9:BS214)),""))</f>
        <v/>
      </c>
      <c r="BT215" s="3"/>
      <c r="BU215" s="15"/>
      <c r="BV215" t="s">
        <v>236</v>
      </c>
    </row>
    <row r="216" spans="1:74" ht="225" customHeight="1" x14ac:dyDescent="0.25">
      <c r="A216" t="s">
        <v>528</v>
      </c>
      <c r="B216">
        <v>1</v>
      </c>
      <c r="C216" t="s">
        <v>616</v>
      </c>
      <c r="E216" t="s">
        <v>619</v>
      </c>
      <c r="H216" t="s">
        <v>726</v>
      </c>
      <c r="I216" t="s">
        <v>909</v>
      </c>
      <c r="O216" t="s">
        <v>1062</v>
      </c>
      <c r="P216" t="s">
        <v>1112</v>
      </c>
      <c r="Q216" t="s">
        <v>1118</v>
      </c>
      <c r="R216" t="s">
        <v>1177</v>
      </c>
      <c r="S216" t="b">
        <v>1</v>
      </c>
      <c r="T216" t="b">
        <v>0</v>
      </c>
      <c r="U216" t="b">
        <v>0</v>
      </c>
      <c r="V216" t="b">
        <v>0</v>
      </c>
      <c r="W216" s="2" t="s">
        <v>1391</v>
      </c>
      <c r="X216" s="2"/>
      <c r="Y216" s="24">
        <v>208</v>
      </c>
      <c r="Z216">
        <f t="shared" si="60"/>
        <v>208</v>
      </c>
      <c r="AA216">
        <f t="shared" si="61"/>
        <v>208</v>
      </c>
      <c r="AB216">
        <f t="shared" si="62"/>
        <v>208</v>
      </c>
      <c r="AC216">
        <f t="shared" si="63"/>
        <v>0</v>
      </c>
      <c r="AD216">
        <f t="shared" si="64"/>
        <v>208</v>
      </c>
      <c r="AE216">
        <f t="shared" si="65"/>
        <v>0</v>
      </c>
      <c r="AF216">
        <f t="shared" si="66"/>
        <v>0</v>
      </c>
      <c r="AG216">
        <f t="shared" si="67"/>
        <v>208</v>
      </c>
      <c r="AH216">
        <f t="shared" si="68"/>
        <v>208</v>
      </c>
      <c r="AI216">
        <f t="shared" si="69"/>
        <v>0</v>
      </c>
      <c r="AJ216">
        <f t="shared" si="70"/>
        <v>0</v>
      </c>
      <c r="AK216">
        <f t="shared" si="71"/>
        <v>0</v>
      </c>
      <c r="AL216">
        <f t="shared" si="72"/>
        <v>0</v>
      </c>
      <c r="AM216">
        <f t="shared" si="73"/>
        <v>0</v>
      </c>
      <c r="AN216">
        <f t="shared" si="74"/>
        <v>208</v>
      </c>
      <c r="AO216">
        <f t="shared" si="75"/>
        <v>208</v>
      </c>
      <c r="AP216">
        <f t="shared" si="76"/>
        <v>208</v>
      </c>
      <c r="AQ216">
        <f t="shared" si="77"/>
        <v>208</v>
      </c>
      <c r="AR216" s="6">
        <f t="shared" si="78"/>
        <v>208</v>
      </c>
      <c r="AS216">
        <f t="shared" si="79"/>
        <v>208</v>
      </c>
      <c r="AV216" s="1" t="str">
        <f>IF(IFERROR(INDEX($A$9:$W$304,$AS216,COLUMNS($AV$9:AV215)),"")=0,"",IFERROR(INDEX($A$9:$W$304,$AS216,COLUMNS($AV$9:AV215)),""))</f>
        <v>Reusable Knowledge</v>
      </c>
      <c r="AW216" s="1">
        <f>IFERROR(INDEX($A$9:$W$304,$AS216,COLUMNS($AV$9:AW215)),"")</f>
        <v>1</v>
      </c>
      <c r="AX216" s="1" t="str">
        <f>IF(IFERROR(INDEX($A$9:$X$304,$AS216,COLUMNS($AV$9:AX215)),"")=0,"",IFERROR(INDEX($A$9:$X$304,$AS216,COLUMNS($AV$9:AX215)),""))</f>
        <v>SAGE</v>
      </c>
      <c r="AY216" s="1" t="str">
        <f>IF(IFERROR(INDEX($A$9:$X$304,$AS216,COLUMNS($AV$9:AY215)),"")=0,"",IFERROR(INDEX($A$9:$X$304,$AS216,COLUMNS($AV$9:AY215)),""))</f>
        <v/>
      </c>
      <c r="AZ216" s="1" t="str">
        <f>IF(IFERROR(INDEX($A$9:$X$304,$AS216,COLUMNS($AV$9:AZ215)),"")=0,"",IFERROR(INDEX($A$9:$X$304,$AS216,COLUMNS($AV$9:AZ215)),""))</f>
        <v>EVENT</v>
      </c>
      <c r="BA216" s="1" t="str">
        <f>IF(IFERROR(INDEX($A$9:$X$304,$AS216,COLUMNS($AV$9:BA215)),"")=0,"",IFERROR(INDEX($A$9:$X$304,$AS216,COLUMNS($AV$9:BA215)),""))</f>
        <v/>
      </c>
      <c r="BB216" s="1" t="str">
        <f>IF(IFERROR(INDEX($A$9:$X$304,$AS216,COLUMNS($AV$9:BB215)),"")=0,"",IFERROR(INDEX($A$9:$X$304,$AS216,COLUMNS($AV$9:BB215)),""))</f>
        <v/>
      </c>
      <c r="BC216" s="1" t="str">
        <f>IF(IFERROR(INDEX($A$9:$X$304,$AS216,COLUMNS($AV$9:BC215)),"")=0,"",IFERROR(INDEX($A$9:$X$304,$AS216,COLUMNS($AV$9:BC215)),""))</f>
        <v>Draw a card, then you may return target event from your discard pile to hand.</v>
      </c>
      <c r="BD216" s="1" t="str">
        <f>IF(IFERROR(INDEX($A$9:$X$304,$AS216,COLUMNS($AV$9:BD215)),"")=0,"",IFERROR(INDEX($A$9:$X$304,$AS216,COLUMNS($AV$9:BD215)),""))</f>
        <v>It isn't surprising that he keeps using the same spells, given how effective they are.</v>
      </c>
      <c r="BE216" s="1" t="str">
        <f>IF(IFERROR(INDEX($A$9:$X$304,$AS216,COLUMNS($AV$9:BE215)),"")=0,"",IFERROR(INDEX($A$9:$X$304,$AS216,COLUMNS($AV$9:BE215)),""))</f>
        <v/>
      </c>
      <c r="BF216" s="1" t="str">
        <f>IF(IFERROR(INDEX($A$9:$X$304,$AS216,COLUMNS($AV$9:BF215)),"")=0,"",IFERROR(INDEX($A$9:$X$304,$AS216,COLUMNS($AV$9:BF215)),""))</f>
        <v/>
      </c>
      <c r="BG216" s="1" t="str">
        <f>IF(IFERROR(INDEX($A$9:$X$304,$AS216,COLUMNS($AV$9:BG215)),"")=0,"",IFERROR(INDEX($A$9:$X$304,$AS216,COLUMNS($AV$9:BG215)),""))</f>
        <v/>
      </c>
      <c r="BH216" s="1" t="str">
        <f>IF(IFERROR(INDEX($A$9:$X$304,$AS216,COLUMNS($AV$9:BH215)),"")=0,"",IFERROR(INDEX($A$9:$X$304,$AS216,COLUMNS($AV$9:BH215)),""))</f>
        <v/>
      </c>
      <c r="BI216" s="1" t="str">
        <f>IF(IFERROR(INDEX($A$9:$X$304,$AS216,COLUMNS($AV$9:BI215)),"")=0,"",IFERROR(INDEX($A$9:$X$304,$AS216,COLUMNS($AV$9:BI215)),""))</f>
        <v/>
      </c>
      <c r="BJ216" s="1" t="str">
        <f>IF(IFERROR(INDEX($A$9:$X$304,$AS216,COLUMNS($AV$9:BJ215)),"")=0,"",IFERROR(INDEX($A$9:$X$304,$AS216,COLUMNS($AV$9:BJ215)),""))</f>
        <v>None</v>
      </c>
      <c r="BK216" s="1" t="str">
        <f>IF(IFERROR(INDEX($A$9:$X$304,$AS216,COLUMNS($AV$9:BK215)),"")=0,"",IFERROR(INDEX($A$9:$X$304,$AS216,COLUMNS($AV$9:BK215)),""))</f>
        <v>Common</v>
      </c>
      <c r="BL216" s="1" t="str">
        <f>IF(IFERROR(INDEX($A$9:$X$304,$AS216,COLUMNS($AV$9:BL215)),"")=0,"",IFERROR(INDEX($A$9:$X$304,$AS216,COLUMNS($AV$9:BL215)),""))</f>
        <v>L.Sean</v>
      </c>
      <c r="BM216" s="1" t="str">
        <f>IF(IFERROR(INDEX($A$9:$X$304,$AS216,COLUMNS($AV$9:BM215)),"")=0,"",IFERROR(INDEX($A$9:$X$304,$AS216,COLUMNS($AV$9:BM215)),""))</f>
        <v>Uprising: Will of Zannos</v>
      </c>
      <c r="BN216" s="3" t="b">
        <f>IF(IFERROR(INDEX($A$9:$X$304,$AS216,COLUMNS($AV$9:BN215)),"")=0,"",IFERROR(INDEX($A$9:$X$304,$AS216,COLUMNS($AV$9:BN215)),""))</f>
        <v>1</v>
      </c>
      <c r="BO216" s="3" t="b">
        <f>IF(IFERROR(INDEX($A$9:$X$304,$AS216,COLUMNS($AV$9:BO215)),"")=0,"",IFERROR(INDEX($A$9:$X$304,$AS216,COLUMNS($AV$9:BO215)),""))</f>
        <v>0</v>
      </c>
      <c r="BP216" s="3" t="b">
        <f>IF(IFERROR(INDEX($A$9:$X$304,$AS216,COLUMNS($AV$9:BP215)),"")=0,"",IFERROR(INDEX($A$9:$X$304,$AS216,COLUMNS($AV$9:BP215)),""))</f>
        <v>0</v>
      </c>
      <c r="BQ216" s="3" t="b">
        <f>IF(IFERROR(INDEX($A$9:$X$304,$AS216,COLUMNS($AV$9:BQ215)),"")=0,"",IFERROR(INDEX($A$9:$X$304,$AS216,COLUMNS($AV$9:BQ215)),""))</f>
        <v>0</v>
      </c>
      <c r="BR216" s="3" t="str">
        <f>IF(IFERROR(INDEX($A$9:$X$304,$AS216,COLUMNS($AV$9:BR215)),"")=0,"",IFERROR(INDEX($A$9:$X$304,$AS216,COLUMNS($AV$9:BR215)),""))</f>
        <v>https://www.epiccardgame.com/wp-content/uploads/2017/11/UPZ-EN-reusable-knowledge.jpg</v>
      </c>
      <c r="BS216" s="3" t="str">
        <f>IF(IFERROR(INDEX($A$9:$X$304,$AS216,COLUMNS($AV$9:BS215)),"")=0,"",IFERROR(INDEX($A$9:$X$304,$AS216,COLUMNS($AV$9:BS215)),""))</f>
        <v/>
      </c>
      <c r="BT216" s="3"/>
      <c r="BU216" s="15"/>
      <c r="BV216" t="s">
        <v>237</v>
      </c>
    </row>
    <row r="217" spans="1:74" ht="225.2" customHeight="1" x14ac:dyDescent="0.25">
      <c r="A217" t="s">
        <v>529</v>
      </c>
      <c r="B217">
        <v>0</v>
      </c>
      <c r="C217" t="s">
        <v>617</v>
      </c>
      <c r="E217" t="s">
        <v>619</v>
      </c>
      <c r="H217" t="s">
        <v>640</v>
      </c>
      <c r="I217" t="s">
        <v>910</v>
      </c>
      <c r="J217" t="s">
        <v>1009</v>
      </c>
      <c r="K217" t="s">
        <v>769</v>
      </c>
      <c r="O217" t="s">
        <v>1062</v>
      </c>
      <c r="P217" t="s">
        <v>1112</v>
      </c>
      <c r="Q217" t="s">
        <v>1148</v>
      </c>
      <c r="R217" t="s">
        <v>1183</v>
      </c>
      <c r="S217" t="b">
        <v>1</v>
      </c>
      <c r="T217" t="b">
        <v>0</v>
      </c>
      <c r="U217" t="b">
        <v>0</v>
      </c>
      <c r="V217" t="b">
        <v>1</v>
      </c>
      <c r="W217" s="2" t="s">
        <v>1392</v>
      </c>
      <c r="X217" s="2"/>
      <c r="Y217" s="24">
        <v>209</v>
      </c>
      <c r="Z217">
        <f t="shared" si="60"/>
        <v>209</v>
      </c>
      <c r="AA217">
        <f t="shared" si="61"/>
        <v>209</v>
      </c>
      <c r="AB217">
        <f t="shared" si="62"/>
        <v>209</v>
      </c>
      <c r="AC217">
        <f t="shared" si="63"/>
        <v>0</v>
      </c>
      <c r="AD217">
        <f t="shared" si="64"/>
        <v>209</v>
      </c>
      <c r="AE217">
        <f t="shared" si="65"/>
        <v>0</v>
      </c>
      <c r="AF217">
        <f t="shared" si="66"/>
        <v>0</v>
      </c>
      <c r="AG217">
        <f t="shared" si="67"/>
        <v>209</v>
      </c>
      <c r="AH217">
        <f t="shared" si="68"/>
        <v>209</v>
      </c>
      <c r="AI217">
        <f t="shared" si="69"/>
        <v>209</v>
      </c>
      <c r="AJ217">
        <f t="shared" si="70"/>
        <v>209</v>
      </c>
      <c r="AK217">
        <f t="shared" si="71"/>
        <v>0</v>
      </c>
      <c r="AL217">
        <f t="shared" si="72"/>
        <v>0</v>
      </c>
      <c r="AM217">
        <f t="shared" si="73"/>
        <v>0</v>
      </c>
      <c r="AN217">
        <f t="shared" si="74"/>
        <v>209</v>
      </c>
      <c r="AO217">
        <f t="shared" si="75"/>
        <v>209</v>
      </c>
      <c r="AP217">
        <f t="shared" si="76"/>
        <v>209</v>
      </c>
      <c r="AQ217">
        <f t="shared" si="77"/>
        <v>209</v>
      </c>
      <c r="AR217" s="6">
        <f t="shared" si="78"/>
        <v>209</v>
      </c>
      <c r="AS217">
        <f t="shared" si="79"/>
        <v>209</v>
      </c>
      <c r="AV217" s="1" t="str">
        <f>IF(IFERROR(INDEX($A$9:$W$304,$AS217,COLUMNS($AV$9:AV216)),"")=0,"",IFERROR(INDEX($A$9:$W$304,$AS217,COLUMNS($AV$9:AV216)),""))</f>
        <v>Revolt</v>
      </c>
      <c r="AW217" s="1">
        <f>IFERROR(INDEX($A$9:$W$304,$AS217,COLUMNS($AV$9:AW216)),"")</f>
        <v>0</v>
      </c>
      <c r="AX217" s="1" t="str">
        <f>IF(IFERROR(INDEX($A$9:$X$304,$AS217,COLUMNS($AV$9:AX216)),"")=0,"",IFERROR(INDEX($A$9:$X$304,$AS217,COLUMNS($AV$9:AX216)),""))</f>
        <v>GOOD</v>
      </c>
      <c r="AY217" s="1" t="str">
        <f>IF(IFERROR(INDEX($A$9:$X$304,$AS217,COLUMNS($AV$9:AY216)),"")=0,"",IFERROR(INDEX($A$9:$X$304,$AS217,COLUMNS($AV$9:AY216)),""))</f>
        <v/>
      </c>
      <c r="AZ217" s="1" t="str">
        <f>IF(IFERROR(INDEX($A$9:$X$304,$AS217,COLUMNS($AV$9:AZ216)),"")=0,"",IFERROR(INDEX($A$9:$X$304,$AS217,COLUMNS($AV$9:AZ216)),""))</f>
        <v>EVENT</v>
      </c>
      <c r="BA217" s="1" t="str">
        <f>IF(IFERROR(INDEX($A$9:$X$304,$AS217,COLUMNS($AV$9:BA216)),"")=0,"",IFERROR(INDEX($A$9:$X$304,$AS217,COLUMNS($AV$9:BA216)),""))</f>
        <v/>
      </c>
      <c r="BB217" s="1" t="str">
        <f>IF(IFERROR(INDEX($A$9:$X$304,$AS217,COLUMNS($AV$9:BB216)),"")=0,"",IFERROR(INDEX($A$9:$X$304,$AS217,COLUMNS($AV$9:BB216)),""))</f>
        <v/>
      </c>
      <c r="BC217" s="1" t="str">
        <f>IF(IFERROR(INDEX($A$9:$X$304,$AS217,COLUMNS($AV$9:BC216)),"")=0,"",IFERROR(INDEX($A$9:$X$304,$AS217,COLUMNS($AV$9:BC216)),""))</f>
        <v>Put a human token into play.</v>
      </c>
      <c r="BD217" s="1" t="str">
        <f>IF(IFERROR(INDEX($A$9:$X$304,$AS217,COLUMNS($AV$9:BD216)),"")=0,"",IFERROR(INDEX($A$9:$X$304,$AS217,COLUMNS($AV$9:BD216)),""))</f>
        <v>It has blitz this turn.</v>
      </c>
      <c r="BE217" s="1" t="str">
        <f>IF(IFERROR(INDEX($A$9:$X$304,$AS217,COLUMNS($AV$9:BE216)),"")=0,"",IFERROR(INDEX($A$9:$X$304,$AS217,COLUMNS($AV$9:BE216)),""))</f>
        <v>Your good champions get +2 {offense} this turn.</v>
      </c>
      <c r="BF217" s="1" t="str">
        <f>IF(IFERROR(INDEX($A$9:$X$304,$AS217,COLUMNS($AV$9:BF216)),"")=0,"",IFERROR(INDEX($A$9:$X$304,$AS217,COLUMNS($AV$9:BF216)),""))</f>
        <v>{1}: Draw two cards.</v>
      </c>
      <c r="BG217" s="1" t="str">
        <f>IF(IFERROR(INDEX($A$9:$X$304,$AS217,COLUMNS($AV$9:BG216)),"")=0,"",IFERROR(INDEX($A$9:$X$304,$AS217,COLUMNS($AV$9:BG216)),""))</f>
        <v/>
      </c>
      <c r="BH217" s="1" t="str">
        <f>IF(IFERROR(INDEX($A$9:$X$304,$AS217,COLUMNS($AV$9:BH216)),"")=0,"",IFERROR(INDEX($A$9:$X$304,$AS217,COLUMNS($AV$9:BH216)),""))</f>
        <v/>
      </c>
      <c r="BI217" s="1" t="str">
        <f>IF(IFERROR(INDEX($A$9:$X$304,$AS217,COLUMNS($AV$9:BI216)),"")=0,"",IFERROR(INDEX($A$9:$X$304,$AS217,COLUMNS($AV$9:BI216)),""))</f>
        <v/>
      </c>
      <c r="BJ217" s="1" t="str">
        <f>IF(IFERROR(INDEX($A$9:$X$304,$AS217,COLUMNS($AV$9:BJ216)),"")=0,"",IFERROR(INDEX($A$9:$X$304,$AS217,COLUMNS($AV$9:BJ216)),""))</f>
        <v>None</v>
      </c>
      <c r="BK217" s="1" t="str">
        <f>IF(IFERROR(INDEX($A$9:$X$304,$AS217,COLUMNS($AV$9:BK216)),"")=0,"",IFERROR(INDEX($A$9:$X$304,$AS217,COLUMNS($AV$9:BK216)),""))</f>
        <v>Common</v>
      </c>
      <c r="BL217" s="1" t="str">
        <f>IF(IFERROR(INDEX($A$9:$X$304,$AS217,COLUMNS($AV$9:BL216)),"")=0,"",IFERROR(INDEX($A$9:$X$304,$AS217,COLUMNS($AV$9:BL216)),""))</f>
        <v>Dylan Safford</v>
      </c>
      <c r="BM217" s="1" t="str">
        <f>IF(IFERROR(INDEX($A$9:$X$304,$AS217,COLUMNS($AV$9:BM216)),"")=0,"",IFERROR(INDEX($A$9:$X$304,$AS217,COLUMNS($AV$9:BM216)),""))</f>
        <v>Tyrants: Raxxa's Revenge</v>
      </c>
      <c r="BN217" s="3" t="b">
        <f>IF(IFERROR(INDEX($A$9:$X$304,$AS217,COLUMNS($AV$9:BN216)),"")=0,"",IFERROR(INDEX($A$9:$X$304,$AS217,COLUMNS($AV$9:BN216)),""))</f>
        <v>1</v>
      </c>
      <c r="BO217" s="3" t="b">
        <f>IF(IFERROR(INDEX($A$9:$X$304,$AS217,COLUMNS($AV$9:BO216)),"")=0,"",IFERROR(INDEX($A$9:$X$304,$AS217,COLUMNS($AV$9:BO216)),""))</f>
        <v>0</v>
      </c>
      <c r="BP217" s="3" t="b">
        <f>IF(IFERROR(INDEX($A$9:$X$304,$AS217,COLUMNS($AV$9:BP216)),"")=0,"",IFERROR(INDEX($A$9:$X$304,$AS217,COLUMNS($AV$9:BP216)),""))</f>
        <v>0</v>
      </c>
      <c r="BQ217" s="3" t="b">
        <f>IF(IFERROR(INDEX($A$9:$X$304,$AS217,COLUMNS($AV$9:BQ216)),"")=0,"",IFERROR(INDEX($A$9:$X$304,$AS217,COLUMNS($AV$9:BQ216)),""))</f>
        <v>1</v>
      </c>
      <c r="BR217" s="3" t="str">
        <f>IF(IFERROR(INDEX($A$9:$X$304,$AS217,COLUMNS($AV$9:BR216)),"")=0,"",IFERROR(INDEX($A$9:$X$304,$AS217,COLUMNS($AV$9:BR216)),""))</f>
        <v>http://www.epiccardgame.com/wp-content/uploads/2016/03/revolt-214x300.jpg</v>
      </c>
      <c r="BS217" s="3" t="str">
        <f>IF(IFERROR(INDEX($A$9:$X$304,$AS217,COLUMNS($AV$9:BS216)),"")=0,"",IFERROR(INDEX($A$9:$X$304,$AS217,COLUMNS($AV$9:BS216)),""))</f>
        <v/>
      </c>
      <c r="BT217" s="3"/>
      <c r="BU217" s="15"/>
      <c r="BV217" t="s">
        <v>238</v>
      </c>
    </row>
    <row r="218" spans="1:74" ht="225.2" customHeight="1" x14ac:dyDescent="0.25">
      <c r="A218" t="s">
        <v>530</v>
      </c>
      <c r="B218">
        <v>1</v>
      </c>
      <c r="C218" t="s">
        <v>618</v>
      </c>
      <c r="E218" t="s">
        <v>620</v>
      </c>
      <c r="F218">
        <v>5</v>
      </c>
      <c r="G218">
        <v>5</v>
      </c>
      <c r="H218" t="s">
        <v>696</v>
      </c>
      <c r="I218" t="s">
        <v>911</v>
      </c>
      <c r="J218" t="s">
        <v>1010</v>
      </c>
      <c r="O218" t="s">
        <v>1074</v>
      </c>
      <c r="P218" t="s">
        <v>1112</v>
      </c>
      <c r="Q218" t="s">
        <v>1131</v>
      </c>
      <c r="R218" t="s">
        <v>1172</v>
      </c>
      <c r="S218" t="b">
        <v>1</v>
      </c>
      <c r="T218" t="b">
        <v>0</v>
      </c>
      <c r="U218" t="b">
        <v>0</v>
      </c>
      <c r="V218" t="b">
        <v>0</v>
      </c>
      <c r="W218" s="2" t="s">
        <v>1393</v>
      </c>
      <c r="X218" s="2"/>
      <c r="Y218" s="24">
        <v>210</v>
      </c>
      <c r="Z218">
        <f t="shared" si="60"/>
        <v>210</v>
      </c>
      <c r="AA218">
        <f t="shared" si="61"/>
        <v>210</v>
      </c>
      <c r="AB218">
        <f t="shared" si="62"/>
        <v>210</v>
      </c>
      <c r="AC218">
        <f t="shared" si="63"/>
        <v>0</v>
      </c>
      <c r="AD218">
        <f t="shared" si="64"/>
        <v>210</v>
      </c>
      <c r="AE218">
        <f t="shared" si="65"/>
        <v>210</v>
      </c>
      <c r="AF218">
        <f t="shared" si="66"/>
        <v>210</v>
      </c>
      <c r="AG218">
        <f t="shared" si="67"/>
        <v>210</v>
      </c>
      <c r="AH218">
        <f t="shared" si="68"/>
        <v>210</v>
      </c>
      <c r="AI218">
        <f t="shared" si="69"/>
        <v>210</v>
      </c>
      <c r="AJ218">
        <f t="shared" si="70"/>
        <v>0</v>
      </c>
      <c r="AK218">
        <f t="shared" si="71"/>
        <v>0</v>
      </c>
      <c r="AL218">
        <f t="shared" si="72"/>
        <v>0</v>
      </c>
      <c r="AM218">
        <f t="shared" si="73"/>
        <v>0</v>
      </c>
      <c r="AN218">
        <f t="shared" si="74"/>
        <v>210</v>
      </c>
      <c r="AO218">
        <f t="shared" si="75"/>
        <v>210</v>
      </c>
      <c r="AP218">
        <f t="shared" si="76"/>
        <v>210</v>
      </c>
      <c r="AQ218">
        <f t="shared" si="77"/>
        <v>210</v>
      </c>
      <c r="AR218" s="6">
        <f t="shared" si="78"/>
        <v>210</v>
      </c>
      <c r="AS218">
        <f t="shared" si="79"/>
        <v>210</v>
      </c>
      <c r="AV218" s="1" t="str">
        <f>IF(IFERROR(INDEX($A$9:$W$304,$AS218,COLUMNS($AV$9:AV217)),"")=0,"",IFERROR(INDEX($A$9:$W$304,$AS218,COLUMNS($AV$9:AV217)),""))</f>
        <v>Rift Summoner</v>
      </c>
      <c r="AW218" s="1">
        <f>IFERROR(INDEX($A$9:$W$304,$AS218,COLUMNS($AV$9:AW217)),"")</f>
        <v>1</v>
      </c>
      <c r="AX218" s="1" t="str">
        <f>IF(IFERROR(INDEX($A$9:$X$304,$AS218,COLUMNS($AV$9:AX217)),"")=0,"",IFERROR(INDEX($A$9:$X$304,$AS218,COLUMNS($AV$9:AX217)),""))</f>
        <v>EVIL</v>
      </c>
      <c r="AY218" s="1" t="str">
        <f>IF(IFERROR(INDEX($A$9:$X$304,$AS218,COLUMNS($AV$9:AY217)),"")=0,"",IFERROR(INDEX($A$9:$X$304,$AS218,COLUMNS($AV$9:AY217)),""))</f>
        <v/>
      </c>
      <c r="AZ218" s="1" t="str">
        <f>IF(IFERROR(INDEX($A$9:$X$304,$AS218,COLUMNS($AV$9:AZ217)),"")=0,"",IFERROR(INDEX($A$9:$X$304,$AS218,COLUMNS($AV$9:AZ217)),""))</f>
        <v>CHAMPION</v>
      </c>
      <c r="BA218" s="1">
        <f>IF(IFERROR(INDEX($A$9:$X$304,$AS218,COLUMNS($AV$9:BA217)),"")=0,"",IFERROR(INDEX($A$9:$X$304,$AS218,COLUMNS($AV$9:BA217)),""))</f>
        <v>5</v>
      </c>
      <c r="BB218" s="1">
        <f>IF(IFERROR(INDEX($A$9:$X$304,$AS218,COLUMNS($AV$9:BB217)),"")=0,"",IFERROR(INDEX($A$9:$X$304,$AS218,COLUMNS($AV$9:BB217)),""))</f>
        <v>5</v>
      </c>
      <c r="BC218" s="1" t="str">
        <f>IF(IFERROR(INDEX($A$9:$X$304,$AS218,COLUMNS($AV$9:BC217)),"")=0,"",IFERROR(INDEX($A$9:$X$304,$AS218,COLUMNS($AV$9:BC217)),""))</f>
        <v>Ambush ◆ Blitz</v>
      </c>
      <c r="BD218" s="1" t="str">
        <f>IF(IFERROR(INDEX($A$9:$X$304,$AS218,COLUMNS($AV$9:BD217)),"")=0,"",IFERROR(INDEX($A$9:$X$304,$AS218,COLUMNS($AV$9:BD217)),""))</f>
        <v>Loyalty 2 → Put a demon token into play.</v>
      </c>
      <c r="BE218" s="1" t="str">
        <f>IF(IFERROR(INDEX($A$9:$X$304,$AS218,COLUMNS($AV$9:BE217)),"")=0,"",IFERROR(INDEX($A$9:$X$304,$AS218,COLUMNS($AV$9:BE217)),""))</f>
        <v>{expend}, Break a champion you control: Put two demon tokens into play.</v>
      </c>
      <c r="BF218" s="1" t="str">
        <f>IF(IFERROR(INDEX($A$9:$X$304,$AS218,COLUMNS($AV$9:BF217)),"")=0,"",IFERROR(INDEX($A$9:$X$304,$AS218,COLUMNS($AV$9:BF217)),""))</f>
        <v/>
      </c>
      <c r="BG218" s="1" t="str">
        <f>IF(IFERROR(INDEX($A$9:$X$304,$AS218,COLUMNS($AV$9:BG217)),"")=0,"",IFERROR(INDEX($A$9:$X$304,$AS218,COLUMNS($AV$9:BG217)),""))</f>
        <v/>
      </c>
      <c r="BH218" s="1" t="str">
        <f>IF(IFERROR(INDEX($A$9:$X$304,$AS218,COLUMNS($AV$9:BH217)),"")=0,"",IFERROR(INDEX($A$9:$X$304,$AS218,COLUMNS($AV$9:BH217)),""))</f>
        <v/>
      </c>
      <c r="BI218" s="1" t="str">
        <f>IF(IFERROR(INDEX($A$9:$X$304,$AS218,COLUMNS($AV$9:BI217)),"")=0,"",IFERROR(INDEX($A$9:$X$304,$AS218,COLUMNS($AV$9:BI217)),""))</f>
        <v/>
      </c>
      <c r="BJ218" s="1" t="str">
        <f>IF(IFERROR(INDEX($A$9:$X$304,$AS218,COLUMNS($AV$9:BJ217)),"")=0,"",IFERROR(INDEX($A$9:$X$304,$AS218,COLUMNS($AV$9:BJ217)),""))</f>
        <v>HUMAN MAGE</v>
      </c>
      <c r="BK218" s="1" t="str">
        <f>IF(IFERROR(INDEX($A$9:$X$304,$AS218,COLUMNS($AV$9:BK217)),"")=0,"",IFERROR(INDEX($A$9:$X$304,$AS218,COLUMNS($AV$9:BK217)),""))</f>
        <v>Common</v>
      </c>
      <c r="BL218" s="1" t="str">
        <f>IF(IFERROR(INDEX($A$9:$X$304,$AS218,COLUMNS($AV$9:BL217)),"")=0,"",IFERROR(INDEX($A$9:$X$304,$AS218,COLUMNS($AV$9:BL217)),""))</f>
        <v>Dimas Pamungkas</v>
      </c>
      <c r="BM218" s="1" t="str">
        <f>IF(IFERROR(INDEX($A$9:$X$304,$AS218,COLUMNS($AV$9:BM217)),"")=0,"",IFERROR(INDEX($A$9:$X$304,$AS218,COLUMNS($AV$9:BM217)),""))</f>
        <v>Uprising: Velden's Wrath</v>
      </c>
      <c r="BN218" s="3" t="b">
        <f>IF(IFERROR(INDEX($A$9:$X$304,$AS218,COLUMNS($AV$9:BN217)),"")=0,"",IFERROR(INDEX($A$9:$X$304,$AS218,COLUMNS($AV$9:BN217)),""))</f>
        <v>1</v>
      </c>
      <c r="BO218" s="3" t="b">
        <f>IF(IFERROR(INDEX($A$9:$X$304,$AS218,COLUMNS($AV$9:BO217)),"")=0,"",IFERROR(INDEX($A$9:$X$304,$AS218,COLUMNS($AV$9:BO217)),""))</f>
        <v>0</v>
      </c>
      <c r="BP218" s="3" t="b">
        <f>IF(IFERROR(INDEX($A$9:$X$304,$AS218,COLUMNS($AV$9:BP217)),"")=0,"",IFERROR(INDEX($A$9:$X$304,$AS218,COLUMNS($AV$9:BP217)),""))</f>
        <v>0</v>
      </c>
      <c r="BQ218" s="3" t="b">
        <f>IF(IFERROR(INDEX($A$9:$X$304,$AS218,COLUMNS($AV$9:BQ217)),"")=0,"",IFERROR(INDEX($A$9:$X$304,$AS218,COLUMNS($AV$9:BQ217)),""))</f>
        <v>0</v>
      </c>
      <c r="BR218" s="3" t="str">
        <f>IF(IFERROR(INDEX($A$9:$X$304,$AS218,COLUMNS($AV$9:BR217)),"")=0,"",IFERROR(INDEX($A$9:$X$304,$AS218,COLUMNS($AV$9:BR217)),""))</f>
        <v>https://www.epiccardgame.com/wp-content/uploads/2017/11/UPV-EN-rift-summoner.jpg</v>
      </c>
      <c r="BS218" s="3" t="str">
        <f>IF(IFERROR(INDEX($A$9:$X$304,$AS218,COLUMNS($AV$9:BS217)),"")=0,"",IFERROR(INDEX($A$9:$X$304,$AS218,COLUMNS($AV$9:BS217)),""))</f>
        <v/>
      </c>
      <c r="BT218" s="3"/>
      <c r="BU218" s="15"/>
      <c r="BV218" t="s">
        <v>239</v>
      </c>
    </row>
    <row r="219" spans="1:74" ht="225.2" customHeight="1" x14ac:dyDescent="0.25">
      <c r="A219" t="s">
        <v>531</v>
      </c>
      <c r="B219">
        <v>1</v>
      </c>
      <c r="C219" t="s">
        <v>618</v>
      </c>
      <c r="E219" t="s">
        <v>619</v>
      </c>
      <c r="H219" t="s">
        <v>627</v>
      </c>
      <c r="I219" t="s">
        <v>912</v>
      </c>
      <c r="O219" t="s">
        <v>1062</v>
      </c>
      <c r="P219" t="s">
        <v>1112</v>
      </c>
      <c r="Q219" t="s">
        <v>1114</v>
      </c>
      <c r="R219" t="s">
        <v>1169</v>
      </c>
      <c r="S219" t="b">
        <v>1</v>
      </c>
      <c r="T219" t="b">
        <v>1</v>
      </c>
      <c r="U219" t="b">
        <v>0</v>
      </c>
      <c r="V219" t="b">
        <v>0</v>
      </c>
      <c r="W219" s="2" t="s">
        <v>1394</v>
      </c>
      <c r="X219" s="2"/>
      <c r="Y219" s="24">
        <v>211</v>
      </c>
      <c r="Z219">
        <f t="shared" si="60"/>
        <v>211</v>
      </c>
      <c r="AA219">
        <f t="shared" si="61"/>
        <v>211</v>
      </c>
      <c r="AB219">
        <f t="shared" si="62"/>
        <v>211</v>
      </c>
      <c r="AC219">
        <f t="shared" si="63"/>
        <v>0</v>
      </c>
      <c r="AD219">
        <f t="shared" si="64"/>
        <v>211</v>
      </c>
      <c r="AE219">
        <f t="shared" si="65"/>
        <v>0</v>
      </c>
      <c r="AF219">
        <f t="shared" si="66"/>
        <v>0</v>
      </c>
      <c r="AG219">
        <f t="shared" si="67"/>
        <v>211</v>
      </c>
      <c r="AH219">
        <f t="shared" si="68"/>
        <v>211</v>
      </c>
      <c r="AI219">
        <f t="shared" si="69"/>
        <v>0</v>
      </c>
      <c r="AJ219">
        <f t="shared" si="70"/>
        <v>0</v>
      </c>
      <c r="AK219">
        <f t="shared" si="71"/>
        <v>0</v>
      </c>
      <c r="AL219">
        <f t="shared" si="72"/>
        <v>0</v>
      </c>
      <c r="AM219">
        <f t="shared" si="73"/>
        <v>0</v>
      </c>
      <c r="AN219">
        <f t="shared" si="74"/>
        <v>211</v>
      </c>
      <c r="AO219">
        <f t="shared" si="75"/>
        <v>211</v>
      </c>
      <c r="AP219">
        <f t="shared" si="76"/>
        <v>211</v>
      </c>
      <c r="AQ219">
        <f t="shared" si="77"/>
        <v>211</v>
      </c>
      <c r="AR219" s="6">
        <f t="shared" si="78"/>
        <v>211</v>
      </c>
      <c r="AS219">
        <f t="shared" si="79"/>
        <v>211</v>
      </c>
      <c r="AV219" s="1" t="str">
        <f>IF(IFERROR(INDEX($A$9:$W$304,$AS219,COLUMNS($AV$9:AV218)),"")=0,"",IFERROR(INDEX($A$9:$W$304,$AS219,COLUMNS($AV$9:AV218)),""))</f>
        <v>Ritual Sacrifice</v>
      </c>
      <c r="AW219" s="1">
        <f>IFERROR(INDEX($A$9:$W$304,$AS219,COLUMNS($AV$9:AW218)),"")</f>
        <v>1</v>
      </c>
      <c r="AX219" s="1" t="str">
        <f>IF(IFERROR(INDEX($A$9:$X$304,$AS219,COLUMNS($AV$9:AX218)),"")=0,"",IFERROR(INDEX($A$9:$X$304,$AS219,COLUMNS($AV$9:AX218)),""))</f>
        <v>EVIL</v>
      </c>
      <c r="AY219" s="1" t="str">
        <f>IF(IFERROR(INDEX($A$9:$X$304,$AS219,COLUMNS($AV$9:AY218)),"")=0,"",IFERROR(INDEX($A$9:$X$304,$AS219,COLUMNS($AV$9:AY218)),""))</f>
        <v/>
      </c>
      <c r="AZ219" s="1" t="str">
        <f>IF(IFERROR(INDEX($A$9:$X$304,$AS219,COLUMNS($AV$9:AZ218)),"")=0,"",IFERROR(INDEX($A$9:$X$304,$AS219,COLUMNS($AV$9:AZ218)),""))</f>
        <v>EVENT</v>
      </c>
      <c r="BA219" s="1" t="str">
        <f>IF(IFERROR(INDEX($A$9:$X$304,$AS219,COLUMNS($AV$9:BA218)),"")=0,"",IFERROR(INDEX($A$9:$X$304,$AS219,COLUMNS($AV$9:BA218)),""))</f>
        <v/>
      </c>
      <c r="BB219" s="1" t="str">
        <f>IF(IFERROR(INDEX($A$9:$X$304,$AS219,COLUMNS($AV$9:BB218)),"")=0,"",IFERROR(INDEX($A$9:$X$304,$AS219,COLUMNS($AV$9:BB218)),""))</f>
        <v/>
      </c>
      <c r="BC219" s="1" t="str">
        <f>IF(IFERROR(INDEX($A$9:$X$304,$AS219,COLUMNS($AV$9:BC218)),"")=0,"",IFERROR(INDEX($A$9:$X$304,$AS219,COLUMNS($AV$9:BC218)),""))</f>
        <v>Draw two cards.</v>
      </c>
      <c r="BD219" s="1" t="str">
        <f>IF(IFERROR(INDEX($A$9:$X$304,$AS219,COLUMNS($AV$9:BD218)),"")=0,"",IFERROR(INDEX($A$9:$X$304,$AS219,COLUMNS($AV$9:BD218)),""))</f>
        <v>Break target champion. The player whose turn it is gains health equal to its {defense}.</v>
      </c>
      <c r="BE219" s="1" t="str">
        <f>IF(IFERROR(INDEX($A$9:$X$304,$AS219,COLUMNS($AV$9:BE218)),"")=0,"",IFERROR(INDEX($A$9:$X$304,$AS219,COLUMNS($AV$9:BE218)),""))</f>
        <v/>
      </c>
      <c r="BF219" s="1" t="str">
        <f>IF(IFERROR(INDEX($A$9:$X$304,$AS219,COLUMNS($AV$9:BF218)),"")=0,"",IFERROR(INDEX($A$9:$X$304,$AS219,COLUMNS($AV$9:BF218)),""))</f>
        <v/>
      </c>
      <c r="BG219" s="1" t="str">
        <f>IF(IFERROR(INDEX($A$9:$X$304,$AS219,COLUMNS($AV$9:BG218)),"")=0,"",IFERROR(INDEX($A$9:$X$304,$AS219,COLUMNS($AV$9:BG218)),""))</f>
        <v/>
      </c>
      <c r="BH219" s="1" t="str">
        <f>IF(IFERROR(INDEX($A$9:$X$304,$AS219,COLUMNS($AV$9:BH218)),"")=0,"",IFERROR(INDEX($A$9:$X$304,$AS219,COLUMNS($AV$9:BH218)),""))</f>
        <v/>
      </c>
      <c r="BI219" s="1" t="str">
        <f>IF(IFERROR(INDEX($A$9:$X$304,$AS219,COLUMNS($AV$9:BI218)),"")=0,"",IFERROR(INDEX($A$9:$X$304,$AS219,COLUMNS($AV$9:BI218)),""))</f>
        <v/>
      </c>
      <c r="BJ219" s="1" t="str">
        <f>IF(IFERROR(INDEX($A$9:$X$304,$AS219,COLUMNS($AV$9:BJ218)),"")=0,"",IFERROR(INDEX($A$9:$X$304,$AS219,COLUMNS($AV$9:BJ218)),""))</f>
        <v>None</v>
      </c>
      <c r="BK219" s="1" t="str">
        <f>IF(IFERROR(INDEX($A$9:$X$304,$AS219,COLUMNS($AV$9:BK218)),"")=0,"",IFERROR(INDEX($A$9:$X$304,$AS219,COLUMNS($AV$9:BK218)),""))</f>
        <v>Common</v>
      </c>
      <c r="BL219" s="1" t="str">
        <f>IF(IFERROR(INDEX($A$9:$X$304,$AS219,COLUMNS($AV$9:BL218)),"")=0,"",IFERROR(INDEX($A$9:$X$304,$AS219,COLUMNS($AV$9:BL218)),""))</f>
        <v>Jaan-Paul van Eeden</v>
      </c>
      <c r="BM219" s="1" t="str">
        <f>IF(IFERROR(INDEX($A$9:$X$304,$AS219,COLUMNS($AV$9:BM218)),"")=0,"",IFERROR(INDEX($A$9:$X$304,$AS219,COLUMNS($AV$9:BM218)),""))</f>
        <v>Kickstarter Promo</v>
      </c>
      <c r="BN219" s="3" t="b">
        <f>IF(IFERROR(INDEX($A$9:$X$304,$AS219,COLUMNS($AV$9:BN218)),"")=0,"",IFERROR(INDEX($A$9:$X$304,$AS219,COLUMNS($AV$9:BN218)),""))</f>
        <v>1</v>
      </c>
      <c r="BO219" s="3" t="b">
        <f>IF(IFERROR(INDEX($A$9:$X$304,$AS219,COLUMNS($AV$9:BO218)),"")=0,"",IFERROR(INDEX($A$9:$X$304,$AS219,COLUMNS($AV$9:BO218)),""))</f>
        <v>1</v>
      </c>
      <c r="BP219" s="3" t="b">
        <f>IF(IFERROR(INDEX($A$9:$X$304,$AS219,COLUMNS($AV$9:BP218)),"")=0,"",IFERROR(INDEX($A$9:$X$304,$AS219,COLUMNS($AV$9:BP218)),""))</f>
        <v>0</v>
      </c>
      <c r="BQ219" s="3" t="b">
        <f>IF(IFERROR(INDEX($A$9:$X$304,$AS219,COLUMNS($AV$9:BQ218)),"")=0,"",IFERROR(INDEX($A$9:$X$304,$AS219,COLUMNS($AV$9:BQ218)),""))</f>
        <v>0</v>
      </c>
      <c r="BR219" s="3" t="str">
        <f>IF(IFERROR(INDEX($A$9:$X$304,$AS219,COLUMNS($AV$9:BR218)),"")=0,"",IFERROR(INDEX($A$9:$X$304,$AS219,COLUMNS($AV$9:BR218)),""))</f>
        <v>http://www.epiccardgame.com/wp-content/uploads/2015/09/ritual_sacrifice-215x300.jpg</v>
      </c>
      <c r="BS219" s="3" t="str">
        <f>IF(IFERROR(INDEX($A$9:$X$304,$AS219,COLUMNS($AV$9:BS218)),"")=0,"",IFERROR(INDEX($A$9:$X$304,$AS219,COLUMNS($AV$9:BS218)),""))</f>
        <v/>
      </c>
      <c r="BT219" s="3"/>
      <c r="BU219" s="15"/>
      <c r="BV219" t="s">
        <v>240</v>
      </c>
    </row>
    <row r="220" spans="1:74" ht="225.2" customHeight="1" x14ac:dyDescent="0.25">
      <c r="A220" t="s">
        <v>532</v>
      </c>
      <c r="B220">
        <v>1</v>
      </c>
      <c r="C220" t="s">
        <v>617</v>
      </c>
      <c r="E220" t="s">
        <v>620</v>
      </c>
      <c r="F220">
        <v>5</v>
      </c>
      <c r="G220">
        <v>9</v>
      </c>
      <c r="H220" t="s">
        <v>21</v>
      </c>
      <c r="I220" t="s">
        <v>913</v>
      </c>
      <c r="J220" t="s">
        <v>1011</v>
      </c>
      <c r="O220" t="s">
        <v>1063</v>
      </c>
      <c r="P220" t="s">
        <v>1113</v>
      </c>
      <c r="Q220" t="s">
        <v>1152</v>
      </c>
      <c r="R220" t="s">
        <v>1175</v>
      </c>
      <c r="S220" t="b">
        <v>1</v>
      </c>
      <c r="T220" t="b">
        <v>0</v>
      </c>
      <c r="U220" t="b">
        <v>0</v>
      </c>
      <c r="V220" t="b">
        <v>0</v>
      </c>
      <c r="W220" s="2" t="s">
        <v>1395</v>
      </c>
      <c r="X220" s="2"/>
      <c r="Y220" s="24">
        <v>212</v>
      </c>
      <c r="Z220">
        <f t="shared" si="60"/>
        <v>212</v>
      </c>
      <c r="AA220">
        <f t="shared" si="61"/>
        <v>212</v>
      </c>
      <c r="AB220">
        <f t="shared" si="62"/>
        <v>212</v>
      </c>
      <c r="AC220">
        <f t="shared" si="63"/>
        <v>0</v>
      </c>
      <c r="AD220">
        <f t="shared" si="64"/>
        <v>212</v>
      </c>
      <c r="AE220">
        <f t="shared" si="65"/>
        <v>212</v>
      </c>
      <c r="AF220">
        <f t="shared" si="66"/>
        <v>212</v>
      </c>
      <c r="AG220">
        <f t="shared" si="67"/>
        <v>212</v>
      </c>
      <c r="AH220">
        <f t="shared" si="68"/>
        <v>212</v>
      </c>
      <c r="AI220">
        <f t="shared" si="69"/>
        <v>212</v>
      </c>
      <c r="AJ220">
        <f t="shared" si="70"/>
        <v>0</v>
      </c>
      <c r="AK220">
        <f t="shared" si="71"/>
        <v>0</v>
      </c>
      <c r="AL220">
        <f t="shared" si="72"/>
        <v>0</v>
      </c>
      <c r="AM220">
        <f t="shared" si="73"/>
        <v>0</v>
      </c>
      <c r="AN220">
        <f t="shared" si="74"/>
        <v>212</v>
      </c>
      <c r="AO220">
        <f t="shared" si="75"/>
        <v>212</v>
      </c>
      <c r="AP220">
        <f t="shared" si="76"/>
        <v>212</v>
      </c>
      <c r="AQ220">
        <f t="shared" si="77"/>
        <v>212</v>
      </c>
      <c r="AR220" s="6">
        <f t="shared" si="78"/>
        <v>212</v>
      </c>
      <c r="AS220">
        <f t="shared" si="79"/>
        <v>212</v>
      </c>
      <c r="AV220" s="1" t="str">
        <f>IF(IFERROR(INDEX($A$9:$W$304,$AS220,COLUMNS($AV$9:AV219)),"")=0,"",IFERROR(INDEX($A$9:$W$304,$AS220,COLUMNS($AV$9:AV219)),""))</f>
        <v>Royal Escort</v>
      </c>
      <c r="AW220" s="1">
        <f>IFERROR(INDEX($A$9:$W$304,$AS220,COLUMNS($AV$9:AW219)),"")</f>
        <v>1</v>
      </c>
      <c r="AX220" s="1" t="str">
        <f>IF(IFERROR(INDEX($A$9:$X$304,$AS220,COLUMNS($AV$9:AX219)),"")=0,"",IFERROR(INDEX($A$9:$X$304,$AS220,COLUMNS($AV$9:AX219)),""))</f>
        <v>GOOD</v>
      </c>
      <c r="AY220" s="1" t="str">
        <f>IF(IFERROR(INDEX($A$9:$X$304,$AS220,COLUMNS($AV$9:AY219)),"")=0,"",IFERROR(INDEX($A$9:$X$304,$AS220,COLUMNS($AV$9:AY219)),""))</f>
        <v/>
      </c>
      <c r="AZ220" s="1" t="str">
        <f>IF(IFERROR(INDEX($A$9:$X$304,$AS220,COLUMNS($AV$9:AZ219)),"")=0,"",IFERROR(INDEX($A$9:$X$304,$AS220,COLUMNS($AV$9:AZ219)),""))</f>
        <v>CHAMPION</v>
      </c>
      <c r="BA220" s="1">
        <f>IF(IFERROR(INDEX($A$9:$X$304,$AS220,COLUMNS($AV$9:BA219)),"")=0,"",IFERROR(INDEX($A$9:$X$304,$AS220,COLUMNS($AV$9:BA219)),""))</f>
        <v>5</v>
      </c>
      <c r="BB220" s="1">
        <f>IF(IFERROR(INDEX($A$9:$X$304,$AS220,COLUMNS($AV$9:BB219)),"")=0,"",IFERROR(INDEX($A$9:$X$304,$AS220,COLUMNS($AV$9:BB219)),""))</f>
        <v>9</v>
      </c>
      <c r="BC220" s="1" t="str">
        <f>IF(IFERROR(INDEX($A$9:$X$304,$AS220,COLUMNS($AV$9:BC219)),"")=0,"",IFERROR(INDEX($A$9:$X$304,$AS220,COLUMNS($AV$9:BC219)),""))</f>
        <v>Ambush</v>
      </c>
      <c r="BD220" s="1" t="str">
        <f>IF(IFERROR(INDEX($A$9:$X$304,$AS220,COLUMNS($AV$9:BD219)),"")=0,"",IFERROR(INDEX($A$9:$X$304,$AS220,COLUMNS($AV$9:BD219)),""))</f>
        <v>Tribute and/or {good} → Gain 3 health.</v>
      </c>
      <c r="BE220" s="1" t="str">
        <f>IF(IFERROR(INDEX($A$9:$X$304,$AS220,COLUMNS($AV$9:BE219)),"")=0,"",IFERROR(INDEX($A$9:$X$304,$AS220,COLUMNS($AV$9:BE219)),""))</f>
        <v>Your champions not named Royal Escort have untargetable.</v>
      </c>
      <c r="BF220" s="1" t="str">
        <f>IF(IFERROR(INDEX($A$9:$X$304,$AS220,COLUMNS($AV$9:BF219)),"")=0,"",IFERROR(INDEX($A$9:$X$304,$AS220,COLUMNS($AV$9:BF219)),""))</f>
        <v/>
      </c>
      <c r="BG220" s="1" t="str">
        <f>IF(IFERROR(INDEX($A$9:$X$304,$AS220,COLUMNS($AV$9:BG219)),"")=0,"",IFERROR(INDEX($A$9:$X$304,$AS220,COLUMNS($AV$9:BG219)),""))</f>
        <v/>
      </c>
      <c r="BH220" s="1" t="str">
        <f>IF(IFERROR(INDEX($A$9:$X$304,$AS220,COLUMNS($AV$9:BH219)),"")=0,"",IFERROR(INDEX($A$9:$X$304,$AS220,COLUMNS($AV$9:BH219)),""))</f>
        <v/>
      </c>
      <c r="BI220" s="1" t="str">
        <f>IF(IFERROR(INDEX($A$9:$X$304,$AS220,COLUMNS($AV$9:BI219)),"")=0,"",IFERROR(INDEX($A$9:$X$304,$AS220,COLUMNS($AV$9:BI219)),""))</f>
        <v/>
      </c>
      <c r="BJ220" s="1" t="str">
        <f>IF(IFERROR(INDEX($A$9:$X$304,$AS220,COLUMNS($AV$9:BJ219)),"")=0,"",IFERROR(INDEX($A$9:$X$304,$AS220,COLUMNS($AV$9:BJ219)),""))</f>
        <v>HUMAN</v>
      </c>
      <c r="BK220" s="1" t="str">
        <f>IF(IFERROR(INDEX($A$9:$X$304,$AS220,COLUMNS($AV$9:BK219)),"")=0,"",IFERROR(INDEX($A$9:$X$304,$AS220,COLUMNS($AV$9:BK219)),""))</f>
        <v>Rare</v>
      </c>
      <c r="BL220" s="1" t="str">
        <f>IF(IFERROR(INDEX($A$9:$X$304,$AS220,COLUMNS($AV$9:BL219)),"")=0,"",IFERROR(INDEX($A$9:$X$304,$AS220,COLUMNS($AV$9:BL219)),""))</f>
        <v>Gialer Liew</v>
      </c>
      <c r="BM220" s="1" t="str">
        <f>IF(IFERROR(INDEX($A$9:$X$304,$AS220,COLUMNS($AV$9:BM219)),"")=0,"",IFERROR(INDEX($A$9:$X$304,$AS220,COLUMNS($AV$9:BM219)),""))</f>
        <v>Tyrants: Helion's Deceit</v>
      </c>
      <c r="BN220" s="3" t="b">
        <f>IF(IFERROR(INDEX($A$9:$X$304,$AS220,COLUMNS($AV$9:BN219)),"")=0,"",IFERROR(INDEX($A$9:$X$304,$AS220,COLUMNS($AV$9:BN219)),""))</f>
        <v>1</v>
      </c>
      <c r="BO220" s="3" t="b">
        <f>IF(IFERROR(INDEX($A$9:$X$304,$AS220,COLUMNS($AV$9:BO219)),"")=0,"",IFERROR(INDEX($A$9:$X$304,$AS220,COLUMNS($AV$9:BO219)),""))</f>
        <v>0</v>
      </c>
      <c r="BP220" s="3" t="b">
        <f>IF(IFERROR(INDEX($A$9:$X$304,$AS220,COLUMNS($AV$9:BP219)),"")=0,"",IFERROR(INDEX($A$9:$X$304,$AS220,COLUMNS($AV$9:BP219)),""))</f>
        <v>0</v>
      </c>
      <c r="BQ220" s="3" t="b">
        <f>IF(IFERROR(INDEX($A$9:$X$304,$AS220,COLUMNS($AV$9:BQ219)),"")=0,"",IFERROR(INDEX($A$9:$X$304,$AS220,COLUMNS($AV$9:BQ219)),""))</f>
        <v>0</v>
      </c>
      <c r="BR220" s="3" t="str">
        <f>IF(IFERROR(INDEX($A$9:$X$304,$AS220,COLUMNS($AV$9:BR219)),"")=0,"",IFERROR(INDEX($A$9:$X$304,$AS220,COLUMNS($AV$9:BR219)),""))</f>
        <v>http://www.epiccardgame.com/wp-content/uploads/2016/03/royal_escort-214x300.jpg</v>
      </c>
      <c r="BS220" s="3" t="str">
        <f>IF(IFERROR(INDEX($A$9:$X$304,$AS220,COLUMNS($AV$9:BS219)),"")=0,"",IFERROR(INDEX($A$9:$X$304,$AS220,COLUMNS($AV$9:BS219)),""))</f>
        <v/>
      </c>
      <c r="BT220" s="3"/>
      <c r="BU220" s="15"/>
      <c r="BV220" t="s">
        <v>241</v>
      </c>
    </row>
    <row r="221" spans="1:74" ht="225.2" customHeight="1" x14ac:dyDescent="0.25">
      <c r="A221" t="s">
        <v>533</v>
      </c>
      <c r="B221">
        <v>1</v>
      </c>
      <c r="C221" t="s">
        <v>618</v>
      </c>
      <c r="E221" t="s">
        <v>619</v>
      </c>
      <c r="H221" t="s">
        <v>627</v>
      </c>
      <c r="I221" t="s">
        <v>914</v>
      </c>
      <c r="O221" t="s">
        <v>1062</v>
      </c>
      <c r="P221" t="s">
        <v>1112</v>
      </c>
      <c r="Q221" t="s">
        <v>1124</v>
      </c>
      <c r="R221" t="s">
        <v>1179</v>
      </c>
      <c r="S221" t="b">
        <v>1</v>
      </c>
      <c r="T221" t="b">
        <v>1</v>
      </c>
      <c r="U221" t="b">
        <v>0</v>
      </c>
      <c r="V221" t="b">
        <v>0</v>
      </c>
      <c r="W221" s="2" t="s">
        <v>1396</v>
      </c>
      <c r="X221" s="2"/>
      <c r="Y221" s="24">
        <v>213</v>
      </c>
      <c r="Z221">
        <f t="shared" si="60"/>
        <v>213</v>
      </c>
      <c r="AA221">
        <f t="shared" si="61"/>
        <v>213</v>
      </c>
      <c r="AB221">
        <f t="shared" si="62"/>
        <v>213</v>
      </c>
      <c r="AC221">
        <f t="shared" si="63"/>
        <v>0</v>
      </c>
      <c r="AD221">
        <f t="shared" si="64"/>
        <v>213</v>
      </c>
      <c r="AE221">
        <f t="shared" si="65"/>
        <v>0</v>
      </c>
      <c r="AF221">
        <f t="shared" si="66"/>
        <v>0</v>
      </c>
      <c r="AG221">
        <f t="shared" si="67"/>
        <v>213</v>
      </c>
      <c r="AH221">
        <f t="shared" si="68"/>
        <v>213</v>
      </c>
      <c r="AI221">
        <f t="shared" si="69"/>
        <v>0</v>
      </c>
      <c r="AJ221">
        <f t="shared" si="70"/>
        <v>0</v>
      </c>
      <c r="AK221">
        <f t="shared" si="71"/>
        <v>0</v>
      </c>
      <c r="AL221">
        <f t="shared" si="72"/>
        <v>0</v>
      </c>
      <c r="AM221">
        <f t="shared" si="73"/>
        <v>0</v>
      </c>
      <c r="AN221">
        <f t="shared" si="74"/>
        <v>213</v>
      </c>
      <c r="AO221">
        <f t="shared" si="75"/>
        <v>213</v>
      </c>
      <c r="AP221">
        <f t="shared" si="76"/>
        <v>213</v>
      </c>
      <c r="AQ221">
        <f t="shared" si="77"/>
        <v>213</v>
      </c>
      <c r="AR221" s="6">
        <f t="shared" si="78"/>
        <v>213</v>
      </c>
      <c r="AS221">
        <f t="shared" si="79"/>
        <v>213</v>
      </c>
      <c r="AV221" s="1" t="str">
        <f>IF(IFERROR(INDEX($A$9:$W$304,$AS221,COLUMNS($AV$9:AV220)),"")=0,"",IFERROR(INDEX($A$9:$W$304,$AS221,COLUMNS($AV$9:AV220)),""))</f>
        <v>Run Riot</v>
      </c>
      <c r="AW221" s="1">
        <f>IFERROR(INDEX($A$9:$W$304,$AS221,COLUMNS($AV$9:AW220)),"")</f>
        <v>1</v>
      </c>
      <c r="AX221" s="1" t="str">
        <f>IF(IFERROR(INDEX($A$9:$X$304,$AS221,COLUMNS($AV$9:AX220)),"")=0,"",IFERROR(INDEX($A$9:$X$304,$AS221,COLUMNS($AV$9:AX220)),""))</f>
        <v>EVIL</v>
      </c>
      <c r="AY221" s="1" t="str">
        <f>IF(IFERROR(INDEX($A$9:$X$304,$AS221,COLUMNS($AV$9:AY220)),"")=0,"",IFERROR(INDEX($A$9:$X$304,$AS221,COLUMNS($AV$9:AY220)),""))</f>
        <v/>
      </c>
      <c r="AZ221" s="1" t="str">
        <f>IF(IFERROR(INDEX($A$9:$X$304,$AS221,COLUMNS($AV$9:AZ220)),"")=0,"",IFERROR(INDEX($A$9:$X$304,$AS221,COLUMNS($AV$9:AZ220)),""))</f>
        <v>EVENT</v>
      </c>
      <c r="BA221" s="1" t="str">
        <f>IF(IFERROR(INDEX($A$9:$X$304,$AS221,COLUMNS($AV$9:BA220)),"")=0,"",IFERROR(INDEX($A$9:$X$304,$AS221,COLUMNS($AV$9:BA220)),""))</f>
        <v/>
      </c>
      <c r="BB221" s="1" t="str">
        <f>IF(IFERROR(INDEX($A$9:$X$304,$AS221,COLUMNS($AV$9:BB220)),"")=0,"",IFERROR(INDEX($A$9:$X$304,$AS221,COLUMNS($AV$9:BB220)),""))</f>
        <v/>
      </c>
      <c r="BC221" s="1" t="str">
        <f>IF(IFERROR(INDEX($A$9:$X$304,$AS221,COLUMNS($AV$9:BC220)),"")=0,"",IFERROR(INDEX($A$9:$X$304,$AS221,COLUMNS($AV$9:BC220)),""))</f>
        <v>Draw two cards.</v>
      </c>
      <c r="BD221" s="1" t="str">
        <f>IF(IFERROR(INDEX($A$9:$X$304,$AS221,COLUMNS($AV$9:BD220)),"")=0,"",IFERROR(INDEX($A$9:$X$304,$AS221,COLUMNS($AV$9:BD220)),""))</f>
        <v>If it is your turn, you may break target champion and your evil champions get +3 {offense} and +3 {defense} this turn.</v>
      </c>
      <c r="BE221" s="1" t="str">
        <f>IF(IFERROR(INDEX($A$9:$X$304,$AS221,COLUMNS($AV$9:BE220)),"")=0,"",IFERROR(INDEX($A$9:$X$304,$AS221,COLUMNS($AV$9:BE220)),""))</f>
        <v/>
      </c>
      <c r="BF221" s="1" t="str">
        <f>IF(IFERROR(INDEX($A$9:$X$304,$AS221,COLUMNS($AV$9:BF220)),"")=0,"",IFERROR(INDEX($A$9:$X$304,$AS221,COLUMNS($AV$9:BF220)),""))</f>
        <v/>
      </c>
      <c r="BG221" s="1" t="str">
        <f>IF(IFERROR(INDEX($A$9:$X$304,$AS221,COLUMNS($AV$9:BG220)),"")=0,"",IFERROR(INDEX($A$9:$X$304,$AS221,COLUMNS($AV$9:BG220)),""))</f>
        <v/>
      </c>
      <c r="BH221" s="1" t="str">
        <f>IF(IFERROR(INDEX($A$9:$X$304,$AS221,COLUMNS($AV$9:BH220)),"")=0,"",IFERROR(INDEX($A$9:$X$304,$AS221,COLUMNS($AV$9:BH220)),""))</f>
        <v/>
      </c>
      <c r="BI221" s="1" t="str">
        <f>IF(IFERROR(INDEX($A$9:$X$304,$AS221,COLUMNS($AV$9:BI220)),"")=0,"",IFERROR(INDEX($A$9:$X$304,$AS221,COLUMNS($AV$9:BI220)),""))</f>
        <v/>
      </c>
      <c r="BJ221" s="1" t="str">
        <f>IF(IFERROR(INDEX($A$9:$X$304,$AS221,COLUMNS($AV$9:BJ220)),"")=0,"",IFERROR(INDEX($A$9:$X$304,$AS221,COLUMNS($AV$9:BJ220)),""))</f>
        <v>None</v>
      </c>
      <c r="BK221" s="1" t="str">
        <f>IF(IFERROR(INDEX($A$9:$X$304,$AS221,COLUMNS($AV$9:BK220)),"")=0,"",IFERROR(INDEX($A$9:$X$304,$AS221,COLUMNS($AV$9:BK220)),""))</f>
        <v>Common</v>
      </c>
      <c r="BL221" s="1" t="str">
        <f>IF(IFERROR(INDEX($A$9:$X$304,$AS221,COLUMNS($AV$9:BL220)),"")=0,"",IFERROR(INDEX($A$9:$X$304,$AS221,COLUMNS($AV$9:BL220)),""))</f>
        <v>Souveraine</v>
      </c>
      <c r="BM221" s="1" t="str">
        <f>IF(IFERROR(INDEX($A$9:$X$304,$AS221,COLUMNS($AV$9:BM220)),"")=0,"",IFERROR(INDEX($A$9:$X$304,$AS221,COLUMNS($AV$9:BM220)),""))</f>
        <v>Pantheon: Gareth vs Lashnok</v>
      </c>
      <c r="BN221" s="3" t="b">
        <f>IF(IFERROR(INDEX($A$9:$X$304,$AS221,COLUMNS($AV$9:BN220)),"")=0,"",IFERROR(INDEX($A$9:$X$304,$AS221,COLUMNS($AV$9:BN220)),""))</f>
        <v>1</v>
      </c>
      <c r="BO221" s="3" t="b">
        <f>IF(IFERROR(INDEX($A$9:$X$304,$AS221,COLUMNS($AV$9:BO220)),"")=0,"",IFERROR(INDEX($A$9:$X$304,$AS221,COLUMNS($AV$9:BO220)),""))</f>
        <v>1</v>
      </c>
      <c r="BP221" s="3" t="b">
        <f>IF(IFERROR(INDEX($A$9:$X$304,$AS221,COLUMNS($AV$9:BP220)),"")=0,"",IFERROR(INDEX($A$9:$X$304,$AS221,COLUMNS($AV$9:BP220)),""))</f>
        <v>0</v>
      </c>
      <c r="BQ221" s="3" t="b">
        <f>IF(IFERROR(INDEX($A$9:$X$304,$AS221,COLUMNS($AV$9:BQ220)),"")=0,"",IFERROR(INDEX($A$9:$X$304,$AS221,COLUMNS($AV$9:BQ220)),""))</f>
        <v>0</v>
      </c>
      <c r="BR221" s="3" t="str">
        <f>IF(IFERROR(INDEX($A$9:$X$304,$AS221,COLUMNS($AV$9:BR220)),"")=0,"",IFERROR(INDEX($A$9:$X$304,$AS221,COLUMNS($AV$9:BR220)),""))</f>
        <v>https://www.epiccardgame.com/wp-content/uploads/2017/11/PNG-EN-07-run-riot.jpg</v>
      </c>
      <c r="BS221" s="3" t="str">
        <f>IF(IFERROR(INDEX($A$9:$X$304,$AS221,COLUMNS($AV$9:BS220)),"")=0,"",IFERROR(INDEX($A$9:$X$304,$AS221,COLUMNS($AV$9:BS220)),""))</f>
        <v/>
      </c>
      <c r="BT221" s="3"/>
      <c r="BU221" s="15"/>
      <c r="BV221" t="s">
        <v>242</v>
      </c>
    </row>
    <row r="222" spans="1:74" ht="225.2" customHeight="1" x14ac:dyDescent="0.25">
      <c r="A222" t="s">
        <v>534</v>
      </c>
      <c r="B222">
        <v>0</v>
      </c>
      <c r="C222" t="s">
        <v>615</v>
      </c>
      <c r="E222" t="s">
        <v>620</v>
      </c>
      <c r="F222">
        <v>5</v>
      </c>
      <c r="G222">
        <v>2</v>
      </c>
      <c r="H222" t="s">
        <v>674</v>
      </c>
      <c r="I222" t="s">
        <v>915</v>
      </c>
      <c r="J222" t="s">
        <v>1012</v>
      </c>
      <c r="O222" t="s">
        <v>1070</v>
      </c>
      <c r="P222" t="s">
        <v>1112</v>
      </c>
      <c r="Q222" t="s">
        <v>1115</v>
      </c>
      <c r="R222" t="s">
        <v>1179</v>
      </c>
      <c r="S222" t="b">
        <v>0</v>
      </c>
      <c r="T222" t="b">
        <v>0</v>
      </c>
      <c r="U222" t="b">
        <v>0</v>
      </c>
      <c r="V222" t="b">
        <v>0</v>
      </c>
      <c r="W222" s="2" t="s">
        <v>1397</v>
      </c>
      <c r="X222" s="2"/>
      <c r="Y222" s="24">
        <v>214</v>
      </c>
      <c r="Z222">
        <f t="shared" si="60"/>
        <v>214</v>
      </c>
      <c r="AA222">
        <f t="shared" si="61"/>
        <v>214</v>
      </c>
      <c r="AB222">
        <f t="shared" si="62"/>
        <v>214</v>
      </c>
      <c r="AC222">
        <f t="shared" si="63"/>
        <v>0</v>
      </c>
      <c r="AD222">
        <f t="shared" si="64"/>
        <v>214</v>
      </c>
      <c r="AE222">
        <f t="shared" si="65"/>
        <v>214</v>
      </c>
      <c r="AF222">
        <f t="shared" si="66"/>
        <v>214</v>
      </c>
      <c r="AG222">
        <f t="shared" si="67"/>
        <v>214</v>
      </c>
      <c r="AH222">
        <f t="shared" si="68"/>
        <v>214</v>
      </c>
      <c r="AI222">
        <f t="shared" si="69"/>
        <v>214</v>
      </c>
      <c r="AJ222">
        <f t="shared" si="70"/>
        <v>0</v>
      </c>
      <c r="AK222">
        <f t="shared" si="71"/>
        <v>0</v>
      </c>
      <c r="AL222">
        <f t="shared" si="72"/>
        <v>0</v>
      </c>
      <c r="AM222">
        <f t="shared" si="73"/>
        <v>0</v>
      </c>
      <c r="AN222">
        <f t="shared" si="74"/>
        <v>214</v>
      </c>
      <c r="AO222">
        <f t="shared" si="75"/>
        <v>214</v>
      </c>
      <c r="AP222">
        <f t="shared" si="76"/>
        <v>214</v>
      </c>
      <c r="AQ222">
        <f t="shared" si="77"/>
        <v>214</v>
      </c>
      <c r="AR222" s="6">
        <f t="shared" si="78"/>
        <v>214</v>
      </c>
      <c r="AS222">
        <f t="shared" si="79"/>
        <v>214</v>
      </c>
      <c r="AV222" s="1" t="str">
        <f>IF(IFERROR(INDEX($A$9:$W$304,$AS222,COLUMNS($AV$9:AV221)),"")=0,"",IFERROR(INDEX($A$9:$W$304,$AS222,COLUMNS($AV$9:AV221)),""))</f>
        <v>Rybas, Canopy Sniper</v>
      </c>
      <c r="AW222" s="1">
        <f>IFERROR(INDEX($A$9:$W$304,$AS222,COLUMNS($AV$9:AW221)),"")</f>
        <v>0</v>
      </c>
      <c r="AX222" s="1" t="str">
        <f>IF(IFERROR(INDEX($A$9:$X$304,$AS222,COLUMNS($AV$9:AX221)),"")=0,"",IFERROR(INDEX($A$9:$X$304,$AS222,COLUMNS($AV$9:AX221)),""))</f>
        <v>WILD</v>
      </c>
      <c r="AY222" s="1" t="str">
        <f>IF(IFERROR(INDEX($A$9:$X$304,$AS222,COLUMNS($AV$9:AY221)),"")=0,"",IFERROR(INDEX($A$9:$X$304,$AS222,COLUMNS($AV$9:AY221)),""))</f>
        <v/>
      </c>
      <c r="AZ222" s="1" t="str">
        <f>IF(IFERROR(INDEX($A$9:$X$304,$AS222,COLUMNS($AV$9:AZ221)),"")=0,"",IFERROR(INDEX($A$9:$X$304,$AS222,COLUMNS($AV$9:AZ221)),""))</f>
        <v>CHAMPION</v>
      </c>
      <c r="BA222" s="1">
        <f>IF(IFERROR(INDEX($A$9:$X$304,$AS222,COLUMNS($AV$9:BA221)),"")=0,"",IFERROR(INDEX($A$9:$X$304,$AS222,COLUMNS($AV$9:BA221)),""))</f>
        <v>5</v>
      </c>
      <c r="BB222" s="1">
        <f>IF(IFERROR(INDEX($A$9:$X$304,$AS222,COLUMNS($AV$9:BB221)),"")=0,"",IFERROR(INDEX($A$9:$X$304,$AS222,COLUMNS($AV$9:BB221)),""))</f>
        <v>2</v>
      </c>
      <c r="BC222" s="1" t="str">
        <f>IF(IFERROR(INDEX($A$9:$X$304,$AS222,COLUMNS($AV$9:BC221)),"")=0,"",IFERROR(INDEX($A$9:$X$304,$AS222,COLUMNS($AV$9:BC221)),""))</f>
        <v>Loyalty 2 → Blitz</v>
      </c>
      <c r="BD222" s="1" t="str">
        <f>IF(IFERROR(INDEX($A$9:$X$304,$AS222,COLUMNS($AV$9:BD221)),"")=0,"",IFERROR(INDEX($A$9:$X$304,$AS222,COLUMNS($AV$9:BD221)),""))</f>
        <v>{expend}: Deal 3 damage to a target.</v>
      </c>
      <c r="BE222" s="1" t="str">
        <f>IF(IFERROR(INDEX($A$9:$X$304,$AS222,COLUMNS($AV$9:BE221)),"")=0,"",IFERROR(INDEX($A$9:$X$304,$AS222,COLUMNS($AV$9:BE221)),""))</f>
        <v>The forest’s first line of defense.</v>
      </c>
      <c r="BF222" s="1" t="str">
        <f>IF(IFERROR(INDEX($A$9:$X$304,$AS222,COLUMNS($AV$9:BF221)),"")=0,"",IFERROR(INDEX($A$9:$X$304,$AS222,COLUMNS($AV$9:BF221)),""))</f>
        <v/>
      </c>
      <c r="BG222" s="1" t="str">
        <f>IF(IFERROR(INDEX($A$9:$X$304,$AS222,COLUMNS($AV$9:BG221)),"")=0,"",IFERROR(INDEX($A$9:$X$304,$AS222,COLUMNS($AV$9:BG221)),""))</f>
        <v/>
      </c>
      <c r="BH222" s="1" t="str">
        <f>IF(IFERROR(INDEX($A$9:$X$304,$AS222,COLUMNS($AV$9:BH221)),"")=0,"",IFERROR(INDEX($A$9:$X$304,$AS222,COLUMNS($AV$9:BH221)),""))</f>
        <v/>
      </c>
      <c r="BI222" s="1" t="str">
        <f>IF(IFERROR(INDEX($A$9:$X$304,$AS222,COLUMNS($AV$9:BI221)),"")=0,"",IFERROR(INDEX($A$9:$X$304,$AS222,COLUMNS($AV$9:BI221)),""))</f>
        <v/>
      </c>
      <c r="BJ222" s="1" t="str">
        <f>IF(IFERROR(INDEX($A$9:$X$304,$AS222,COLUMNS($AV$9:BJ221)),"")=0,"",IFERROR(INDEX($A$9:$X$304,$AS222,COLUMNS($AV$9:BJ221)),""))</f>
        <v>ELF</v>
      </c>
      <c r="BK222" s="1" t="str">
        <f>IF(IFERROR(INDEX($A$9:$X$304,$AS222,COLUMNS($AV$9:BK221)),"")=0,"",IFERROR(INDEX($A$9:$X$304,$AS222,COLUMNS($AV$9:BK221)),""))</f>
        <v>Common</v>
      </c>
      <c r="BL222" s="1" t="str">
        <f>IF(IFERROR(INDEX($A$9:$X$304,$AS222,COLUMNS($AV$9:BL221)),"")=0,"",IFERROR(INDEX($A$9:$X$304,$AS222,COLUMNS($AV$9:BL221)),""))</f>
        <v>Helder Almeida</v>
      </c>
      <c r="BM222" s="1" t="str">
        <f>IF(IFERROR(INDEX($A$9:$X$304,$AS222,COLUMNS($AV$9:BM221)),"")=0,"",IFERROR(INDEX($A$9:$X$304,$AS222,COLUMNS($AV$9:BM221)),""))</f>
        <v>Pantheon: Gareth vs Lashnok</v>
      </c>
      <c r="BN222" s="3" t="b">
        <f>IF(IFERROR(INDEX($A$9:$X$304,$AS222,COLUMNS($AV$9:BN221)),"")=0,"",IFERROR(INDEX($A$9:$X$304,$AS222,COLUMNS($AV$9:BN221)),""))</f>
        <v>0</v>
      </c>
      <c r="BO222" s="3" t="b">
        <f>IF(IFERROR(INDEX($A$9:$X$304,$AS222,COLUMNS($AV$9:BO221)),"")=0,"",IFERROR(INDEX($A$9:$X$304,$AS222,COLUMNS($AV$9:BO221)),""))</f>
        <v>0</v>
      </c>
      <c r="BP222" s="3" t="b">
        <f>IF(IFERROR(INDEX($A$9:$X$304,$AS222,COLUMNS($AV$9:BP221)),"")=0,"",IFERROR(INDEX($A$9:$X$304,$AS222,COLUMNS($AV$9:BP221)),""))</f>
        <v>0</v>
      </c>
      <c r="BQ222" s="3" t="b">
        <f>IF(IFERROR(INDEX($A$9:$X$304,$AS222,COLUMNS($AV$9:BQ221)),"")=0,"",IFERROR(INDEX($A$9:$X$304,$AS222,COLUMNS($AV$9:BQ221)),""))</f>
        <v>0</v>
      </c>
      <c r="BR222" s="3" t="str">
        <f>IF(IFERROR(INDEX($A$9:$X$304,$AS222,COLUMNS($AV$9:BR221)),"")=0,"",IFERROR(INDEX($A$9:$X$304,$AS222,COLUMNS($AV$9:BR221)),""))</f>
        <v>https://www.epiccardgame.com/wp-content/uploads/2017/11/PNG-EN-13-rybas-canopy-sniper.jpg</v>
      </c>
      <c r="BS222" s="3" t="str">
        <f>IF(IFERROR(INDEX($A$9:$X$304,$AS222,COLUMNS($AV$9:BS221)),"")=0,"",IFERROR(INDEX($A$9:$X$304,$AS222,COLUMNS($AV$9:BS221)),""))</f>
        <v/>
      </c>
      <c r="BT222" s="3"/>
      <c r="BU222" s="15"/>
      <c r="BV222" t="s">
        <v>243</v>
      </c>
    </row>
    <row r="223" spans="1:74" ht="225.2" customHeight="1" x14ac:dyDescent="0.25">
      <c r="A223" t="s">
        <v>535</v>
      </c>
      <c r="B223">
        <v>1</v>
      </c>
      <c r="C223" t="s">
        <v>618</v>
      </c>
      <c r="E223" t="s">
        <v>620</v>
      </c>
      <c r="F223">
        <v>10</v>
      </c>
      <c r="G223">
        <v>7</v>
      </c>
      <c r="H223" t="s">
        <v>22</v>
      </c>
      <c r="I223" t="s">
        <v>916</v>
      </c>
      <c r="J223" t="s">
        <v>1013</v>
      </c>
      <c r="O223" t="s">
        <v>1083</v>
      </c>
      <c r="P223" t="s">
        <v>1112</v>
      </c>
      <c r="Q223" t="s">
        <v>1162</v>
      </c>
      <c r="R223" t="s">
        <v>1180</v>
      </c>
      <c r="S223" t="b">
        <v>1</v>
      </c>
      <c r="T223" t="b">
        <v>0</v>
      </c>
      <c r="U223" t="b">
        <v>0</v>
      </c>
      <c r="V223" t="b">
        <v>0</v>
      </c>
      <c r="W223" s="2" t="s">
        <v>1398</v>
      </c>
      <c r="X223" s="2"/>
      <c r="Y223" s="24">
        <v>215</v>
      </c>
      <c r="Z223">
        <f t="shared" si="60"/>
        <v>215</v>
      </c>
      <c r="AA223">
        <f t="shared" si="61"/>
        <v>215</v>
      </c>
      <c r="AB223">
        <f t="shared" si="62"/>
        <v>215</v>
      </c>
      <c r="AC223">
        <f t="shared" si="63"/>
        <v>0</v>
      </c>
      <c r="AD223">
        <f t="shared" si="64"/>
        <v>215</v>
      </c>
      <c r="AE223">
        <f t="shared" si="65"/>
        <v>215</v>
      </c>
      <c r="AF223">
        <f t="shared" si="66"/>
        <v>215</v>
      </c>
      <c r="AG223">
        <f t="shared" si="67"/>
        <v>215</v>
      </c>
      <c r="AH223">
        <f t="shared" si="68"/>
        <v>215</v>
      </c>
      <c r="AI223">
        <f t="shared" si="69"/>
        <v>215</v>
      </c>
      <c r="AJ223">
        <f t="shared" si="70"/>
        <v>0</v>
      </c>
      <c r="AK223">
        <f t="shared" si="71"/>
        <v>0</v>
      </c>
      <c r="AL223">
        <f t="shared" si="72"/>
        <v>0</v>
      </c>
      <c r="AM223">
        <f t="shared" si="73"/>
        <v>0</v>
      </c>
      <c r="AN223">
        <f t="shared" si="74"/>
        <v>215</v>
      </c>
      <c r="AO223">
        <f t="shared" si="75"/>
        <v>215</v>
      </c>
      <c r="AP223">
        <f t="shared" si="76"/>
        <v>215</v>
      </c>
      <c r="AQ223">
        <f t="shared" si="77"/>
        <v>215</v>
      </c>
      <c r="AR223" s="6">
        <f t="shared" si="78"/>
        <v>215</v>
      </c>
      <c r="AS223">
        <f t="shared" si="79"/>
        <v>215</v>
      </c>
      <c r="AV223" s="1" t="str">
        <f>IF(IFERROR(INDEX($A$9:$W$304,$AS223,COLUMNS($AV$9:AV222)),"")=0,"",IFERROR(INDEX($A$9:$W$304,$AS223,COLUMNS($AV$9:AV222)),""))</f>
        <v>Saren, Night Stalker</v>
      </c>
      <c r="AW223" s="1">
        <f>IFERROR(INDEX($A$9:$W$304,$AS223,COLUMNS($AV$9:AW222)),"")</f>
        <v>1</v>
      </c>
      <c r="AX223" s="1" t="str">
        <f>IF(IFERROR(INDEX($A$9:$X$304,$AS223,COLUMNS($AV$9:AX222)),"")=0,"",IFERROR(INDEX($A$9:$X$304,$AS223,COLUMNS($AV$9:AX222)),""))</f>
        <v>EVIL</v>
      </c>
      <c r="AY223" s="1" t="str">
        <f>IF(IFERROR(INDEX($A$9:$X$304,$AS223,COLUMNS($AV$9:AY222)),"")=0,"",IFERROR(INDEX($A$9:$X$304,$AS223,COLUMNS($AV$9:AY222)),""))</f>
        <v/>
      </c>
      <c r="AZ223" s="1" t="str">
        <f>IF(IFERROR(INDEX($A$9:$X$304,$AS223,COLUMNS($AV$9:AZ222)),"")=0,"",IFERROR(INDEX($A$9:$X$304,$AS223,COLUMNS($AV$9:AZ222)),""))</f>
        <v>CHAMPION</v>
      </c>
      <c r="BA223" s="1">
        <f>IF(IFERROR(INDEX($A$9:$X$304,$AS223,COLUMNS($AV$9:BA222)),"")=0,"",IFERROR(INDEX($A$9:$X$304,$AS223,COLUMNS($AV$9:BA222)),""))</f>
        <v>10</v>
      </c>
      <c r="BB223" s="1">
        <f>IF(IFERROR(INDEX($A$9:$X$304,$AS223,COLUMNS($AV$9:BB222)),"")=0,"",IFERROR(INDEX($A$9:$X$304,$AS223,COLUMNS($AV$9:BB222)),""))</f>
        <v>7</v>
      </c>
      <c r="BC223" s="1" t="str">
        <f>IF(IFERROR(INDEX($A$9:$X$304,$AS223,COLUMNS($AV$9:BC222)),"")=0,"",IFERROR(INDEX($A$9:$X$304,$AS223,COLUMNS($AV$9:BC222)),""))</f>
        <v>Blitz</v>
      </c>
      <c r="BD223" s="1" t="str">
        <f>IF(IFERROR(INDEX($A$9:$X$304,$AS223,COLUMNS($AV$9:BD222)),"")=0,"",IFERROR(INDEX($A$9:$X$304,$AS223,COLUMNS($AV$9:BD222)),""))</f>
        <v>Unbreakable on your turn.</v>
      </c>
      <c r="BE223" s="1" t="str">
        <f>IF(IFERROR(INDEX($A$9:$X$304,$AS223,COLUMNS($AV$9:BE222)),"")=0,"",IFERROR(INDEX($A$9:$X$304,$AS223,COLUMNS($AV$9:BE222)),""))</f>
        <v>"Raxxa attacks the city at dawn. We attack the survivors at dusk!"</v>
      </c>
      <c r="BF223" s="1" t="str">
        <f>IF(IFERROR(INDEX($A$9:$X$304,$AS223,COLUMNS($AV$9:BF222)),"")=0,"",IFERROR(INDEX($A$9:$X$304,$AS223,COLUMNS($AV$9:BF222)),""))</f>
        <v/>
      </c>
      <c r="BG223" s="1" t="str">
        <f>IF(IFERROR(INDEX($A$9:$X$304,$AS223,COLUMNS($AV$9:BG222)),"")=0,"",IFERROR(INDEX($A$9:$X$304,$AS223,COLUMNS($AV$9:BG222)),""))</f>
        <v/>
      </c>
      <c r="BH223" s="1" t="str">
        <f>IF(IFERROR(INDEX($A$9:$X$304,$AS223,COLUMNS($AV$9:BH222)),"")=0,"",IFERROR(INDEX($A$9:$X$304,$AS223,COLUMNS($AV$9:BH222)),""))</f>
        <v/>
      </c>
      <c r="BI223" s="1" t="str">
        <f>IF(IFERROR(INDEX($A$9:$X$304,$AS223,COLUMNS($AV$9:BI222)),"")=0,"",IFERROR(INDEX($A$9:$X$304,$AS223,COLUMNS($AV$9:BI222)),""))</f>
        <v/>
      </c>
      <c r="BJ223" s="1" t="str">
        <f>IF(IFERROR(INDEX($A$9:$X$304,$AS223,COLUMNS($AV$9:BJ222)),"")=0,"",IFERROR(INDEX($A$9:$X$304,$AS223,COLUMNS($AV$9:BJ222)),""))</f>
        <v>VAMPIRE</v>
      </c>
      <c r="BK223" s="1" t="str">
        <f>IF(IFERROR(INDEX($A$9:$X$304,$AS223,COLUMNS($AV$9:BK222)),"")=0,"",IFERROR(INDEX($A$9:$X$304,$AS223,COLUMNS($AV$9:BK222)),""))</f>
        <v>Common</v>
      </c>
      <c r="BL223" s="1" t="str">
        <f>IF(IFERROR(INDEX($A$9:$X$304,$AS223,COLUMNS($AV$9:BL222)),"")=0,"",IFERROR(INDEX($A$9:$X$304,$AS223,COLUMNS($AV$9:BL222)),""))</f>
        <v>Evan SN</v>
      </c>
      <c r="BM223" s="1" t="str">
        <f>IF(IFERROR(INDEX($A$9:$X$304,$AS223,COLUMNS($AV$9:BM222)),"")=0,"",IFERROR(INDEX($A$9:$X$304,$AS223,COLUMNS($AV$9:BM222)),""))</f>
        <v>Uprising: Flames of Scarros</v>
      </c>
      <c r="BN223" s="3" t="b">
        <f>IF(IFERROR(INDEX($A$9:$X$304,$AS223,COLUMNS($AV$9:BN222)),"")=0,"",IFERROR(INDEX($A$9:$X$304,$AS223,COLUMNS($AV$9:BN222)),""))</f>
        <v>1</v>
      </c>
      <c r="BO223" s="3" t="b">
        <f>IF(IFERROR(INDEX($A$9:$X$304,$AS223,COLUMNS($AV$9:BO222)),"")=0,"",IFERROR(INDEX($A$9:$X$304,$AS223,COLUMNS($AV$9:BO222)),""))</f>
        <v>0</v>
      </c>
      <c r="BP223" s="3" t="b">
        <f>IF(IFERROR(INDEX($A$9:$X$304,$AS223,COLUMNS($AV$9:BP222)),"")=0,"",IFERROR(INDEX($A$9:$X$304,$AS223,COLUMNS($AV$9:BP222)),""))</f>
        <v>0</v>
      </c>
      <c r="BQ223" s="3" t="b">
        <f>IF(IFERROR(INDEX($A$9:$X$304,$AS223,COLUMNS($AV$9:BQ222)),"")=0,"",IFERROR(INDEX($A$9:$X$304,$AS223,COLUMNS($AV$9:BQ222)),""))</f>
        <v>0</v>
      </c>
      <c r="BR223" s="3" t="str">
        <f>IF(IFERROR(INDEX($A$9:$X$304,$AS223,COLUMNS($AV$9:BR222)),"")=0,"",IFERROR(INDEX($A$9:$X$304,$AS223,COLUMNS($AV$9:BR222)),""))</f>
        <v>https://www.epiccardgame.com/wp-content/uploads/2017/11/UPS-EN-saren-night-stalker.jpg</v>
      </c>
      <c r="BS223" s="3" t="str">
        <f>IF(IFERROR(INDEX($A$9:$X$304,$AS223,COLUMNS($AV$9:BS222)),"")=0,"",IFERROR(INDEX($A$9:$X$304,$AS223,COLUMNS($AV$9:BS222)),""))</f>
        <v/>
      </c>
      <c r="BT223" s="3"/>
      <c r="BU223" s="15"/>
      <c r="BV223" t="s">
        <v>244</v>
      </c>
    </row>
    <row r="224" spans="1:74" ht="225.2" customHeight="1" x14ac:dyDescent="0.25">
      <c r="A224" t="s">
        <v>536</v>
      </c>
      <c r="B224">
        <v>1</v>
      </c>
      <c r="C224" t="s">
        <v>615</v>
      </c>
      <c r="E224" t="s">
        <v>619</v>
      </c>
      <c r="H224" t="s">
        <v>727</v>
      </c>
      <c r="I224" t="s">
        <v>917</v>
      </c>
      <c r="O224" t="s">
        <v>1062</v>
      </c>
      <c r="P224" t="s">
        <v>1112</v>
      </c>
      <c r="Q224" t="s">
        <v>1159</v>
      </c>
      <c r="R224" t="s">
        <v>1177</v>
      </c>
      <c r="S224" t="b">
        <v>1</v>
      </c>
      <c r="T224" t="b">
        <v>1</v>
      </c>
      <c r="U224" t="b">
        <v>0</v>
      </c>
      <c r="V224" t="b">
        <v>0</v>
      </c>
      <c r="W224" s="2" t="s">
        <v>1399</v>
      </c>
      <c r="X224" s="2"/>
      <c r="Y224" s="24">
        <v>216</v>
      </c>
      <c r="Z224">
        <f t="shared" si="60"/>
        <v>216</v>
      </c>
      <c r="AA224">
        <f t="shared" si="61"/>
        <v>216</v>
      </c>
      <c r="AB224">
        <f t="shared" si="62"/>
        <v>216</v>
      </c>
      <c r="AC224">
        <f t="shared" si="63"/>
        <v>0</v>
      </c>
      <c r="AD224">
        <f t="shared" si="64"/>
        <v>216</v>
      </c>
      <c r="AE224">
        <f t="shared" si="65"/>
        <v>0</v>
      </c>
      <c r="AF224">
        <f t="shared" si="66"/>
        <v>0</v>
      </c>
      <c r="AG224">
        <f t="shared" si="67"/>
        <v>216</v>
      </c>
      <c r="AH224">
        <f t="shared" si="68"/>
        <v>216</v>
      </c>
      <c r="AI224">
        <f t="shared" si="69"/>
        <v>0</v>
      </c>
      <c r="AJ224">
        <f t="shared" si="70"/>
        <v>0</v>
      </c>
      <c r="AK224">
        <f t="shared" si="71"/>
        <v>0</v>
      </c>
      <c r="AL224">
        <f t="shared" si="72"/>
        <v>0</v>
      </c>
      <c r="AM224">
        <f t="shared" si="73"/>
        <v>0</v>
      </c>
      <c r="AN224">
        <f t="shared" si="74"/>
        <v>216</v>
      </c>
      <c r="AO224">
        <f t="shared" si="75"/>
        <v>216</v>
      </c>
      <c r="AP224">
        <f t="shared" si="76"/>
        <v>216</v>
      </c>
      <c r="AQ224">
        <f t="shared" si="77"/>
        <v>216</v>
      </c>
      <c r="AR224" s="6">
        <f t="shared" si="78"/>
        <v>216</v>
      </c>
      <c r="AS224">
        <f t="shared" si="79"/>
        <v>216</v>
      </c>
      <c r="AV224" s="1" t="str">
        <f>IF(IFERROR(INDEX($A$9:$W$304,$AS224,COLUMNS($AV$9:AV223)),"")=0,"",IFERROR(INDEX($A$9:$W$304,$AS224,COLUMNS($AV$9:AV223)),""))</f>
        <v>Savage Uprising</v>
      </c>
      <c r="AW224" s="1">
        <f>IFERROR(INDEX($A$9:$W$304,$AS224,COLUMNS($AV$9:AW223)),"")</f>
        <v>1</v>
      </c>
      <c r="AX224" s="1" t="str">
        <f>IF(IFERROR(INDEX($A$9:$X$304,$AS224,COLUMNS($AV$9:AX223)),"")=0,"",IFERROR(INDEX($A$9:$X$304,$AS224,COLUMNS($AV$9:AX223)),""))</f>
        <v>WILD</v>
      </c>
      <c r="AY224" s="1" t="str">
        <f>IF(IFERROR(INDEX($A$9:$X$304,$AS224,COLUMNS($AV$9:AY223)),"")=0,"",IFERROR(INDEX($A$9:$X$304,$AS224,COLUMNS($AV$9:AY223)),""))</f>
        <v/>
      </c>
      <c r="AZ224" s="1" t="str">
        <f>IF(IFERROR(INDEX($A$9:$X$304,$AS224,COLUMNS($AV$9:AZ223)),"")=0,"",IFERROR(INDEX($A$9:$X$304,$AS224,COLUMNS($AV$9:AZ223)),""))</f>
        <v>EVENT</v>
      </c>
      <c r="BA224" s="1" t="str">
        <f>IF(IFERROR(INDEX($A$9:$X$304,$AS224,COLUMNS($AV$9:BA223)),"")=0,"",IFERROR(INDEX($A$9:$X$304,$AS224,COLUMNS($AV$9:BA223)),""))</f>
        <v/>
      </c>
      <c r="BB224" s="1" t="str">
        <f>IF(IFERROR(INDEX($A$9:$X$304,$AS224,COLUMNS($AV$9:BB223)),"")=0,"",IFERROR(INDEX($A$9:$X$304,$AS224,COLUMNS($AV$9:BB223)),""))</f>
        <v/>
      </c>
      <c r="BC224" s="1" t="str">
        <f>IF(IFERROR(INDEX($A$9:$X$304,$AS224,COLUMNS($AV$9:BC223)),"")=0,"",IFERROR(INDEX($A$9:$X$304,$AS224,COLUMNS($AV$9:BC223)),""))</f>
        <v>Deal 5 damage to target player. Draw a card.</v>
      </c>
      <c r="BD224" s="1" t="str">
        <f>IF(IFERROR(INDEX($A$9:$X$304,$AS224,COLUMNS($AV$9:BD223)),"")=0,"",IFERROR(INDEX($A$9:$X$304,$AS224,COLUMNS($AV$9:BD223)),""))</f>
        <v>Deal 9 damage to each {1} champion.</v>
      </c>
      <c r="BE224" s="1" t="str">
        <f>IF(IFERROR(INDEX($A$9:$X$304,$AS224,COLUMNS($AV$9:BE223)),"")=0,"",IFERROR(INDEX($A$9:$X$304,$AS224,COLUMNS($AV$9:BE223)),""))</f>
        <v/>
      </c>
      <c r="BF224" s="1" t="str">
        <f>IF(IFERROR(INDEX($A$9:$X$304,$AS224,COLUMNS($AV$9:BF223)),"")=0,"",IFERROR(INDEX($A$9:$X$304,$AS224,COLUMNS($AV$9:BF223)),""))</f>
        <v/>
      </c>
      <c r="BG224" s="1" t="str">
        <f>IF(IFERROR(INDEX($A$9:$X$304,$AS224,COLUMNS($AV$9:BG223)),"")=0,"",IFERROR(INDEX($A$9:$X$304,$AS224,COLUMNS($AV$9:BG223)),""))</f>
        <v/>
      </c>
      <c r="BH224" s="1" t="str">
        <f>IF(IFERROR(INDEX($A$9:$X$304,$AS224,COLUMNS($AV$9:BH223)),"")=0,"",IFERROR(INDEX($A$9:$X$304,$AS224,COLUMNS($AV$9:BH223)),""))</f>
        <v/>
      </c>
      <c r="BI224" s="1" t="str">
        <f>IF(IFERROR(INDEX($A$9:$X$304,$AS224,COLUMNS($AV$9:BI223)),"")=0,"",IFERROR(INDEX($A$9:$X$304,$AS224,COLUMNS($AV$9:BI223)),""))</f>
        <v/>
      </c>
      <c r="BJ224" s="1" t="str">
        <f>IF(IFERROR(INDEX($A$9:$X$304,$AS224,COLUMNS($AV$9:BJ223)),"")=0,"",IFERROR(INDEX($A$9:$X$304,$AS224,COLUMNS($AV$9:BJ223)),""))</f>
        <v>None</v>
      </c>
      <c r="BK224" s="1" t="str">
        <f>IF(IFERROR(INDEX($A$9:$X$304,$AS224,COLUMNS($AV$9:BK223)),"")=0,"",IFERROR(INDEX($A$9:$X$304,$AS224,COLUMNS($AV$9:BK223)),""))</f>
        <v>Common</v>
      </c>
      <c r="BL224" s="1" t="str">
        <f>IF(IFERROR(INDEX($A$9:$X$304,$AS224,COLUMNS($AV$9:BL223)),"")=0,"",IFERROR(INDEX($A$9:$X$304,$AS224,COLUMNS($AV$9:BL223)),""))</f>
        <v>Nichole Balsley</v>
      </c>
      <c r="BM224" s="1" t="str">
        <f>IF(IFERROR(INDEX($A$9:$X$304,$AS224,COLUMNS($AV$9:BM223)),"")=0,"",IFERROR(INDEX($A$9:$X$304,$AS224,COLUMNS($AV$9:BM223)),""))</f>
        <v>Uprising: Will of Zannos</v>
      </c>
      <c r="BN224" s="3" t="b">
        <f>IF(IFERROR(INDEX($A$9:$X$304,$AS224,COLUMNS($AV$9:BN223)),"")=0,"",IFERROR(INDEX($A$9:$X$304,$AS224,COLUMNS($AV$9:BN223)),""))</f>
        <v>1</v>
      </c>
      <c r="BO224" s="3" t="b">
        <f>IF(IFERROR(INDEX($A$9:$X$304,$AS224,COLUMNS($AV$9:BO223)),"")=0,"",IFERROR(INDEX($A$9:$X$304,$AS224,COLUMNS($AV$9:BO223)),""))</f>
        <v>1</v>
      </c>
      <c r="BP224" s="3" t="b">
        <f>IF(IFERROR(INDEX($A$9:$X$304,$AS224,COLUMNS($AV$9:BP223)),"")=0,"",IFERROR(INDEX($A$9:$X$304,$AS224,COLUMNS($AV$9:BP223)),""))</f>
        <v>0</v>
      </c>
      <c r="BQ224" s="3" t="b">
        <f>IF(IFERROR(INDEX($A$9:$X$304,$AS224,COLUMNS($AV$9:BQ223)),"")=0,"",IFERROR(INDEX($A$9:$X$304,$AS224,COLUMNS($AV$9:BQ223)),""))</f>
        <v>0</v>
      </c>
      <c r="BR224" s="3" t="str">
        <f>IF(IFERROR(INDEX($A$9:$X$304,$AS224,COLUMNS($AV$9:BR223)),"")=0,"",IFERROR(INDEX($A$9:$X$304,$AS224,COLUMNS($AV$9:BR223)),""))</f>
        <v>https://www.epiccardgame.com/wp-content/uploads/2017/11/UPZ-EN-savage-uprising.jpg</v>
      </c>
      <c r="BS224" s="3" t="str">
        <f>IF(IFERROR(INDEX($A$9:$X$304,$AS224,COLUMNS($AV$9:BS223)),"")=0,"",IFERROR(INDEX($A$9:$X$304,$AS224,COLUMNS($AV$9:BS223)),""))</f>
        <v/>
      </c>
      <c r="BT224" s="3"/>
      <c r="BU224" s="15"/>
      <c r="BV224" t="s">
        <v>245</v>
      </c>
    </row>
    <row r="225" spans="1:74" ht="225.2" customHeight="1" x14ac:dyDescent="0.25">
      <c r="A225" t="s">
        <v>537</v>
      </c>
      <c r="B225">
        <v>0</v>
      </c>
      <c r="C225" t="s">
        <v>618</v>
      </c>
      <c r="E225" t="s">
        <v>619</v>
      </c>
      <c r="H225" t="s">
        <v>728</v>
      </c>
      <c r="L225" t="s">
        <v>1052</v>
      </c>
      <c r="O225" t="s">
        <v>1062</v>
      </c>
      <c r="P225" t="s">
        <v>1113</v>
      </c>
      <c r="Q225" t="s">
        <v>1157</v>
      </c>
      <c r="R225" t="s">
        <v>1174</v>
      </c>
      <c r="S225" t="b">
        <v>0</v>
      </c>
      <c r="T225" t="b">
        <v>0</v>
      </c>
      <c r="U225" t="b">
        <v>0</v>
      </c>
      <c r="V225" t="b">
        <v>0</v>
      </c>
      <c r="W225" s="2" t="s">
        <v>1400</v>
      </c>
      <c r="X225" s="2"/>
      <c r="Y225" s="24">
        <v>217</v>
      </c>
      <c r="Z225">
        <f t="shared" si="60"/>
        <v>217</v>
      </c>
      <c r="AA225">
        <f t="shared" si="61"/>
        <v>217</v>
      </c>
      <c r="AB225">
        <f t="shared" si="62"/>
        <v>217</v>
      </c>
      <c r="AC225">
        <f t="shared" si="63"/>
        <v>0</v>
      </c>
      <c r="AD225">
        <f t="shared" si="64"/>
        <v>217</v>
      </c>
      <c r="AE225">
        <f t="shared" si="65"/>
        <v>0</v>
      </c>
      <c r="AF225">
        <f t="shared" si="66"/>
        <v>0</v>
      </c>
      <c r="AG225">
        <f t="shared" si="67"/>
        <v>217</v>
      </c>
      <c r="AH225">
        <f t="shared" si="68"/>
        <v>0</v>
      </c>
      <c r="AI225">
        <f t="shared" si="69"/>
        <v>0</v>
      </c>
      <c r="AJ225">
        <f t="shared" si="70"/>
        <v>0</v>
      </c>
      <c r="AK225">
        <f t="shared" si="71"/>
        <v>217</v>
      </c>
      <c r="AL225">
        <f t="shared" si="72"/>
        <v>0</v>
      </c>
      <c r="AM225">
        <f t="shared" si="73"/>
        <v>0</v>
      </c>
      <c r="AN225">
        <f t="shared" si="74"/>
        <v>217</v>
      </c>
      <c r="AO225">
        <f t="shared" si="75"/>
        <v>217</v>
      </c>
      <c r="AP225">
        <f t="shared" si="76"/>
        <v>217</v>
      </c>
      <c r="AQ225">
        <f t="shared" si="77"/>
        <v>217</v>
      </c>
      <c r="AR225" s="6">
        <f t="shared" si="78"/>
        <v>217</v>
      </c>
      <c r="AS225">
        <f t="shared" si="79"/>
        <v>217</v>
      </c>
      <c r="AV225" s="1" t="str">
        <f>IF(IFERROR(INDEX($A$9:$W$304,$AS225,COLUMNS($AV$9:AV224)),"")=0,"",IFERROR(INDEX($A$9:$W$304,$AS225,COLUMNS($AV$9:AV224)),""))</f>
        <v>Scara's Gift</v>
      </c>
      <c r="AW225" s="1">
        <f>IFERROR(INDEX($A$9:$W$304,$AS225,COLUMNS($AV$9:AW224)),"")</f>
        <v>0</v>
      </c>
      <c r="AX225" s="1" t="str">
        <f>IF(IFERROR(INDEX($A$9:$X$304,$AS225,COLUMNS($AV$9:AX224)),"")=0,"",IFERROR(INDEX($A$9:$X$304,$AS225,COLUMNS($AV$9:AX224)),""))</f>
        <v>EVIL</v>
      </c>
      <c r="AY225" s="1" t="str">
        <f>IF(IFERROR(INDEX($A$9:$X$304,$AS225,COLUMNS($AV$9:AY224)),"")=0,"",IFERROR(INDEX($A$9:$X$304,$AS225,COLUMNS($AV$9:AY224)),""))</f>
        <v/>
      </c>
      <c r="AZ225" s="1" t="str">
        <f>IF(IFERROR(INDEX($A$9:$X$304,$AS225,COLUMNS($AV$9:AZ224)),"")=0,"",IFERROR(INDEX($A$9:$X$304,$AS225,COLUMNS($AV$9:AZ224)),""))</f>
        <v>EVENT</v>
      </c>
      <c r="BA225" s="1" t="str">
        <f>IF(IFERROR(INDEX($A$9:$X$304,$AS225,COLUMNS($AV$9:BA224)),"")=0,"",IFERROR(INDEX($A$9:$X$304,$AS225,COLUMNS($AV$9:BA224)),""))</f>
        <v/>
      </c>
      <c r="BB225" s="1" t="str">
        <f>IF(IFERROR(INDEX($A$9:$X$304,$AS225,COLUMNS($AV$9:BB224)),"")=0,"",IFERROR(INDEX($A$9:$X$304,$AS225,COLUMNS($AV$9:BB224)),""))</f>
        <v/>
      </c>
      <c r="BC225" s="1" t="str">
        <f>IF(IFERROR(INDEX($A$9:$X$304,$AS225,COLUMNS($AV$9:BC224)),"")=0,"",IFERROR(INDEX($A$9:$X$304,$AS225,COLUMNS($AV$9:BC224)),""))</f>
        <v>Deal 2 damage to target player. Gain 2 health.</v>
      </c>
      <c r="BD225" s="1" t="str">
        <f>IF(IFERROR(INDEX($A$9:$X$304,$AS225,COLUMNS($AV$9:BD224)),"")=0,"",IFERROR(INDEX($A$9:$X$304,$AS225,COLUMNS($AV$9:BD224)),""))</f>
        <v/>
      </c>
      <c r="BE225" s="1" t="str">
        <f>IF(IFERROR(INDEX($A$9:$X$304,$AS225,COLUMNS($AV$9:BE224)),"")=0,"",IFERROR(INDEX($A$9:$X$304,$AS225,COLUMNS($AV$9:BE224)),""))</f>
        <v/>
      </c>
      <c r="BF225" s="1" t="str">
        <f>IF(IFERROR(INDEX($A$9:$X$304,$AS225,COLUMNS($AV$9:BF224)),"")=0,"",IFERROR(INDEX($A$9:$X$304,$AS225,COLUMNS($AV$9:BF224)),""))</f>
        <v/>
      </c>
      <c r="BG225" s="1" t="str">
        <f>IF(IFERROR(INDEX($A$9:$X$304,$AS225,COLUMNS($AV$9:BG224)),"")=0,"",IFERROR(INDEX($A$9:$X$304,$AS225,COLUMNS($AV$9:BG224)),""))</f>
        <v>{evil} → You may banish two other cards in your discard pile. If you do, Recall.</v>
      </c>
      <c r="BH225" s="1" t="str">
        <f>IF(IFERROR(INDEX($A$9:$X$304,$AS225,COLUMNS($AV$9:BH224)),"")=0,"",IFERROR(INDEX($A$9:$X$304,$AS225,COLUMNS($AV$9:BH224)),""))</f>
        <v/>
      </c>
      <c r="BI225" s="1" t="str">
        <f>IF(IFERROR(INDEX($A$9:$X$304,$AS225,COLUMNS($AV$9:BI224)),"")=0,"",IFERROR(INDEX($A$9:$X$304,$AS225,COLUMNS($AV$9:BI224)),""))</f>
        <v/>
      </c>
      <c r="BJ225" s="1" t="str">
        <f>IF(IFERROR(INDEX($A$9:$X$304,$AS225,COLUMNS($AV$9:BJ224)),"")=0,"",IFERROR(INDEX($A$9:$X$304,$AS225,COLUMNS($AV$9:BJ224)),""))</f>
        <v>None</v>
      </c>
      <c r="BK225" s="1" t="str">
        <f>IF(IFERROR(INDEX($A$9:$X$304,$AS225,COLUMNS($AV$9:BK224)),"")=0,"",IFERROR(INDEX($A$9:$X$304,$AS225,COLUMNS($AV$9:BK224)),""))</f>
        <v>Rare</v>
      </c>
      <c r="BL225" s="1" t="str">
        <f>IF(IFERROR(INDEX($A$9:$X$304,$AS225,COLUMNS($AV$9:BL224)),"")=0,"",IFERROR(INDEX($A$9:$X$304,$AS225,COLUMNS($AV$9:BL224)),""))</f>
        <v>Rainer Petter</v>
      </c>
      <c r="BM225" s="1" t="str">
        <f>IF(IFERROR(INDEX($A$9:$X$304,$AS225,COLUMNS($AV$9:BM224)),"")=0,"",IFERROR(INDEX($A$9:$X$304,$AS225,COLUMNS($AV$9:BM224)),""))</f>
        <v>Pantheon: Furios vs Maligus</v>
      </c>
      <c r="BN225" s="3" t="b">
        <f>IF(IFERROR(INDEX($A$9:$X$304,$AS225,COLUMNS($AV$9:BN224)),"")=0,"",IFERROR(INDEX($A$9:$X$304,$AS225,COLUMNS($AV$9:BN224)),""))</f>
        <v>0</v>
      </c>
      <c r="BO225" s="3" t="b">
        <f>IF(IFERROR(INDEX($A$9:$X$304,$AS225,COLUMNS($AV$9:BO224)),"")=0,"",IFERROR(INDEX($A$9:$X$304,$AS225,COLUMNS($AV$9:BO224)),""))</f>
        <v>0</v>
      </c>
      <c r="BP225" s="3" t="b">
        <f>IF(IFERROR(INDEX($A$9:$X$304,$AS225,COLUMNS($AV$9:BP224)),"")=0,"",IFERROR(INDEX($A$9:$X$304,$AS225,COLUMNS($AV$9:BP224)),""))</f>
        <v>0</v>
      </c>
      <c r="BQ225" s="3" t="b">
        <f>IF(IFERROR(INDEX($A$9:$X$304,$AS225,COLUMNS($AV$9:BQ224)),"")=0,"",IFERROR(INDEX($A$9:$X$304,$AS225,COLUMNS($AV$9:BQ224)),""))</f>
        <v>0</v>
      </c>
      <c r="BR225" s="3" t="str">
        <f>IF(IFERROR(INDEX($A$9:$X$304,$AS225,COLUMNS($AV$9:BR224)),"")=0,"",IFERROR(INDEX($A$9:$X$304,$AS225,COLUMNS($AV$9:BR224)),""))</f>
        <v>https://www.epiccardgame.com/wp-content/uploads/2017/11/PNF-EN-16-scara-s-gift.jpg</v>
      </c>
      <c r="BS225" s="3" t="str">
        <f>IF(IFERROR(INDEX($A$9:$X$304,$AS225,COLUMNS($AV$9:BS224)),"")=0,"",IFERROR(INDEX($A$9:$X$304,$AS225,COLUMNS($AV$9:BS224)),""))</f>
        <v/>
      </c>
      <c r="BT225" s="3"/>
      <c r="BU225" s="15"/>
      <c r="BV225" t="s">
        <v>246</v>
      </c>
    </row>
    <row r="226" spans="1:74" ht="225.2" customHeight="1" x14ac:dyDescent="0.25">
      <c r="A226" t="s">
        <v>538</v>
      </c>
      <c r="B226">
        <v>1</v>
      </c>
      <c r="C226" t="s">
        <v>618</v>
      </c>
      <c r="E226" t="s">
        <v>619</v>
      </c>
      <c r="H226" t="s">
        <v>627</v>
      </c>
      <c r="I226" t="s">
        <v>918</v>
      </c>
      <c r="O226" t="s">
        <v>1062</v>
      </c>
      <c r="P226" t="s">
        <v>1112</v>
      </c>
      <c r="Q226" t="s">
        <v>1163</v>
      </c>
      <c r="R226" t="s">
        <v>1173</v>
      </c>
      <c r="S226" t="b">
        <v>1</v>
      </c>
      <c r="T226" t="b">
        <v>1</v>
      </c>
      <c r="U226" t="b">
        <v>0</v>
      </c>
      <c r="V226" t="b">
        <v>0</v>
      </c>
      <c r="W226" s="2" t="s">
        <v>1401</v>
      </c>
      <c r="X226" s="2"/>
      <c r="Y226" s="24">
        <v>218</v>
      </c>
      <c r="Z226">
        <f t="shared" si="60"/>
        <v>218</v>
      </c>
      <c r="AA226">
        <f t="shared" si="61"/>
        <v>218</v>
      </c>
      <c r="AB226">
        <f t="shared" si="62"/>
        <v>218</v>
      </c>
      <c r="AC226">
        <f t="shared" si="63"/>
        <v>0</v>
      </c>
      <c r="AD226">
        <f t="shared" si="64"/>
        <v>218</v>
      </c>
      <c r="AE226">
        <f t="shared" si="65"/>
        <v>0</v>
      </c>
      <c r="AF226">
        <f t="shared" si="66"/>
        <v>0</v>
      </c>
      <c r="AG226">
        <f t="shared" si="67"/>
        <v>218</v>
      </c>
      <c r="AH226">
        <f t="shared" si="68"/>
        <v>218</v>
      </c>
      <c r="AI226">
        <f t="shared" si="69"/>
        <v>0</v>
      </c>
      <c r="AJ226">
        <f t="shared" si="70"/>
        <v>0</v>
      </c>
      <c r="AK226">
        <f t="shared" si="71"/>
        <v>0</v>
      </c>
      <c r="AL226">
        <f t="shared" si="72"/>
        <v>0</v>
      </c>
      <c r="AM226">
        <f t="shared" si="73"/>
        <v>0</v>
      </c>
      <c r="AN226">
        <f t="shared" si="74"/>
        <v>218</v>
      </c>
      <c r="AO226">
        <f t="shared" si="75"/>
        <v>218</v>
      </c>
      <c r="AP226">
        <f t="shared" si="76"/>
        <v>218</v>
      </c>
      <c r="AQ226">
        <f t="shared" si="77"/>
        <v>218</v>
      </c>
      <c r="AR226" s="6">
        <f t="shared" si="78"/>
        <v>218</v>
      </c>
      <c r="AS226">
        <f t="shared" si="79"/>
        <v>218</v>
      </c>
      <c r="AV226" s="1" t="str">
        <f>IF(IFERROR(INDEX($A$9:$W$304,$AS226,COLUMNS($AV$9:AV225)),"")=0,"",IFERROR(INDEX($A$9:$W$304,$AS226,COLUMNS($AV$9:AV225)),""))</f>
        <v>Scara's Will</v>
      </c>
      <c r="AW226" s="1">
        <f>IFERROR(INDEX($A$9:$W$304,$AS226,COLUMNS($AV$9:AW225)),"")</f>
        <v>1</v>
      </c>
      <c r="AX226" s="1" t="str">
        <f>IF(IFERROR(INDEX($A$9:$X$304,$AS226,COLUMNS($AV$9:AX225)),"")=0,"",IFERROR(INDEX($A$9:$X$304,$AS226,COLUMNS($AV$9:AX225)),""))</f>
        <v>EVIL</v>
      </c>
      <c r="AY226" s="1" t="str">
        <f>IF(IFERROR(INDEX($A$9:$X$304,$AS226,COLUMNS($AV$9:AY225)),"")=0,"",IFERROR(INDEX($A$9:$X$304,$AS226,COLUMNS($AV$9:AY225)),""))</f>
        <v/>
      </c>
      <c r="AZ226" s="1" t="str">
        <f>IF(IFERROR(INDEX($A$9:$X$304,$AS226,COLUMNS($AV$9:AZ225)),"")=0,"",IFERROR(INDEX($A$9:$X$304,$AS226,COLUMNS($AV$9:AZ225)),""))</f>
        <v>EVENT</v>
      </c>
      <c r="BA226" s="1" t="str">
        <f>IF(IFERROR(INDEX($A$9:$X$304,$AS226,COLUMNS($AV$9:BA225)),"")=0,"",IFERROR(INDEX($A$9:$X$304,$AS226,COLUMNS($AV$9:BA225)),""))</f>
        <v/>
      </c>
      <c r="BB226" s="1" t="str">
        <f>IF(IFERROR(INDEX($A$9:$X$304,$AS226,COLUMNS($AV$9:BB225)),"")=0,"",IFERROR(INDEX($A$9:$X$304,$AS226,COLUMNS($AV$9:BB225)),""))</f>
        <v/>
      </c>
      <c r="BC226" s="1" t="str">
        <f>IF(IFERROR(INDEX($A$9:$X$304,$AS226,COLUMNS($AV$9:BC225)),"")=0,"",IFERROR(INDEX($A$9:$X$304,$AS226,COLUMNS($AV$9:BC225)),""))</f>
        <v>Draw two cards.</v>
      </c>
      <c r="BD226" s="1" t="str">
        <f>IF(IFERROR(INDEX($A$9:$X$304,$AS226,COLUMNS($AV$9:BD225)),"")=0,"",IFERROR(INDEX($A$9:$X$304,$AS226,COLUMNS($AV$9:BD225)),""))</f>
        <v>If it is your turn, target player breaks a champion they control if able. If this is the first {1} card you’ve played this turn, gain {1} that may only be used to pay evil costs.</v>
      </c>
      <c r="BE226" s="1" t="str">
        <f>IF(IFERROR(INDEX($A$9:$X$304,$AS226,COLUMNS($AV$9:BE225)),"")=0,"",IFERROR(INDEX($A$9:$X$304,$AS226,COLUMNS($AV$9:BE225)),""))</f>
        <v/>
      </c>
      <c r="BF226" s="1" t="str">
        <f>IF(IFERROR(INDEX($A$9:$X$304,$AS226,COLUMNS($AV$9:BF225)),"")=0,"",IFERROR(INDEX($A$9:$X$304,$AS226,COLUMNS($AV$9:BF225)),""))</f>
        <v/>
      </c>
      <c r="BG226" s="1" t="str">
        <f>IF(IFERROR(INDEX($A$9:$X$304,$AS226,COLUMNS($AV$9:BG225)),"")=0,"",IFERROR(INDEX($A$9:$X$304,$AS226,COLUMNS($AV$9:BG225)),""))</f>
        <v/>
      </c>
      <c r="BH226" s="1" t="str">
        <f>IF(IFERROR(INDEX($A$9:$X$304,$AS226,COLUMNS($AV$9:BH225)),"")=0,"",IFERROR(INDEX($A$9:$X$304,$AS226,COLUMNS($AV$9:BH225)),""))</f>
        <v/>
      </c>
      <c r="BI226" s="1" t="str">
        <f>IF(IFERROR(INDEX($A$9:$X$304,$AS226,COLUMNS($AV$9:BI225)),"")=0,"",IFERROR(INDEX($A$9:$X$304,$AS226,COLUMNS($AV$9:BI225)),""))</f>
        <v/>
      </c>
      <c r="BJ226" s="1" t="str">
        <f>IF(IFERROR(INDEX($A$9:$X$304,$AS226,COLUMNS($AV$9:BJ225)),"")=0,"",IFERROR(INDEX($A$9:$X$304,$AS226,COLUMNS($AV$9:BJ225)),""))</f>
        <v>None</v>
      </c>
      <c r="BK226" s="1" t="str">
        <f>IF(IFERROR(INDEX($A$9:$X$304,$AS226,COLUMNS($AV$9:BK225)),"")=0,"",IFERROR(INDEX($A$9:$X$304,$AS226,COLUMNS($AV$9:BK225)),""))</f>
        <v>Common</v>
      </c>
      <c r="BL226" s="1" t="str">
        <f>IF(IFERROR(INDEX($A$9:$X$304,$AS226,COLUMNS($AV$9:BL225)),"")=0,"",IFERROR(INDEX($A$9:$X$304,$AS226,COLUMNS($AV$9:BL225)),""))</f>
        <v>Jean Baptiste Andrier</v>
      </c>
      <c r="BM226" s="1" t="str">
        <f>IF(IFERROR(INDEX($A$9:$X$304,$AS226,COLUMNS($AV$9:BM225)),"")=0,"",IFERROR(INDEX($A$9:$X$304,$AS226,COLUMNS($AV$9:BM225)),""))</f>
        <v>Pantheon: Angeline vs Scara</v>
      </c>
      <c r="BN226" s="3" t="b">
        <f>IF(IFERROR(INDEX($A$9:$X$304,$AS226,COLUMNS($AV$9:BN225)),"")=0,"",IFERROR(INDEX($A$9:$X$304,$AS226,COLUMNS($AV$9:BN225)),""))</f>
        <v>1</v>
      </c>
      <c r="BO226" s="3" t="b">
        <f>IF(IFERROR(INDEX($A$9:$X$304,$AS226,COLUMNS($AV$9:BO225)),"")=0,"",IFERROR(INDEX($A$9:$X$304,$AS226,COLUMNS($AV$9:BO225)),""))</f>
        <v>1</v>
      </c>
      <c r="BP226" s="3" t="b">
        <f>IF(IFERROR(INDEX($A$9:$X$304,$AS226,COLUMNS($AV$9:BP225)),"")=0,"",IFERROR(INDEX($A$9:$X$304,$AS226,COLUMNS($AV$9:BP225)),""))</f>
        <v>0</v>
      </c>
      <c r="BQ226" s="3" t="b">
        <f>IF(IFERROR(INDEX($A$9:$X$304,$AS226,COLUMNS($AV$9:BQ225)),"")=0,"",IFERROR(INDEX($A$9:$X$304,$AS226,COLUMNS($AV$9:BQ225)),""))</f>
        <v>0</v>
      </c>
      <c r="BR226" s="3" t="str">
        <f>IF(IFERROR(INDEX($A$9:$X$304,$AS226,COLUMNS($AV$9:BR225)),"")=0,"",IFERROR(INDEX($A$9:$X$304,$AS226,COLUMNS($AV$9:BR225)),""))</f>
        <v>https://www.epiccardgame.com/wp-content/uploads/2017/11/PNA-EN-12-scara-s-will.jpg</v>
      </c>
      <c r="BS226" s="3" t="str">
        <f>IF(IFERROR(INDEX($A$9:$X$304,$AS226,COLUMNS($AV$9:BS225)),"")=0,"",IFERROR(INDEX($A$9:$X$304,$AS226,COLUMNS($AV$9:BS225)),""))</f>
        <v/>
      </c>
      <c r="BT226" s="3"/>
      <c r="BU226" s="15"/>
      <c r="BV226" t="s">
        <v>247</v>
      </c>
    </row>
    <row r="227" spans="1:74" ht="161.44999999999999" customHeight="1" x14ac:dyDescent="0.25">
      <c r="A227" t="s">
        <v>539</v>
      </c>
      <c r="B227">
        <v>0</v>
      </c>
      <c r="C227" t="s">
        <v>618</v>
      </c>
      <c r="E227" t="s">
        <v>621</v>
      </c>
      <c r="H227" t="s">
        <v>729</v>
      </c>
      <c r="I227" t="s">
        <v>919</v>
      </c>
      <c r="O227" t="s">
        <v>1065</v>
      </c>
      <c r="Q227" t="s">
        <v>1164</v>
      </c>
      <c r="R227" t="s">
        <v>1173</v>
      </c>
      <c r="S227" t="b">
        <v>1</v>
      </c>
      <c r="T227" t="b">
        <v>0</v>
      </c>
      <c r="U227" t="b">
        <v>0</v>
      </c>
      <c r="V227" t="b">
        <v>0</v>
      </c>
      <c r="W227" s="2" t="s">
        <v>1402</v>
      </c>
      <c r="X227" s="2"/>
      <c r="Y227" s="24">
        <v>219</v>
      </c>
      <c r="Z227">
        <f t="shared" si="60"/>
        <v>219</v>
      </c>
      <c r="AA227">
        <f t="shared" si="61"/>
        <v>219</v>
      </c>
      <c r="AB227">
        <f t="shared" si="62"/>
        <v>219</v>
      </c>
      <c r="AC227">
        <f t="shared" si="63"/>
        <v>0</v>
      </c>
      <c r="AD227">
        <f t="shared" si="64"/>
        <v>219</v>
      </c>
      <c r="AE227">
        <f t="shared" si="65"/>
        <v>0</v>
      </c>
      <c r="AF227">
        <f t="shared" si="66"/>
        <v>0</v>
      </c>
      <c r="AG227">
        <f t="shared" si="67"/>
        <v>219</v>
      </c>
      <c r="AH227">
        <f t="shared" si="68"/>
        <v>219</v>
      </c>
      <c r="AI227">
        <f t="shared" si="69"/>
        <v>0</v>
      </c>
      <c r="AJ227">
        <f t="shared" si="70"/>
        <v>0</v>
      </c>
      <c r="AK227">
        <f t="shared" si="71"/>
        <v>0</v>
      </c>
      <c r="AL227">
        <f t="shared" si="72"/>
        <v>0</v>
      </c>
      <c r="AM227">
        <f t="shared" si="73"/>
        <v>0</v>
      </c>
      <c r="AN227">
        <f t="shared" si="74"/>
        <v>219</v>
      </c>
      <c r="AO227">
        <f t="shared" si="75"/>
        <v>0</v>
      </c>
      <c r="AP227">
        <f t="shared" si="76"/>
        <v>219</v>
      </c>
      <c r="AQ227">
        <f t="shared" si="77"/>
        <v>219</v>
      </c>
      <c r="AR227" s="6">
        <f t="shared" si="78"/>
        <v>219</v>
      </c>
      <c r="AS227">
        <f t="shared" si="79"/>
        <v>219</v>
      </c>
      <c r="AV227" s="1" t="str">
        <f>IF(IFERROR(INDEX($A$9:$W$304,$AS227,COLUMNS($AV$9:AV226)),"")=0,"",IFERROR(INDEX($A$9:$W$304,$AS227,COLUMNS($AV$9:AV226)),""))</f>
        <v>Scara, Weaver of Sorrow</v>
      </c>
      <c r="AW227" s="1">
        <f>IFERROR(INDEX($A$9:$W$304,$AS227,COLUMNS($AV$9:AW226)),"")</f>
        <v>0</v>
      </c>
      <c r="AX227" s="1" t="str">
        <f>IF(IFERROR(INDEX($A$9:$X$304,$AS227,COLUMNS($AV$9:AX226)),"")=0,"",IFERROR(INDEX($A$9:$X$304,$AS227,COLUMNS($AV$9:AX226)),""))</f>
        <v>EVIL</v>
      </c>
      <c r="AY227" s="1" t="str">
        <f>IF(IFERROR(INDEX($A$9:$X$304,$AS227,COLUMNS($AV$9:AY226)),"")=0,"",IFERROR(INDEX($A$9:$X$304,$AS227,COLUMNS($AV$9:AY226)),""))</f>
        <v/>
      </c>
      <c r="AZ227" s="1" t="str">
        <f>IF(IFERROR(INDEX($A$9:$X$304,$AS227,COLUMNS($AV$9:AZ226)),"")=0,"",IFERROR(INDEX($A$9:$X$304,$AS227,COLUMNS($AV$9:AZ226)),""))</f>
        <v>DEITY</v>
      </c>
      <c r="BA227" s="1" t="str">
        <f>IF(IFERROR(INDEX($A$9:$X$304,$AS227,COLUMNS($AV$9:BA226)),"")=0,"",IFERROR(INDEX($A$9:$X$304,$AS227,COLUMNS($AV$9:BA226)),""))</f>
        <v/>
      </c>
      <c r="BB227" s="1" t="str">
        <f>IF(IFERROR(INDEX($A$9:$X$304,$AS227,COLUMNS($AV$9:BB226)),"")=0,"",IFERROR(INDEX($A$9:$X$304,$AS227,COLUMNS($AV$9:BB226)),""))</f>
        <v/>
      </c>
      <c r="BC227" s="1" t="str">
        <f>IF(IFERROR(INDEX($A$9:$X$304,$AS227,COLUMNS($AV$9:BC226)),"")=0,"",IFERROR(INDEX($A$9:$X$304,$AS227,COLUMNS($AV$9:BC226)),""))</f>
        <v>{1}: Put a champion from any discard pile into play under your control.</v>
      </c>
      <c r="BD227" s="1" t="str">
        <f>IF(IFERROR(INDEX($A$9:$X$304,$AS227,COLUMNS($AV$9:BD226)),"")=0,"",IFERROR(INDEX($A$9:$X$304,$AS227,COLUMNS($AV$9:BD226)),""))</f>
        <v>{evil} → You may pay 1 health. If you do, put a zombie token into play, expended.</v>
      </c>
      <c r="BE227" s="1" t="str">
        <f>IF(IFERROR(INDEX($A$9:$X$304,$AS227,COLUMNS($AV$9:BE226)),"")=0,"",IFERROR(INDEX($A$9:$X$304,$AS227,COLUMNS($AV$9:BE226)),""))</f>
        <v/>
      </c>
      <c r="BF227" s="1" t="str">
        <f>IF(IFERROR(INDEX($A$9:$X$304,$AS227,COLUMNS($AV$9:BF226)),"")=0,"",IFERROR(INDEX($A$9:$X$304,$AS227,COLUMNS($AV$9:BF226)),""))</f>
        <v/>
      </c>
      <c r="BG227" s="1" t="str">
        <f>IF(IFERROR(INDEX($A$9:$X$304,$AS227,COLUMNS($AV$9:BG226)),"")=0,"",IFERROR(INDEX($A$9:$X$304,$AS227,COLUMNS($AV$9:BG226)),""))</f>
        <v/>
      </c>
      <c r="BH227" s="1" t="str">
        <f>IF(IFERROR(INDEX($A$9:$X$304,$AS227,COLUMNS($AV$9:BH226)),"")=0,"",IFERROR(INDEX($A$9:$X$304,$AS227,COLUMNS($AV$9:BH226)),""))</f>
        <v/>
      </c>
      <c r="BI227" s="1" t="str">
        <f>IF(IFERROR(INDEX($A$9:$X$304,$AS227,COLUMNS($AV$9:BI226)),"")=0,"",IFERROR(INDEX($A$9:$X$304,$AS227,COLUMNS($AV$9:BI226)),""))</f>
        <v/>
      </c>
      <c r="BJ227" s="1" t="str">
        <f>IF(IFERROR(INDEX($A$9:$X$304,$AS227,COLUMNS($AV$9:BJ226)),"")=0,"",IFERROR(INDEX($A$9:$X$304,$AS227,COLUMNS($AV$9:BJ226)),""))</f>
        <v>Goddess</v>
      </c>
      <c r="BK227" s="1" t="str">
        <f>IF(IFERROR(INDEX($A$9:$X$304,$AS227,COLUMNS($AV$9:BK226)),"")=0,"",IFERROR(INDEX($A$9:$X$304,$AS227,COLUMNS($AV$9:BK226)),""))</f>
        <v/>
      </c>
      <c r="BL227" s="1" t="str">
        <f>IF(IFERROR(INDEX($A$9:$X$304,$AS227,COLUMNS($AV$9:BL226)),"")=0,"",IFERROR(INDEX($A$9:$X$304,$AS227,COLUMNS($AV$9:BL226)),""))</f>
        <v>Anna Lakisova</v>
      </c>
      <c r="BM227" s="1" t="str">
        <f>IF(IFERROR(INDEX($A$9:$X$304,$AS227,COLUMNS($AV$9:BM226)),"")=0,"",IFERROR(INDEX($A$9:$X$304,$AS227,COLUMNS($AV$9:BM226)),""))</f>
        <v>Pantheon: Angeline vs Scara</v>
      </c>
      <c r="BN227" s="3" t="b">
        <f>IF(IFERROR(INDEX($A$9:$X$304,$AS227,COLUMNS($AV$9:BN226)),"")=0,"",IFERROR(INDEX($A$9:$X$304,$AS227,COLUMNS($AV$9:BN226)),""))</f>
        <v>1</v>
      </c>
      <c r="BO227" s="3" t="b">
        <f>IF(IFERROR(INDEX($A$9:$X$304,$AS227,COLUMNS($AV$9:BO226)),"")=0,"",IFERROR(INDEX($A$9:$X$304,$AS227,COLUMNS($AV$9:BO226)),""))</f>
        <v>0</v>
      </c>
      <c r="BP227" s="3" t="b">
        <f>IF(IFERROR(INDEX($A$9:$X$304,$AS227,COLUMNS($AV$9:BP226)),"")=0,"",IFERROR(INDEX($A$9:$X$304,$AS227,COLUMNS($AV$9:BP226)),""))</f>
        <v>0</v>
      </c>
      <c r="BQ227" s="3" t="b">
        <f>IF(IFERROR(INDEX($A$9:$X$304,$AS227,COLUMNS($AV$9:BQ226)),"")=0,"",IFERROR(INDEX($A$9:$X$304,$AS227,COLUMNS($AV$9:BQ226)),""))</f>
        <v>0</v>
      </c>
      <c r="BR227" s="3" t="str">
        <f>IF(IFERROR(INDEX($A$9:$X$304,$AS227,COLUMNS($AV$9:BR226)),"")=0,"",IFERROR(INDEX($A$9:$X$304,$AS227,COLUMNS($AV$9:BR226)),""))</f>
        <v>https://www.epiccardgame.com/wp-content/uploads/2017/11/PNA-EN-09-scara.jpg</v>
      </c>
      <c r="BS227" s="3" t="str">
        <f>IF(IFERROR(INDEX($A$9:$X$304,$AS227,COLUMNS($AV$9:BS226)),"")=0,"",IFERROR(INDEX($A$9:$X$304,$AS227,COLUMNS($AV$9:BS226)),""))</f>
        <v/>
      </c>
      <c r="BT227" s="3"/>
      <c r="BU227" s="15"/>
      <c r="BV227" t="s">
        <v>248</v>
      </c>
    </row>
    <row r="228" spans="1:74" ht="225.2" customHeight="1" x14ac:dyDescent="0.25">
      <c r="A228" t="s">
        <v>540</v>
      </c>
      <c r="B228">
        <v>0</v>
      </c>
      <c r="C228" t="s">
        <v>618</v>
      </c>
      <c r="E228" t="s">
        <v>620</v>
      </c>
      <c r="F228">
        <v>6</v>
      </c>
      <c r="G228">
        <v>5</v>
      </c>
      <c r="H228" t="s">
        <v>730</v>
      </c>
      <c r="I228" t="s">
        <v>920</v>
      </c>
      <c r="O228" t="s">
        <v>1063</v>
      </c>
      <c r="P228" t="s">
        <v>1112</v>
      </c>
      <c r="Q228" t="s">
        <v>1165</v>
      </c>
      <c r="R228" t="s">
        <v>1173</v>
      </c>
      <c r="S228" t="b">
        <v>1</v>
      </c>
      <c r="T228" t="b">
        <v>0</v>
      </c>
      <c r="U228" t="b">
        <v>0</v>
      </c>
      <c r="V228" t="b">
        <v>0</v>
      </c>
      <c r="W228" s="2" t="s">
        <v>1403</v>
      </c>
      <c r="X228" s="2"/>
      <c r="Y228" s="24">
        <v>220</v>
      </c>
      <c r="Z228">
        <f t="shared" si="60"/>
        <v>220</v>
      </c>
      <c r="AA228">
        <f t="shared" si="61"/>
        <v>220</v>
      </c>
      <c r="AB228">
        <f t="shared" si="62"/>
        <v>220</v>
      </c>
      <c r="AC228">
        <f t="shared" si="63"/>
        <v>0</v>
      </c>
      <c r="AD228">
        <f t="shared" si="64"/>
        <v>220</v>
      </c>
      <c r="AE228">
        <f t="shared" si="65"/>
        <v>220</v>
      </c>
      <c r="AF228">
        <f t="shared" si="66"/>
        <v>220</v>
      </c>
      <c r="AG228">
        <f t="shared" si="67"/>
        <v>220</v>
      </c>
      <c r="AH228">
        <f t="shared" si="68"/>
        <v>220</v>
      </c>
      <c r="AI228">
        <f t="shared" si="69"/>
        <v>0</v>
      </c>
      <c r="AJ228">
        <f t="shared" si="70"/>
        <v>0</v>
      </c>
      <c r="AK228">
        <f t="shared" si="71"/>
        <v>0</v>
      </c>
      <c r="AL228">
        <f t="shared" si="72"/>
        <v>0</v>
      </c>
      <c r="AM228">
        <f t="shared" si="73"/>
        <v>0</v>
      </c>
      <c r="AN228">
        <f t="shared" si="74"/>
        <v>220</v>
      </c>
      <c r="AO228">
        <f t="shared" si="75"/>
        <v>220</v>
      </c>
      <c r="AP228">
        <f t="shared" si="76"/>
        <v>220</v>
      </c>
      <c r="AQ228">
        <f t="shared" si="77"/>
        <v>220</v>
      </c>
      <c r="AR228" s="6">
        <f t="shared" si="78"/>
        <v>220</v>
      </c>
      <c r="AS228">
        <f t="shared" si="79"/>
        <v>220</v>
      </c>
      <c r="AV228" s="1" t="str">
        <f>IF(IFERROR(INDEX($A$9:$W$304,$AS228,COLUMNS($AV$9:AV227)),"")=0,"",IFERROR(INDEX($A$9:$W$304,$AS228,COLUMNS($AV$9:AV227)),""))</f>
        <v>Scarred Cultist</v>
      </c>
      <c r="AW228" s="1">
        <f>IFERROR(INDEX($A$9:$W$304,$AS228,COLUMNS($AV$9:AW227)),"")</f>
        <v>0</v>
      </c>
      <c r="AX228" s="1" t="str">
        <f>IF(IFERROR(INDEX($A$9:$X$304,$AS228,COLUMNS($AV$9:AX227)),"")=0,"",IFERROR(INDEX($A$9:$X$304,$AS228,COLUMNS($AV$9:AX227)),""))</f>
        <v>EVIL</v>
      </c>
      <c r="AY228" s="1" t="str">
        <f>IF(IFERROR(INDEX($A$9:$X$304,$AS228,COLUMNS($AV$9:AY227)),"")=0,"",IFERROR(INDEX($A$9:$X$304,$AS228,COLUMNS($AV$9:AY227)),""))</f>
        <v/>
      </c>
      <c r="AZ228" s="1" t="str">
        <f>IF(IFERROR(INDEX($A$9:$X$304,$AS228,COLUMNS($AV$9:AZ227)),"")=0,"",IFERROR(INDEX($A$9:$X$304,$AS228,COLUMNS($AV$9:AZ227)),""))</f>
        <v>CHAMPION</v>
      </c>
      <c r="BA228" s="1">
        <f>IF(IFERROR(INDEX($A$9:$X$304,$AS228,COLUMNS($AV$9:BA227)),"")=0,"",IFERROR(INDEX($A$9:$X$304,$AS228,COLUMNS($AV$9:BA227)),""))</f>
        <v>6</v>
      </c>
      <c r="BB228" s="1">
        <f>IF(IFERROR(INDEX($A$9:$X$304,$AS228,COLUMNS($AV$9:BB227)),"")=0,"",IFERROR(INDEX($A$9:$X$304,$AS228,COLUMNS($AV$9:BB227)),""))</f>
        <v>5</v>
      </c>
      <c r="BC228" s="1" t="str">
        <f>IF(IFERROR(INDEX($A$9:$X$304,$AS228,COLUMNS($AV$9:BC227)),"")=0,"",IFERROR(INDEX($A$9:$X$304,$AS228,COLUMNS($AV$9:BC227)),""))</f>
        <v>Loyalty 2 → Return target {1} champion card from your discard pile to your hand.</v>
      </c>
      <c r="BD228" s="1" t="str">
        <f>IF(IFERROR(INDEX($A$9:$X$304,$AS228,COLUMNS($AV$9:BD227)),"")=0,"",IFERROR(INDEX($A$9:$X$304,$AS228,COLUMNS($AV$9:BD227)),""))</f>
        <v>They show their devotion with each mark on their skin.</v>
      </c>
      <c r="BE228" s="1" t="str">
        <f>IF(IFERROR(INDEX($A$9:$X$304,$AS228,COLUMNS($AV$9:BE227)),"")=0,"",IFERROR(INDEX($A$9:$X$304,$AS228,COLUMNS($AV$9:BE227)),""))</f>
        <v/>
      </c>
      <c r="BF228" s="1" t="str">
        <f>IF(IFERROR(INDEX($A$9:$X$304,$AS228,COLUMNS($AV$9:BF227)),"")=0,"",IFERROR(INDEX($A$9:$X$304,$AS228,COLUMNS($AV$9:BF227)),""))</f>
        <v/>
      </c>
      <c r="BG228" s="1" t="str">
        <f>IF(IFERROR(INDEX($A$9:$X$304,$AS228,COLUMNS($AV$9:BG227)),"")=0,"",IFERROR(INDEX($A$9:$X$304,$AS228,COLUMNS($AV$9:BG227)),""))</f>
        <v/>
      </c>
      <c r="BH228" s="1" t="str">
        <f>IF(IFERROR(INDEX($A$9:$X$304,$AS228,COLUMNS($AV$9:BH227)),"")=0,"",IFERROR(INDEX($A$9:$X$304,$AS228,COLUMNS($AV$9:BH227)),""))</f>
        <v/>
      </c>
      <c r="BI228" s="1" t="str">
        <f>IF(IFERROR(INDEX($A$9:$X$304,$AS228,COLUMNS($AV$9:BI227)),"")=0,"",IFERROR(INDEX($A$9:$X$304,$AS228,COLUMNS($AV$9:BI227)),""))</f>
        <v/>
      </c>
      <c r="BJ228" s="1" t="str">
        <f>IF(IFERROR(INDEX($A$9:$X$304,$AS228,COLUMNS($AV$9:BJ227)),"")=0,"",IFERROR(INDEX($A$9:$X$304,$AS228,COLUMNS($AV$9:BJ227)),""))</f>
        <v>HUMAN</v>
      </c>
      <c r="BK228" s="1" t="str">
        <f>IF(IFERROR(INDEX($A$9:$X$304,$AS228,COLUMNS($AV$9:BK227)),"")=0,"",IFERROR(INDEX($A$9:$X$304,$AS228,COLUMNS($AV$9:BK227)),""))</f>
        <v>Common</v>
      </c>
      <c r="BL228" s="1" t="str">
        <f>IF(IFERROR(INDEX($A$9:$X$304,$AS228,COLUMNS($AV$9:BL227)),"")=0,"",IFERROR(INDEX($A$9:$X$304,$AS228,COLUMNS($AV$9:BL227)),""))</f>
        <v>Andres Agostini</v>
      </c>
      <c r="BM228" s="1" t="str">
        <f>IF(IFERROR(INDEX($A$9:$X$304,$AS228,COLUMNS($AV$9:BM227)),"")=0,"",IFERROR(INDEX($A$9:$X$304,$AS228,COLUMNS($AV$9:BM227)),""))</f>
        <v>Pantheon: Angeline vs Scara</v>
      </c>
      <c r="BN228" s="3" t="b">
        <f>IF(IFERROR(INDEX($A$9:$X$304,$AS228,COLUMNS($AV$9:BN227)),"")=0,"",IFERROR(INDEX($A$9:$X$304,$AS228,COLUMNS($AV$9:BN227)),""))</f>
        <v>1</v>
      </c>
      <c r="BO228" s="3" t="b">
        <f>IF(IFERROR(INDEX($A$9:$X$304,$AS228,COLUMNS($AV$9:BO227)),"")=0,"",IFERROR(INDEX($A$9:$X$304,$AS228,COLUMNS($AV$9:BO227)),""))</f>
        <v>0</v>
      </c>
      <c r="BP228" s="3" t="b">
        <f>IF(IFERROR(INDEX($A$9:$X$304,$AS228,COLUMNS($AV$9:BP227)),"")=0,"",IFERROR(INDEX($A$9:$X$304,$AS228,COLUMNS($AV$9:BP227)),""))</f>
        <v>0</v>
      </c>
      <c r="BQ228" s="3" t="b">
        <f>IF(IFERROR(INDEX($A$9:$X$304,$AS228,COLUMNS($AV$9:BQ227)),"")=0,"",IFERROR(INDEX($A$9:$X$304,$AS228,COLUMNS($AV$9:BQ227)),""))</f>
        <v>0</v>
      </c>
      <c r="BR228" s="3" t="str">
        <f>IF(IFERROR(INDEX($A$9:$X$304,$AS228,COLUMNS($AV$9:BR227)),"")=0,"",IFERROR(INDEX($A$9:$X$304,$AS228,COLUMNS($AV$9:BR227)),""))</f>
        <v>https://www.epiccardgame.com/wp-content/uploads/2017/11/PNA-EN-13-scarred-cultist.jpg</v>
      </c>
      <c r="BS228" s="3" t="str">
        <f>IF(IFERROR(INDEX($A$9:$X$304,$AS228,COLUMNS($AV$9:BS227)),"")=0,"",IFERROR(INDEX($A$9:$X$304,$AS228,COLUMNS($AV$9:BS227)),""))</f>
        <v/>
      </c>
      <c r="BT228" s="3"/>
      <c r="BU228" s="15"/>
      <c r="BV228" t="s">
        <v>249</v>
      </c>
    </row>
    <row r="229" spans="1:74" ht="225.2" customHeight="1" x14ac:dyDescent="0.25">
      <c r="A229" t="s">
        <v>541</v>
      </c>
      <c r="B229">
        <v>1</v>
      </c>
      <c r="C229" t="s">
        <v>618</v>
      </c>
      <c r="E229" t="s">
        <v>620</v>
      </c>
      <c r="F229">
        <v>9</v>
      </c>
      <c r="G229">
        <v>7</v>
      </c>
      <c r="H229" t="s">
        <v>674</v>
      </c>
      <c r="I229" t="s">
        <v>921</v>
      </c>
      <c r="J229" t="s">
        <v>1014</v>
      </c>
      <c r="O229" t="s">
        <v>1063</v>
      </c>
      <c r="P229" t="s">
        <v>1112</v>
      </c>
      <c r="Q229" t="s">
        <v>1165</v>
      </c>
      <c r="R229" t="s">
        <v>1179</v>
      </c>
      <c r="S229" t="b">
        <v>1</v>
      </c>
      <c r="T229" t="b">
        <v>0</v>
      </c>
      <c r="U229" t="b">
        <v>0</v>
      </c>
      <c r="V229" t="b">
        <v>0</v>
      </c>
      <c r="W229" s="2" t="s">
        <v>1404</v>
      </c>
      <c r="X229" s="2"/>
      <c r="Y229" s="24">
        <v>221</v>
      </c>
      <c r="Z229">
        <f t="shared" si="60"/>
        <v>221</v>
      </c>
      <c r="AA229">
        <f t="shared" si="61"/>
        <v>221</v>
      </c>
      <c r="AB229">
        <f t="shared" si="62"/>
        <v>221</v>
      </c>
      <c r="AC229">
        <f t="shared" si="63"/>
        <v>0</v>
      </c>
      <c r="AD229">
        <f t="shared" si="64"/>
        <v>221</v>
      </c>
      <c r="AE229">
        <f t="shared" si="65"/>
        <v>221</v>
      </c>
      <c r="AF229">
        <f t="shared" si="66"/>
        <v>221</v>
      </c>
      <c r="AG229">
        <f t="shared" si="67"/>
        <v>221</v>
      </c>
      <c r="AH229">
        <f t="shared" si="68"/>
        <v>221</v>
      </c>
      <c r="AI229">
        <f t="shared" si="69"/>
        <v>221</v>
      </c>
      <c r="AJ229">
        <f t="shared" si="70"/>
        <v>0</v>
      </c>
      <c r="AK229">
        <f t="shared" si="71"/>
        <v>0</v>
      </c>
      <c r="AL229">
        <f t="shared" si="72"/>
        <v>0</v>
      </c>
      <c r="AM229">
        <f t="shared" si="73"/>
        <v>0</v>
      </c>
      <c r="AN229">
        <f t="shared" si="74"/>
        <v>221</v>
      </c>
      <c r="AO229">
        <f t="shared" si="75"/>
        <v>221</v>
      </c>
      <c r="AP229">
        <f t="shared" si="76"/>
        <v>221</v>
      </c>
      <c r="AQ229">
        <f t="shared" si="77"/>
        <v>221</v>
      </c>
      <c r="AR229" s="6">
        <f t="shared" si="78"/>
        <v>221</v>
      </c>
      <c r="AS229">
        <f t="shared" si="79"/>
        <v>221</v>
      </c>
      <c r="AV229" s="1" t="str">
        <f>IF(IFERROR(INDEX($A$9:$W$304,$AS229,COLUMNS($AV$9:AV228)),"")=0,"",IFERROR(INDEX($A$9:$W$304,$AS229,COLUMNS($AV$9:AV228)),""))</f>
        <v>Scarred Priestess</v>
      </c>
      <c r="AW229" s="1">
        <f>IFERROR(INDEX($A$9:$W$304,$AS229,COLUMNS($AV$9:AW228)),"")</f>
        <v>1</v>
      </c>
      <c r="AX229" s="1" t="str">
        <f>IF(IFERROR(INDEX($A$9:$X$304,$AS229,COLUMNS($AV$9:AX228)),"")=0,"",IFERROR(INDEX($A$9:$X$304,$AS229,COLUMNS($AV$9:AX228)),""))</f>
        <v>EVIL</v>
      </c>
      <c r="AY229" s="1" t="str">
        <f>IF(IFERROR(INDEX($A$9:$X$304,$AS229,COLUMNS($AV$9:AY228)),"")=0,"",IFERROR(INDEX($A$9:$X$304,$AS229,COLUMNS($AV$9:AY228)),""))</f>
        <v/>
      </c>
      <c r="AZ229" s="1" t="str">
        <f>IF(IFERROR(INDEX($A$9:$X$304,$AS229,COLUMNS($AV$9:AZ228)),"")=0,"",IFERROR(INDEX($A$9:$X$304,$AS229,COLUMNS($AV$9:AZ228)),""))</f>
        <v>CHAMPION</v>
      </c>
      <c r="BA229" s="1">
        <f>IF(IFERROR(INDEX($A$9:$X$304,$AS229,COLUMNS($AV$9:BA228)),"")=0,"",IFERROR(INDEX($A$9:$X$304,$AS229,COLUMNS($AV$9:BA228)),""))</f>
        <v>9</v>
      </c>
      <c r="BB229" s="1">
        <f>IF(IFERROR(INDEX($A$9:$X$304,$AS229,COLUMNS($AV$9:BB228)),"")=0,"",IFERROR(INDEX($A$9:$X$304,$AS229,COLUMNS($AV$9:BB228)),""))</f>
        <v>7</v>
      </c>
      <c r="BC229" s="1" t="str">
        <f>IF(IFERROR(INDEX($A$9:$X$304,$AS229,COLUMNS($AV$9:BC228)),"")=0,"",IFERROR(INDEX($A$9:$X$304,$AS229,COLUMNS($AV$9:BC228)),""))</f>
        <v>Loyalty 2 → Blitz</v>
      </c>
      <c r="BD229" s="1" t="str">
        <f>IF(IFERROR(INDEX($A$9:$X$304,$AS229,COLUMNS($AV$9:BD228)),"")=0,"",IFERROR(INDEX($A$9:$X$304,$AS229,COLUMNS($AV$9:BD228)),""))</f>
        <v>{evil} → Prepare this card.</v>
      </c>
      <c r="BE229" s="1" t="str">
        <f>IF(IFERROR(INDEX($A$9:$X$304,$AS229,COLUMNS($AV$9:BE228)),"")=0,"",IFERROR(INDEX($A$9:$X$304,$AS229,COLUMNS($AV$9:BE228)),""))</f>
        <v>{expend}, Break a champion you control: Break target champion.</v>
      </c>
      <c r="BF229" s="1" t="str">
        <f>IF(IFERROR(INDEX($A$9:$X$304,$AS229,COLUMNS($AV$9:BF228)),"")=0,"",IFERROR(INDEX($A$9:$X$304,$AS229,COLUMNS($AV$9:BF228)),""))</f>
        <v/>
      </c>
      <c r="BG229" s="1" t="str">
        <f>IF(IFERROR(INDEX($A$9:$X$304,$AS229,COLUMNS($AV$9:BG228)),"")=0,"",IFERROR(INDEX($A$9:$X$304,$AS229,COLUMNS($AV$9:BG228)),""))</f>
        <v/>
      </c>
      <c r="BH229" s="1" t="str">
        <f>IF(IFERROR(INDEX($A$9:$X$304,$AS229,COLUMNS($AV$9:BH228)),"")=0,"",IFERROR(INDEX($A$9:$X$304,$AS229,COLUMNS($AV$9:BH228)),""))</f>
        <v/>
      </c>
      <c r="BI229" s="1" t="str">
        <f>IF(IFERROR(INDEX($A$9:$X$304,$AS229,COLUMNS($AV$9:BI228)),"")=0,"",IFERROR(INDEX($A$9:$X$304,$AS229,COLUMNS($AV$9:BI228)),""))</f>
        <v/>
      </c>
      <c r="BJ229" s="1" t="str">
        <f>IF(IFERROR(INDEX($A$9:$X$304,$AS229,COLUMNS($AV$9:BJ228)),"")=0,"",IFERROR(INDEX($A$9:$X$304,$AS229,COLUMNS($AV$9:BJ228)),""))</f>
        <v>HUMAN</v>
      </c>
      <c r="BK229" s="1" t="str">
        <f>IF(IFERROR(INDEX($A$9:$X$304,$AS229,COLUMNS($AV$9:BK228)),"")=0,"",IFERROR(INDEX($A$9:$X$304,$AS229,COLUMNS($AV$9:BK228)),""))</f>
        <v>Common</v>
      </c>
      <c r="BL229" s="1" t="str">
        <f>IF(IFERROR(INDEX($A$9:$X$304,$AS229,COLUMNS($AV$9:BL228)),"")=0,"",IFERROR(INDEX($A$9:$X$304,$AS229,COLUMNS($AV$9:BL228)),""))</f>
        <v>Andres Agostini</v>
      </c>
      <c r="BM229" s="1" t="str">
        <f>IF(IFERROR(INDEX($A$9:$X$304,$AS229,COLUMNS($AV$9:BM228)),"")=0,"",IFERROR(INDEX($A$9:$X$304,$AS229,COLUMNS($AV$9:BM228)),""))</f>
        <v>Pantheon: Gareth vs Lashnok</v>
      </c>
      <c r="BN229" s="3" t="b">
        <f>IF(IFERROR(INDEX($A$9:$X$304,$AS229,COLUMNS($AV$9:BN228)),"")=0,"",IFERROR(INDEX($A$9:$X$304,$AS229,COLUMNS($AV$9:BN228)),""))</f>
        <v>1</v>
      </c>
      <c r="BO229" s="3" t="b">
        <f>IF(IFERROR(INDEX($A$9:$X$304,$AS229,COLUMNS($AV$9:BO228)),"")=0,"",IFERROR(INDEX($A$9:$X$304,$AS229,COLUMNS($AV$9:BO228)),""))</f>
        <v>0</v>
      </c>
      <c r="BP229" s="3" t="b">
        <f>IF(IFERROR(INDEX($A$9:$X$304,$AS229,COLUMNS($AV$9:BP228)),"")=0,"",IFERROR(INDEX($A$9:$X$304,$AS229,COLUMNS($AV$9:BP228)),""))</f>
        <v>0</v>
      </c>
      <c r="BQ229" s="3" t="b">
        <f>IF(IFERROR(INDEX($A$9:$X$304,$AS229,COLUMNS($AV$9:BQ228)),"")=0,"",IFERROR(INDEX($A$9:$X$304,$AS229,COLUMNS($AV$9:BQ228)),""))</f>
        <v>0</v>
      </c>
      <c r="BR229" s="3" t="str">
        <f>IF(IFERROR(INDEX($A$9:$X$304,$AS229,COLUMNS($AV$9:BR228)),"")=0,"",IFERROR(INDEX($A$9:$X$304,$AS229,COLUMNS($AV$9:BR228)),""))</f>
        <v>https://www.epiccardgame.com/wp-content/uploads/2017/11/PNG-EN-08-scarred-priestess.jpg</v>
      </c>
      <c r="BS229" s="3" t="str">
        <f>IF(IFERROR(INDEX($A$9:$X$304,$AS229,COLUMNS($AV$9:BS228)),"")=0,"",IFERROR(INDEX($A$9:$X$304,$AS229,COLUMNS($AV$9:BS228)),""))</f>
        <v/>
      </c>
      <c r="BT229" s="3"/>
      <c r="BU229" s="15"/>
      <c r="BV229" t="s">
        <v>250</v>
      </c>
    </row>
    <row r="230" spans="1:74" ht="225.2" customHeight="1" x14ac:dyDescent="0.25">
      <c r="A230" t="s">
        <v>542</v>
      </c>
      <c r="B230">
        <v>1</v>
      </c>
      <c r="C230" t="s">
        <v>615</v>
      </c>
      <c r="E230" t="s">
        <v>620</v>
      </c>
      <c r="F230">
        <v>11</v>
      </c>
      <c r="G230">
        <v>11</v>
      </c>
      <c r="H230" t="s">
        <v>22</v>
      </c>
      <c r="I230" t="s">
        <v>922</v>
      </c>
      <c r="O230" t="s">
        <v>1104</v>
      </c>
      <c r="P230" t="s">
        <v>1113</v>
      </c>
      <c r="Q230" t="s">
        <v>1127</v>
      </c>
      <c r="R230" t="s">
        <v>1180</v>
      </c>
      <c r="S230" t="b">
        <v>1</v>
      </c>
      <c r="T230" t="b">
        <v>0</v>
      </c>
      <c r="U230" t="b">
        <v>0</v>
      </c>
      <c r="V230" t="b">
        <v>0</v>
      </c>
      <c r="W230" s="2" t="s">
        <v>1405</v>
      </c>
      <c r="X230" s="2"/>
      <c r="Y230" s="24">
        <v>222</v>
      </c>
      <c r="Z230">
        <f t="shared" si="60"/>
        <v>222</v>
      </c>
      <c r="AA230">
        <f t="shared" si="61"/>
        <v>222</v>
      </c>
      <c r="AB230">
        <f t="shared" si="62"/>
        <v>222</v>
      </c>
      <c r="AC230">
        <f t="shared" si="63"/>
        <v>0</v>
      </c>
      <c r="AD230">
        <f t="shared" si="64"/>
        <v>222</v>
      </c>
      <c r="AE230">
        <f t="shared" si="65"/>
        <v>222</v>
      </c>
      <c r="AF230">
        <f t="shared" si="66"/>
        <v>222</v>
      </c>
      <c r="AG230">
        <f t="shared" si="67"/>
        <v>222</v>
      </c>
      <c r="AH230">
        <f t="shared" si="68"/>
        <v>222</v>
      </c>
      <c r="AI230">
        <f t="shared" si="69"/>
        <v>0</v>
      </c>
      <c r="AJ230">
        <f t="shared" si="70"/>
        <v>0</v>
      </c>
      <c r="AK230">
        <f t="shared" si="71"/>
        <v>0</v>
      </c>
      <c r="AL230">
        <f t="shared" si="72"/>
        <v>0</v>
      </c>
      <c r="AM230">
        <f t="shared" si="73"/>
        <v>0</v>
      </c>
      <c r="AN230">
        <f t="shared" si="74"/>
        <v>222</v>
      </c>
      <c r="AO230">
        <f t="shared" si="75"/>
        <v>222</v>
      </c>
      <c r="AP230">
        <f t="shared" si="76"/>
        <v>222</v>
      </c>
      <c r="AQ230">
        <f t="shared" si="77"/>
        <v>222</v>
      </c>
      <c r="AR230" s="6">
        <f t="shared" si="78"/>
        <v>222</v>
      </c>
      <c r="AS230">
        <f t="shared" si="79"/>
        <v>222</v>
      </c>
      <c r="AV230" s="1" t="str">
        <f>IF(IFERROR(INDEX($A$9:$W$304,$AS230,COLUMNS($AV$9:AV229)),"")=0,"",IFERROR(INDEX($A$9:$W$304,$AS230,COLUMNS($AV$9:AV229)),""))</f>
        <v>Scarros, Hound of Draka</v>
      </c>
      <c r="AW230" s="1">
        <f>IFERROR(INDEX($A$9:$W$304,$AS230,COLUMNS($AV$9:AW229)),"")</f>
        <v>1</v>
      </c>
      <c r="AX230" s="1" t="str">
        <f>IF(IFERROR(INDEX($A$9:$X$304,$AS230,COLUMNS($AV$9:AX229)),"")=0,"",IFERROR(INDEX($A$9:$X$304,$AS230,COLUMNS($AV$9:AX229)),""))</f>
        <v>WILD</v>
      </c>
      <c r="AY230" s="1" t="str">
        <f>IF(IFERROR(INDEX($A$9:$X$304,$AS230,COLUMNS($AV$9:AY229)),"")=0,"",IFERROR(INDEX($A$9:$X$304,$AS230,COLUMNS($AV$9:AY229)),""))</f>
        <v/>
      </c>
      <c r="AZ230" s="1" t="str">
        <f>IF(IFERROR(INDEX($A$9:$X$304,$AS230,COLUMNS($AV$9:AZ229)),"")=0,"",IFERROR(INDEX($A$9:$X$304,$AS230,COLUMNS($AV$9:AZ229)),""))</f>
        <v>CHAMPION</v>
      </c>
      <c r="BA230" s="1">
        <f>IF(IFERROR(INDEX($A$9:$X$304,$AS230,COLUMNS($AV$9:BA229)),"")=0,"",IFERROR(INDEX($A$9:$X$304,$AS230,COLUMNS($AV$9:BA229)),""))</f>
        <v>11</v>
      </c>
      <c r="BB230" s="1">
        <f>IF(IFERROR(INDEX($A$9:$X$304,$AS230,COLUMNS($AV$9:BB229)),"")=0,"",IFERROR(INDEX($A$9:$X$304,$AS230,COLUMNS($AV$9:BB229)),""))</f>
        <v>11</v>
      </c>
      <c r="BC230" s="1" t="str">
        <f>IF(IFERROR(INDEX($A$9:$X$304,$AS230,COLUMNS($AV$9:BC229)),"")=0,"",IFERROR(INDEX($A$9:$X$304,$AS230,COLUMNS($AV$9:BC229)),""))</f>
        <v>Blitz</v>
      </c>
      <c r="BD230" s="1" t="str">
        <f>IF(IFERROR(INDEX($A$9:$X$304,$AS230,COLUMNS($AV$9:BD229)),"")=0,"",IFERROR(INDEX($A$9:$X$304,$AS230,COLUMNS($AV$9:BD229)),""))</f>
        <v>Loyalty X → For each card revealed, you may return a target opposing champion to its owner's hand.</v>
      </c>
      <c r="BE230" s="1" t="str">
        <f>IF(IFERROR(INDEX($A$9:$X$304,$AS230,COLUMNS($AV$9:BE229)),"")=0,"",IFERROR(INDEX($A$9:$X$304,$AS230,COLUMNS($AV$9:BE229)),""))</f>
        <v/>
      </c>
      <c r="BF230" s="1" t="str">
        <f>IF(IFERROR(INDEX($A$9:$X$304,$AS230,COLUMNS($AV$9:BF229)),"")=0,"",IFERROR(INDEX($A$9:$X$304,$AS230,COLUMNS($AV$9:BF229)),""))</f>
        <v/>
      </c>
      <c r="BG230" s="1" t="str">
        <f>IF(IFERROR(INDEX($A$9:$X$304,$AS230,COLUMNS($AV$9:BG229)),"")=0,"",IFERROR(INDEX($A$9:$X$304,$AS230,COLUMNS($AV$9:BG229)),""))</f>
        <v/>
      </c>
      <c r="BH230" s="1" t="str">
        <f>IF(IFERROR(INDEX($A$9:$X$304,$AS230,COLUMNS($AV$9:BH229)),"")=0,"",IFERROR(INDEX($A$9:$X$304,$AS230,COLUMNS($AV$9:BH229)),""))</f>
        <v/>
      </c>
      <c r="BI230" s="1" t="str">
        <f>IF(IFERROR(INDEX($A$9:$X$304,$AS230,COLUMNS($AV$9:BI229)),"")=0,"",IFERROR(INDEX($A$9:$X$304,$AS230,COLUMNS($AV$9:BI229)),""))</f>
        <v/>
      </c>
      <c r="BJ230" s="1" t="str">
        <f>IF(IFERROR(INDEX($A$9:$X$304,$AS230,COLUMNS($AV$9:BJ229)),"")=0,"",IFERROR(INDEX($A$9:$X$304,$AS230,COLUMNS($AV$9:BJ229)),""))</f>
        <v>HOUND</v>
      </c>
      <c r="BK230" s="1" t="str">
        <f>IF(IFERROR(INDEX($A$9:$X$304,$AS230,COLUMNS($AV$9:BK229)),"")=0,"",IFERROR(INDEX($A$9:$X$304,$AS230,COLUMNS($AV$9:BK229)),""))</f>
        <v>Rare</v>
      </c>
      <c r="BL230" s="1" t="str">
        <f>IF(IFERROR(INDEX($A$9:$X$304,$AS230,COLUMNS($AV$9:BL229)),"")=0,"",IFERROR(INDEX($A$9:$X$304,$AS230,COLUMNS($AV$9:BL229)),""))</f>
        <v>Johnny Morrow</v>
      </c>
      <c r="BM230" s="1" t="str">
        <f>IF(IFERROR(INDEX($A$9:$X$304,$AS230,COLUMNS($AV$9:BM229)),"")=0,"",IFERROR(INDEX($A$9:$X$304,$AS230,COLUMNS($AV$9:BM229)),""))</f>
        <v>Uprising: Flames of Scarros</v>
      </c>
      <c r="BN230" s="3" t="b">
        <f>IF(IFERROR(INDEX($A$9:$X$304,$AS230,COLUMNS($AV$9:BN229)),"")=0,"",IFERROR(INDEX($A$9:$X$304,$AS230,COLUMNS($AV$9:BN229)),""))</f>
        <v>1</v>
      </c>
      <c r="BO230" s="3" t="b">
        <f>IF(IFERROR(INDEX($A$9:$X$304,$AS230,COLUMNS($AV$9:BO229)),"")=0,"",IFERROR(INDEX($A$9:$X$304,$AS230,COLUMNS($AV$9:BO229)),""))</f>
        <v>0</v>
      </c>
      <c r="BP230" s="3" t="b">
        <f>IF(IFERROR(INDEX($A$9:$X$304,$AS230,COLUMNS($AV$9:BP229)),"")=0,"",IFERROR(INDEX($A$9:$X$304,$AS230,COLUMNS($AV$9:BP229)),""))</f>
        <v>0</v>
      </c>
      <c r="BQ230" s="3" t="b">
        <f>IF(IFERROR(INDEX($A$9:$X$304,$AS230,COLUMNS($AV$9:BQ229)),"")=0,"",IFERROR(INDEX($A$9:$X$304,$AS230,COLUMNS($AV$9:BQ229)),""))</f>
        <v>0</v>
      </c>
      <c r="BR230" s="3" t="str">
        <f>IF(IFERROR(INDEX($A$9:$X$304,$AS230,COLUMNS($AV$9:BR229)),"")=0,"",IFERROR(INDEX($A$9:$X$304,$AS230,COLUMNS($AV$9:BR229)),""))</f>
        <v>https://www.epiccardgame.com/wp-content/uploads/2017/11/UPS-EN-scarros-hound-of-draka.jpg</v>
      </c>
      <c r="BS230" s="3" t="str">
        <f>IF(IFERROR(INDEX($A$9:$X$304,$AS230,COLUMNS($AV$9:BS229)),"")=0,"",IFERROR(INDEX($A$9:$X$304,$AS230,COLUMNS($AV$9:BS229)),""))</f>
        <v/>
      </c>
      <c r="BT230" s="3"/>
      <c r="BU230" s="15"/>
      <c r="BV230" t="s">
        <v>251</v>
      </c>
    </row>
    <row r="231" spans="1:74" ht="225" customHeight="1" x14ac:dyDescent="0.25">
      <c r="A231" t="s">
        <v>543</v>
      </c>
      <c r="B231">
        <v>1</v>
      </c>
      <c r="C231" t="s">
        <v>616</v>
      </c>
      <c r="E231" t="s">
        <v>620</v>
      </c>
      <c r="F231">
        <v>6</v>
      </c>
      <c r="G231">
        <v>6</v>
      </c>
      <c r="H231" t="s">
        <v>731</v>
      </c>
      <c r="I231" t="s">
        <v>923</v>
      </c>
      <c r="O231" t="s">
        <v>1075</v>
      </c>
      <c r="P231" t="s">
        <v>1113</v>
      </c>
      <c r="Q231" t="s">
        <v>1155</v>
      </c>
      <c r="R231" t="s">
        <v>1169</v>
      </c>
      <c r="S231" t="b">
        <v>1</v>
      </c>
      <c r="T231" t="b">
        <v>0</v>
      </c>
      <c r="U231" t="b">
        <v>0</v>
      </c>
      <c r="V231" t="b">
        <v>0</v>
      </c>
      <c r="W231" s="2" t="s">
        <v>1406</v>
      </c>
      <c r="X231" s="2"/>
      <c r="Y231" s="24">
        <v>223</v>
      </c>
      <c r="Z231">
        <f t="shared" si="60"/>
        <v>223</v>
      </c>
      <c r="AA231">
        <f t="shared" si="61"/>
        <v>223</v>
      </c>
      <c r="AB231">
        <f t="shared" si="62"/>
        <v>223</v>
      </c>
      <c r="AC231">
        <f t="shared" si="63"/>
        <v>0</v>
      </c>
      <c r="AD231">
        <f t="shared" si="64"/>
        <v>223</v>
      </c>
      <c r="AE231">
        <f t="shared" si="65"/>
        <v>223</v>
      </c>
      <c r="AF231">
        <f t="shared" si="66"/>
        <v>223</v>
      </c>
      <c r="AG231">
        <f t="shared" si="67"/>
        <v>223</v>
      </c>
      <c r="AH231">
        <f t="shared" si="68"/>
        <v>223</v>
      </c>
      <c r="AI231">
        <f t="shared" si="69"/>
        <v>0</v>
      </c>
      <c r="AJ231">
        <f t="shared" si="70"/>
        <v>0</v>
      </c>
      <c r="AK231">
        <f t="shared" si="71"/>
        <v>0</v>
      </c>
      <c r="AL231">
        <f t="shared" si="72"/>
        <v>0</v>
      </c>
      <c r="AM231">
        <f t="shared" si="73"/>
        <v>0</v>
      </c>
      <c r="AN231">
        <f t="shared" si="74"/>
        <v>223</v>
      </c>
      <c r="AO231">
        <f t="shared" si="75"/>
        <v>223</v>
      </c>
      <c r="AP231">
        <f t="shared" si="76"/>
        <v>223</v>
      </c>
      <c r="AQ231">
        <f t="shared" si="77"/>
        <v>223</v>
      </c>
      <c r="AR231" s="6">
        <f t="shared" si="78"/>
        <v>223</v>
      </c>
      <c r="AS231">
        <f t="shared" si="79"/>
        <v>223</v>
      </c>
      <c r="AV231" s="1" t="str">
        <f>IF(IFERROR(INDEX($A$9:$W$304,$AS231,COLUMNS($AV$9:AV230)),"")=0,"",IFERROR(INDEX($A$9:$W$304,$AS231,COLUMNS($AV$9:AV230)),""))</f>
        <v>Scrap Golem</v>
      </c>
      <c r="AW231" s="1">
        <f>IFERROR(INDEX($A$9:$W$304,$AS231,COLUMNS($AV$9:AW230)),"")</f>
        <v>1</v>
      </c>
      <c r="AX231" s="1" t="str">
        <f>IF(IFERROR(INDEX($A$9:$X$304,$AS231,COLUMNS($AV$9:AX230)),"")=0,"",IFERROR(INDEX($A$9:$X$304,$AS231,COLUMNS($AV$9:AX230)),""))</f>
        <v>SAGE</v>
      </c>
      <c r="AY231" s="1" t="str">
        <f>IF(IFERROR(INDEX($A$9:$X$304,$AS231,COLUMNS($AV$9:AY230)),"")=0,"",IFERROR(INDEX($A$9:$X$304,$AS231,COLUMNS($AV$9:AY230)),""))</f>
        <v/>
      </c>
      <c r="AZ231" s="1" t="str">
        <f>IF(IFERROR(INDEX($A$9:$X$304,$AS231,COLUMNS($AV$9:AZ230)),"")=0,"",IFERROR(INDEX($A$9:$X$304,$AS231,COLUMNS($AV$9:AZ230)),""))</f>
        <v>CHAMPION</v>
      </c>
      <c r="BA231" s="1">
        <f>IF(IFERROR(INDEX($A$9:$X$304,$AS231,COLUMNS($AV$9:BA230)),"")=0,"",IFERROR(INDEX($A$9:$X$304,$AS231,COLUMNS($AV$9:BA230)),""))</f>
        <v>6</v>
      </c>
      <c r="BB231" s="1">
        <f>IF(IFERROR(INDEX($A$9:$X$304,$AS231,COLUMNS($AV$9:BB230)),"")=0,"",IFERROR(INDEX($A$9:$X$304,$AS231,COLUMNS($AV$9:BB230)),""))</f>
        <v>6</v>
      </c>
      <c r="BC231" s="1" t="str">
        <f>IF(IFERROR(INDEX($A$9:$X$304,$AS231,COLUMNS($AV$9:BC230)),"")=0,"",IFERROR(INDEX($A$9:$X$304,$AS231,COLUMNS($AV$9:BC230)),""))</f>
        <v>If this card entered play from your hand, it has Loyalty 2 → Blitz.</v>
      </c>
      <c r="BD231" s="1" t="str">
        <f>IF(IFERROR(INDEX($A$9:$X$304,$AS231,COLUMNS($AV$9:BD230)),"")=0,"",IFERROR(INDEX($A$9:$X$304,$AS231,COLUMNS($AV$9:BD230)),""))</f>
        <v>{expend}, Banish a card from your discard pile: Put a token champion into play that is a copy of this card.</v>
      </c>
      <c r="BE231" s="1" t="str">
        <f>IF(IFERROR(INDEX($A$9:$X$304,$AS231,COLUMNS($AV$9:BE230)),"")=0,"",IFERROR(INDEX($A$9:$X$304,$AS231,COLUMNS($AV$9:BE230)),""))</f>
        <v/>
      </c>
      <c r="BF231" s="1" t="str">
        <f>IF(IFERROR(INDEX($A$9:$X$304,$AS231,COLUMNS($AV$9:BF230)),"")=0,"",IFERROR(INDEX($A$9:$X$304,$AS231,COLUMNS($AV$9:BF230)),""))</f>
        <v/>
      </c>
      <c r="BG231" s="1" t="str">
        <f>IF(IFERROR(INDEX($A$9:$X$304,$AS231,COLUMNS($AV$9:BG230)),"")=0,"",IFERROR(INDEX($A$9:$X$304,$AS231,COLUMNS($AV$9:BG230)),""))</f>
        <v/>
      </c>
      <c r="BH231" s="1" t="str">
        <f>IF(IFERROR(INDEX($A$9:$X$304,$AS231,COLUMNS($AV$9:BH230)),"")=0,"",IFERROR(INDEX($A$9:$X$304,$AS231,COLUMNS($AV$9:BH230)),""))</f>
        <v/>
      </c>
      <c r="BI231" s="1" t="str">
        <f>IF(IFERROR(INDEX($A$9:$X$304,$AS231,COLUMNS($AV$9:BI230)),"")=0,"",IFERROR(INDEX($A$9:$X$304,$AS231,COLUMNS($AV$9:BI230)),""))</f>
        <v/>
      </c>
      <c r="BJ231" s="1" t="str">
        <f>IF(IFERROR(INDEX($A$9:$X$304,$AS231,COLUMNS($AV$9:BJ230)),"")=0,"",IFERROR(INDEX($A$9:$X$304,$AS231,COLUMNS($AV$9:BJ230)),""))</f>
        <v>CONSTRUCT</v>
      </c>
      <c r="BK231" s="1" t="str">
        <f>IF(IFERROR(INDEX($A$9:$X$304,$AS231,COLUMNS($AV$9:BK230)),"")=0,"",IFERROR(INDEX($A$9:$X$304,$AS231,COLUMNS($AV$9:BK230)),""))</f>
        <v>Rare</v>
      </c>
      <c r="BL231" s="1" t="str">
        <f>IF(IFERROR(INDEX($A$9:$X$304,$AS231,COLUMNS($AV$9:BL230)),"")=0,"",IFERROR(INDEX($A$9:$X$304,$AS231,COLUMNS($AV$9:BL230)),""))</f>
        <v>Daniel Warren</v>
      </c>
      <c r="BM231" s="1" t="str">
        <f>IF(IFERROR(INDEX($A$9:$X$304,$AS231,COLUMNS($AV$9:BM230)),"")=0,"",IFERROR(INDEX($A$9:$X$304,$AS231,COLUMNS($AV$9:BM230)),""))</f>
        <v>Kickstarter Promo</v>
      </c>
      <c r="BN231" s="3" t="b">
        <f>IF(IFERROR(INDEX($A$9:$X$304,$AS231,COLUMNS($AV$9:BN230)),"")=0,"",IFERROR(INDEX($A$9:$X$304,$AS231,COLUMNS($AV$9:BN230)),""))</f>
        <v>1</v>
      </c>
      <c r="BO231" s="3" t="b">
        <f>IF(IFERROR(INDEX($A$9:$X$304,$AS231,COLUMNS($AV$9:BO230)),"")=0,"",IFERROR(INDEX($A$9:$X$304,$AS231,COLUMNS($AV$9:BO230)),""))</f>
        <v>0</v>
      </c>
      <c r="BP231" s="3" t="b">
        <f>IF(IFERROR(INDEX($A$9:$X$304,$AS231,COLUMNS($AV$9:BP230)),"")=0,"",IFERROR(INDEX($A$9:$X$304,$AS231,COLUMNS($AV$9:BP230)),""))</f>
        <v>0</v>
      </c>
      <c r="BQ231" s="3" t="b">
        <f>IF(IFERROR(INDEX($A$9:$X$304,$AS231,COLUMNS($AV$9:BQ230)),"")=0,"",IFERROR(INDEX($A$9:$X$304,$AS231,COLUMNS($AV$9:BQ230)),""))</f>
        <v>0</v>
      </c>
      <c r="BR231" s="3" t="str">
        <f>IF(IFERROR(INDEX($A$9:$X$304,$AS231,COLUMNS($AV$9:BR230)),"")=0,"",IFERROR(INDEX($A$9:$X$304,$AS231,COLUMNS($AV$9:BR230)),""))</f>
        <v>http://www.epiccardgame.com/wp-content/uploads/2015/09/scrap_golem-215x300.jpg</v>
      </c>
      <c r="BS231" s="3" t="str">
        <f>IF(IFERROR(INDEX($A$9:$X$304,$AS231,COLUMNS($AV$9:BS230)),"")=0,"",IFERROR(INDEX($A$9:$X$304,$AS231,COLUMNS($AV$9:BS230)),""))</f>
        <v/>
      </c>
      <c r="BT231" s="3"/>
      <c r="BU231" s="15"/>
      <c r="BV231" t="s">
        <v>252</v>
      </c>
    </row>
    <row r="232" spans="1:74" ht="225" customHeight="1" x14ac:dyDescent="0.25">
      <c r="A232" t="s">
        <v>543</v>
      </c>
      <c r="B232">
        <v>1</v>
      </c>
      <c r="C232" t="s">
        <v>616</v>
      </c>
      <c r="E232" t="s">
        <v>620</v>
      </c>
      <c r="F232">
        <v>6</v>
      </c>
      <c r="G232">
        <v>6</v>
      </c>
      <c r="H232" t="s">
        <v>674</v>
      </c>
      <c r="I232" t="s">
        <v>924</v>
      </c>
      <c r="L232" t="s">
        <v>1053</v>
      </c>
      <c r="O232" t="s">
        <v>1075</v>
      </c>
      <c r="P232" t="s">
        <v>1113</v>
      </c>
      <c r="Q232" t="s">
        <v>1134</v>
      </c>
      <c r="R232" t="s">
        <v>1174</v>
      </c>
      <c r="S232" t="b">
        <v>1</v>
      </c>
      <c r="T232" t="b">
        <v>0</v>
      </c>
      <c r="U232" t="b">
        <v>0</v>
      </c>
      <c r="V232" t="b">
        <v>0</v>
      </c>
      <c r="W232" s="2" t="s">
        <v>1407</v>
      </c>
      <c r="X232" s="2"/>
      <c r="Y232" s="24">
        <v>224</v>
      </c>
      <c r="Z232">
        <f t="shared" si="60"/>
        <v>224</v>
      </c>
      <c r="AA232">
        <f t="shared" si="61"/>
        <v>224</v>
      </c>
      <c r="AB232">
        <f t="shared" si="62"/>
        <v>224</v>
      </c>
      <c r="AC232">
        <f t="shared" si="63"/>
        <v>0</v>
      </c>
      <c r="AD232">
        <f t="shared" si="64"/>
        <v>224</v>
      </c>
      <c r="AE232">
        <f t="shared" si="65"/>
        <v>224</v>
      </c>
      <c r="AF232">
        <f t="shared" si="66"/>
        <v>224</v>
      </c>
      <c r="AG232">
        <f t="shared" si="67"/>
        <v>224</v>
      </c>
      <c r="AH232">
        <f t="shared" si="68"/>
        <v>224</v>
      </c>
      <c r="AI232">
        <f t="shared" si="69"/>
        <v>0</v>
      </c>
      <c r="AJ232">
        <f t="shared" si="70"/>
        <v>0</v>
      </c>
      <c r="AK232">
        <f t="shared" si="71"/>
        <v>224</v>
      </c>
      <c r="AL232">
        <f t="shared" si="72"/>
        <v>0</v>
      </c>
      <c r="AM232">
        <f t="shared" si="73"/>
        <v>0</v>
      </c>
      <c r="AN232">
        <f t="shared" si="74"/>
        <v>224</v>
      </c>
      <c r="AO232">
        <f t="shared" si="75"/>
        <v>224</v>
      </c>
      <c r="AP232">
        <f t="shared" si="76"/>
        <v>224</v>
      </c>
      <c r="AQ232">
        <f t="shared" si="77"/>
        <v>224</v>
      </c>
      <c r="AR232" s="6">
        <f t="shared" si="78"/>
        <v>224</v>
      </c>
      <c r="AS232">
        <f t="shared" si="79"/>
        <v>224</v>
      </c>
      <c r="AV232" s="1" t="str">
        <f>IF(IFERROR(INDEX($A$9:$W$304,$AS232,COLUMNS($AV$9:AV231)),"")=0,"",IFERROR(INDEX($A$9:$W$304,$AS232,COLUMNS($AV$9:AV231)),""))</f>
        <v>Scrap Golem</v>
      </c>
      <c r="AW232" s="1">
        <f>IFERROR(INDEX($A$9:$W$304,$AS232,COLUMNS($AV$9:AW231)),"")</f>
        <v>1</v>
      </c>
      <c r="AX232" s="1" t="str">
        <f>IF(IFERROR(INDEX($A$9:$X$304,$AS232,COLUMNS($AV$9:AX231)),"")=0,"",IFERROR(INDEX($A$9:$X$304,$AS232,COLUMNS($AV$9:AX231)),""))</f>
        <v>SAGE</v>
      </c>
      <c r="AY232" s="1" t="str">
        <f>IF(IFERROR(INDEX($A$9:$X$304,$AS232,COLUMNS($AV$9:AY231)),"")=0,"",IFERROR(INDEX($A$9:$X$304,$AS232,COLUMNS($AV$9:AY231)),""))</f>
        <v/>
      </c>
      <c r="AZ232" s="1" t="str">
        <f>IF(IFERROR(INDEX($A$9:$X$304,$AS232,COLUMNS($AV$9:AZ231)),"")=0,"",IFERROR(INDEX($A$9:$X$304,$AS232,COLUMNS($AV$9:AZ231)),""))</f>
        <v>CHAMPION</v>
      </c>
      <c r="BA232" s="1">
        <f>IF(IFERROR(INDEX($A$9:$X$304,$AS232,COLUMNS($AV$9:BA231)),"")=0,"",IFERROR(INDEX($A$9:$X$304,$AS232,COLUMNS($AV$9:BA231)),""))</f>
        <v>6</v>
      </c>
      <c r="BB232" s="1">
        <f>IF(IFERROR(INDEX($A$9:$X$304,$AS232,COLUMNS($AV$9:BB231)),"")=0,"",IFERROR(INDEX($A$9:$X$304,$AS232,COLUMNS($AV$9:BB231)),""))</f>
        <v>6</v>
      </c>
      <c r="BC232" s="1" t="str">
        <f>IF(IFERROR(INDEX($A$9:$X$304,$AS232,COLUMNS($AV$9:BC231)),"")=0,"",IFERROR(INDEX($A$9:$X$304,$AS232,COLUMNS($AV$9:BC231)),""))</f>
        <v>Loyalty 2 → Blitz</v>
      </c>
      <c r="BD232" s="1" t="str">
        <f>IF(IFERROR(INDEX($A$9:$X$304,$AS232,COLUMNS($AV$9:BD231)),"")=0,"",IFERROR(INDEX($A$9:$X$304,$AS232,COLUMNS($AV$9:BD231)),""))</f>
        <v>{expend}, Banish a card from your discard pile: Put a scrap token into play.</v>
      </c>
      <c r="BE232" s="1" t="str">
        <f>IF(IFERROR(INDEX($A$9:$X$304,$AS232,COLUMNS($AV$9:BE231)),"")=0,"",IFERROR(INDEX($A$9:$X$304,$AS232,COLUMNS($AV$9:BE231)),""))</f>
        <v/>
      </c>
      <c r="BF232" s="1" t="str">
        <f>IF(IFERROR(INDEX($A$9:$X$304,$AS232,COLUMNS($AV$9:BF231)),"")=0,"",IFERROR(INDEX($A$9:$X$304,$AS232,COLUMNS($AV$9:BF231)),""))</f>
        <v/>
      </c>
      <c r="BG232" s="1" t="str">
        <f>IF(IFERROR(INDEX($A$9:$X$304,$AS232,COLUMNS($AV$9:BG231)),"")=0,"",IFERROR(INDEX($A$9:$X$304,$AS232,COLUMNS($AV$9:BG231)),""))</f>
        <v>{1}: Recall</v>
      </c>
      <c r="BH232" s="1" t="str">
        <f>IF(IFERROR(INDEX($A$9:$X$304,$AS232,COLUMNS($AV$9:BH231)),"")=0,"",IFERROR(INDEX($A$9:$X$304,$AS232,COLUMNS($AV$9:BH231)),""))</f>
        <v/>
      </c>
      <c r="BI232" s="1" t="str">
        <f>IF(IFERROR(INDEX($A$9:$X$304,$AS232,COLUMNS($AV$9:BI231)),"")=0,"",IFERROR(INDEX($A$9:$X$304,$AS232,COLUMNS($AV$9:BI231)),""))</f>
        <v/>
      </c>
      <c r="BJ232" s="1" t="str">
        <f>IF(IFERROR(INDEX($A$9:$X$304,$AS232,COLUMNS($AV$9:BJ231)),"")=0,"",IFERROR(INDEX($A$9:$X$304,$AS232,COLUMNS($AV$9:BJ231)),""))</f>
        <v>CONSTRUCT</v>
      </c>
      <c r="BK232" s="1" t="str">
        <f>IF(IFERROR(INDEX($A$9:$X$304,$AS232,COLUMNS($AV$9:BK231)),"")=0,"",IFERROR(INDEX($A$9:$X$304,$AS232,COLUMNS($AV$9:BK231)),""))</f>
        <v>Rare</v>
      </c>
      <c r="BL232" s="1" t="str">
        <f>IF(IFERROR(INDEX($A$9:$X$304,$AS232,COLUMNS($AV$9:BL231)),"")=0,"",IFERROR(INDEX($A$9:$X$304,$AS232,COLUMNS($AV$9:BL231)),""))</f>
        <v>Shen Fei</v>
      </c>
      <c r="BM232" s="1" t="str">
        <f>IF(IFERROR(INDEX($A$9:$X$304,$AS232,COLUMNS($AV$9:BM231)),"")=0,"",IFERROR(INDEX($A$9:$X$304,$AS232,COLUMNS($AV$9:BM231)),""))</f>
        <v>Pantheon: Furios vs Maligus</v>
      </c>
      <c r="BN232" s="3" t="b">
        <f>IF(IFERROR(INDEX($A$9:$X$304,$AS232,COLUMNS($AV$9:BN231)),"")=0,"",IFERROR(INDEX($A$9:$X$304,$AS232,COLUMNS($AV$9:BN231)),""))</f>
        <v>1</v>
      </c>
      <c r="BO232" s="3" t="b">
        <f>IF(IFERROR(INDEX($A$9:$X$304,$AS232,COLUMNS($AV$9:BO231)),"")=0,"",IFERROR(INDEX($A$9:$X$304,$AS232,COLUMNS($AV$9:BO231)),""))</f>
        <v>0</v>
      </c>
      <c r="BP232" s="3" t="b">
        <f>IF(IFERROR(INDEX($A$9:$X$304,$AS232,COLUMNS($AV$9:BP231)),"")=0,"",IFERROR(INDEX($A$9:$X$304,$AS232,COLUMNS($AV$9:BP231)),""))</f>
        <v>0</v>
      </c>
      <c r="BQ232" s="3" t="b">
        <f>IF(IFERROR(INDEX($A$9:$X$304,$AS232,COLUMNS($AV$9:BQ231)),"")=0,"",IFERROR(INDEX($A$9:$X$304,$AS232,COLUMNS($AV$9:BQ231)),""))</f>
        <v>0</v>
      </c>
      <c r="BR232" s="3" t="str">
        <f>IF(IFERROR(INDEX($A$9:$X$304,$AS232,COLUMNS($AV$9:BR231)),"")=0,"",IFERROR(INDEX($A$9:$X$304,$AS232,COLUMNS($AV$9:BR231)),""))</f>
        <v>https://www.epiccardgame.com/wp-content/uploads/2017/11/PNF-EN-13-scrap-golem.jpg</v>
      </c>
      <c r="BS232" s="3" t="str">
        <f>IF(IFERROR(INDEX($A$9:$X$304,$AS232,COLUMNS($AV$9:BS231)),"")=0,"",IFERROR(INDEX($A$9:$X$304,$AS232,COLUMNS($AV$9:BS231)),""))</f>
        <v/>
      </c>
      <c r="BT232" s="3"/>
      <c r="BU232" s="15"/>
      <c r="BV232" t="s">
        <v>253</v>
      </c>
    </row>
    <row r="233" spans="1:74" ht="225.2" customHeight="1" x14ac:dyDescent="0.25">
      <c r="A233" t="s">
        <v>544</v>
      </c>
      <c r="B233">
        <v>1</v>
      </c>
      <c r="C233" t="s">
        <v>615</v>
      </c>
      <c r="E233" t="s">
        <v>620</v>
      </c>
      <c r="F233">
        <v>5</v>
      </c>
      <c r="G233">
        <v>10</v>
      </c>
      <c r="H233" t="s">
        <v>682</v>
      </c>
      <c r="I233" t="s">
        <v>925</v>
      </c>
      <c r="L233" t="s">
        <v>1044</v>
      </c>
      <c r="O233" t="s">
        <v>1105</v>
      </c>
      <c r="P233" t="s">
        <v>1113</v>
      </c>
      <c r="Q233" t="s">
        <v>1116</v>
      </c>
      <c r="R233" t="s">
        <v>1171</v>
      </c>
      <c r="S233" t="b">
        <v>1</v>
      </c>
      <c r="T233" t="b">
        <v>0</v>
      </c>
      <c r="U233" t="b">
        <v>0</v>
      </c>
      <c r="V233" t="b">
        <v>0</v>
      </c>
      <c r="W233" s="2" t="s">
        <v>1408</v>
      </c>
      <c r="X233" s="2"/>
      <c r="Y233" s="24">
        <v>225</v>
      </c>
      <c r="Z233">
        <f t="shared" si="60"/>
        <v>225</v>
      </c>
      <c r="AA233">
        <f t="shared" si="61"/>
        <v>225</v>
      </c>
      <c r="AB233">
        <f t="shared" si="62"/>
        <v>225</v>
      </c>
      <c r="AC233">
        <f t="shared" si="63"/>
        <v>0</v>
      </c>
      <c r="AD233">
        <f t="shared" si="64"/>
        <v>225</v>
      </c>
      <c r="AE233">
        <f t="shared" si="65"/>
        <v>225</v>
      </c>
      <c r="AF233">
        <f t="shared" si="66"/>
        <v>225</v>
      </c>
      <c r="AG233">
        <f t="shared" si="67"/>
        <v>225</v>
      </c>
      <c r="AH233">
        <f t="shared" si="68"/>
        <v>225</v>
      </c>
      <c r="AI233">
        <f t="shared" si="69"/>
        <v>0</v>
      </c>
      <c r="AJ233">
        <f t="shared" si="70"/>
        <v>0</v>
      </c>
      <c r="AK233">
        <f t="shared" si="71"/>
        <v>225</v>
      </c>
      <c r="AL233">
        <f t="shared" si="72"/>
        <v>0</v>
      </c>
      <c r="AM233">
        <f t="shared" si="73"/>
        <v>0</v>
      </c>
      <c r="AN233">
        <f t="shared" si="74"/>
        <v>225</v>
      </c>
      <c r="AO233">
        <f t="shared" si="75"/>
        <v>225</v>
      </c>
      <c r="AP233">
        <f t="shared" si="76"/>
        <v>225</v>
      </c>
      <c r="AQ233">
        <f t="shared" si="77"/>
        <v>225</v>
      </c>
      <c r="AR233" s="6">
        <f t="shared" si="78"/>
        <v>225</v>
      </c>
      <c r="AS233">
        <f t="shared" si="79"/>
        <v>225</v>
      </c>
      <c r="AV233" s="1" t="str">
        <f>IF(IFERROR(INDEX($A$9:$W$304,$AS233,COLUMNS($AV$9:AV232)),"")=0,"",IFERROR(INDEX($A$9:$W$304,$AS233,COLUMNS($AV$9:AV232)),""))</f>
        <v>Sea Hydra</v>
      </c>
      <c r="AW233" s="1">
        <f>IFERROR(INDEX($A$9:$W$304,$AS233,COLUMNS($AV$9:AW232)),"")</f>
        <v>1</v>
      </c>
      <c r="AX233" s="1" t="str">
        <f>IF(IFERROR(INDEX($A$9:$X$304,$AS233,COLUMNS($AV$9:AX232)),"")=0,"",IFERROR(INDEX($A$9:$X$304,$AS233,COLUMNS($AV$9:AX232)),""))</f>
        <v>WILD</v>
      </c>
      <c r="AY233" s="1" t="str">
        <f>IF(IFERROR(INDEX($A$9:$X$304,$AS233,COLUMNS($AV$9:AY232)),"")=0,"",IFERROR(INDEX($A$9:$X$304,$AS233,COLUMNS($AV$9:AY232)),""))</f>
        <v/>
      </c>
      <c r="AZ233" s="1" t="str">
        <f>IF(IFERROR(INDEX($A$9:$X$304,$AS233,COLUMNS($AV$9:AZ232)),"")=0,"",IFERROR(INDEX($A$9:$X$304,$AS233,COLUMNS($AV$9:AZ232)),""))</f>
        <v>CHAMPION</v>
      </c>
      <c r="BA233" s="1">
        <f>IF(IFERROR(INDEX($A$9:$X$304,$AS233,COLUMNS($AV$9:BA232)),"")=0,"",IFERROR(INDEX($A$9:$X$304,$AS233,COLUMNS($AV$9:BA232)),""))</f>
        <v>5</v>
      </c>
      <c r="BB233" s="1">
        <f>IF(IFERROR(INDEX($A$9:$X$304,$AS233,COLUMNS($AV$9:BB232)),"")=0,"",IFERROR(INDEX($A$9:$X$304,$AS233,COLUMNS($AV$9:BB232)),""))</f>
        <v>10</v>
      </c>
      <c r="BC233" s="1" t="str">
        <f>IF(IFERROR(INDEX($A$9:$X$304,$AS233,COLUMNS($AV$9:BC232)),"")=0,"",IFERROR(INDEX($A$9:$X$304,$AS233,COLUMNS($AV$9:BC232)),""))</f>
        <v>Tribute → Draw a card.</v>
      </c>
      <c r="BD233" s="1" t="str">
        <f>IF(IFERROR(INDEX($A$9:$X$304,$AS233,COLUMNS($AV$9:BD232)),"")=0,"",IFERROR(INDEX($A$9:$X$304,$AS233,COLUMNS($AV$9:BD232)),""))</f>
        <v>At the end of each turn → Put a +1 {offense} +1 {defense} counter on this card for each point of damage it took this turn.</v>
      </c>
      <c r="BE233" s="1" t="str">
        <f>IF(IFERROR(INDEX($A$9:$X$304,$AS233,COLUMNS($AV$9:BE232)),"")=0,"",IFERROR(INDEX($A$9:$X$304,$AS233,COLUMNS($AV$9:BE232)),""))</f>
        <v/>
      </c>
      <c r="BF233" s="1" t="str">
        <f>IF(IFERROR(INDEX($A$9:$X$304,$AS233,COLUMNS($AV$9:BF232)),"")=0,"",IFERROR(INDEX($A$9:$X$304,$AS233,COLUMNS($AV$9:BF232)),""))</f>
        <v/>
      </c>
      <c r="BG233" s="1" t="str">
        <f>IF(IFERROR(INDEX($A$9:$X$304,$AS233,COLUMNS($AV$9:BG232)),"")=0,"",IFERROR(INDEX($A$9:$X$304,$AS233,COLUMNS($AV$9:BG232)),""))</f>
        <v>{1}: Recall</v>
      </c>
      <c r="BH233" s="1" t="str">
        <f>IF(IFERROR(INDEX($A$9:$X$304,$AS233,COLUMNS($AV$9:BH232)),"")=0,"",IFERROR(INDEX($A$9:$X$304,$AS233,COLUMNS($AV$9:BH232)),""))</f>
        <v/>
      </c>
      <c r="BI233" s="1" t="str">
        <f>IF(IFERROR(INDEX($A$9:$X$304,$AS233,COLUMNS($AV$9:BI232)),"")=0,"",IFERROR(INDEX($A$9:$X$304,$AS233,COLUMNS($AV$9:BI232)),""))</f>
        <v/>
      </c>
      <c r="BJ233" s="1" t="str">
        <f>IF(IFERROR(INDEX($A$9:$X$304,$AS233,COLUMNS($AV$9:BJ232)),"")=0,"",IFERROR(INDEX($A$9:$X$304,$AS233,COLUMNS($AV$9:BJ232)),""))</f>
        <v>HYDRA</v>
      </c>
      <c r="BK233" s="1" t="str">
        <f>IF(IFERROR(INDEX($A$9:$X$304,$AS233,COLUMNS($AV$9:BK232)),"")=0,"",IFERROR(INDEX($A$9:$X$304,$AS233,COLUMNS($AV$9:BK232)),""))</f>
        <v>Rare</v>
      </c>
      <c r="BL233" s="1" t="str">
        <f>IF(IFERROR(INDEX($A$9:$X$304,$AS233,COLUMNS($AV$9:BL232)),"")=0,"",IFERROR(INDEX($A$9:$X$304,$AS233,COLUMNS($AV$9:BL232)),""))</f>
        <v>Apsara</v>
      </c>
      <c r="BM233" s="1" t="str">
        <f>IF(IFERROR(INDEX($A$9:$X$304,$AS233,COLUMNS($AV$9:BM232)),"")=0,"",IFERROR(INDEX($A$9:$X$304,$AS233,COLUMNS($AV$9:BM232)),""))</f>
        <v>Base Set</v>
      </c>
      <c r="BN233" s="3" t="b">
        <f>IF(IFERROR(INDEX($A$9:$X$304,$AS233,COLUMNS($AV$9:BN232)),"")=0,"",IFERROR(INDEX($A$9:$X$304,$AS233,COLUMNS($AV$9:BN232)),""))</f>
        <v>1</v>
      </c>
      <c r="BO233" s="3" t="b">
        <f>IF(IFERROR(INDEX($A$9:$X$304,$AS233,COLUMNS($AV$9:BO232)),"")=0,"",IFERROR(INDEX($A$9:$X$304,$AS233,COLUMNS($AV$9:BO232)),""))</f>
        <v>0</v>
      </c>
      <c r="BP233" s="3" t="b">
        <f>IF(IFERROR(INDEX($A$9:$X$304,$AS233,COLUMNS($AV$9:BP232)),"")=0,"",IFERROR(INDEX($A$9:$X$304,$AS233,COLUMNS($AV$9:BP232)),""))</f>
        <v>0</v>
      </c>
      <c r="BQ233" s="3" t="b">
        <f>IF(IFERROR(INDEX($A$9:$X$304,$AS233,COLUMNS($AV$9:BQ232)),"")=0,"",IFERROR(INDEX($A$9:$X$304,$AS233,COLUMNS($AV$9:BQ232)),""))</f>
        <v>0</v>
      </c>
      <c r="BR233" s="3" t="str">
        <f>IF(IFERROR(INDEX($A$9:$X$304,$AS233,COLUMNS($AV$9:BR232)),"")=0,"",IFERROR(INDEX($A$9:$X$304,$AS233,COLUMNS($AV$9:BR232)),""))</f>
        <v>http://www.epiccardgame.com/wp-content/uploads/2015/09/sea_hydra-215x300.jpg</v>
      </c>
      <c r="BS233" s="3" t="str">
        <f>IF(IFERROR(INDEX($A$9:$X$304,$AS233,COLUMNS($AV$9:BS232)),"")=0,"",IFERROR(INDEX($A$9:$X$304,$AS233,COLUMNS($AV$9:BS232)),""))</f>
        <v/>
      </c>
      <c r="BT233" s="3"/>
      <c r="BU233" s="15"/>
      <c r="BV233" t="s">
        <v>254</v>
      </c>
    </row>
    <row r="234" spans="1:74" ht="225" customHeight="1" x14ac:dyDescent="0.25">
      <c r="A234" t="s">
        <v>545</v>
      </c>
      <c r="B234">
        <v>1</v>
      </c>
      <c r="C234" t="s">
        <v>616</v>
      </c>
      <c r="E234" t="s">
        <v>620</v>
      </c>
      <c r="F234">
        <v>11</v>
      </c>
      <c r="G234">
        <v>14</v>
      </c>
      <c r="H234" t="s">
        <v>27</v>
      </c>
      <c r="I234" t="s">
        <v>926</v>
      </c>
      <c r="J234" t="s">
        <v>1015</v>
      </c>
      <c r="O234" t="s">
        <v>1106</v>
      </c>
      <c r="P234" t="s">
        <v>1113</v>
      </c>
      <c r="Q234" t="s">
        <v>1114</v>
      </c>
      <c r="R234" t="s">
        <v>1171</v>
      </c>
      <c r="S234" t="b">
        <v>1</v>
      </c>
      <c r="T234" t="b">
        <v>0</v>
      </c>
      <c r="U234" t="b">
        <v>0</v>
      </c>
      <c r="V234" t="b">
        <v>0</v>
      </c>
      <c r="W234" s="2" t="s">
        <v>1409</v>
      </c>
      <c r="X234" s="2"/>
      <c r="Y234" s="24">
        <v>226</v>
      </c>
      <c r="Z234">
        <f t="shared" si="60"/>
        <v>226</v>
      </c>
      <c r="AA234">
        <f t="shared" si="61"/>
        <v>226</v>
      </c>
      <c r="AB234">
        <f t="shared" si="62"/>
        <v>226</v>
      </c>
      <c r="AC234">
        <f t="shared" si="63"/>
        <v>0</v>
      </c>
      <c r="AD234">
        <f t="shared" si="64"/>
        <v>226</v>
      </c>
      <c r="AE234">
        <f t="shared" si="65"/>
        <v>226</v>
      </c>
      <c r="AF234">
        <f t="shared" si="66"/>
        <v>226</v>
      </c>
      <c r="AG234">
        <f t="shared" si="67"/>
        <v>226</v>
      </c>
      <c r="AH234">
        <f t="shared" si="68"/>
        <v>226</v>
      </c>
      <c r="AI234">
        <f t="shared" si="69"/>
        <v>226</v>
      </c>
      <c r="AJ234">
        <f t="shared" si="70"/>
        <v>0</v>
      </c>
      <c r="AK234">
        <f t="shared" si="71"/>
        <v>0</v>
      </c>
      <c r="AL234">
        <f t="shared" si="72"/>
        <v>0</v>
      </c>
      <c r="AM234">
        <f t="shared" si="73"/>
        <v>0</v>
      </c>
      <c r="AN234">
        <f t="shared" si="74"/>
        <v>226</v>
      </c>
      <c r="AO234">
        <f t="shared" si="75"/>
        <v>226</v>
      </c>
      <c r="AP234">
        <f t="shared" si="76"/>
        <v>226</v>
      </c>
      <c r="AQ234">
        <f t="shared" si="77"/>
        <v>226</v>
      </c>
      <c r="AR234" s="6">
        <f t="shared" si="78"/>
        <v>226</v>
      </c>
      <c r="AS234">
        <f t="shared" si="79"/>
        <v>226</v>
      </c>
      <c r="AV234" s="1" t="str">
        <f>IF(IFERROR(INDEX($A$9:$W$304,$AS234,COLUMNS($AV$9:AV233)),"")=0,"",IFERROR(INDEX($A$9:$W$304,$AS234,COLUMNS($AV$9:AV233)),""))</f>
        <v>Sea Titan</v>
      </c>
      <c r="AW234" s="1">
        <f>IFERROR(INDEX($A$9:$W$304,$AS234,COLUMNS($AV$9:AW233)),"")</f>
        <v>1</v>
      </c>
      <c r="AX234" s="1" t="str">
        <f>IF(IFERROR(INDEX($A$9:$X$304,$AS234,COLUMNS($AV$9:AX233)),"")=0,"",IFERROR(INDEX($A$9:$X$304,$AS234,COLUMNS($AV$9:AX233)),""))</f>
        <v>SAGE</v>
      </c>
      <c r="AY234" s="1" t="str">
        <f>IF(IFERROR(INDEX($A$9:$X$304,$AS234,COLUMNS($AV$9:AY233)),"")=0,"",IFERROR(INDEX($A$9:$X$304,$AS234,COLUMNS($AV$9:AY233)),""))</f>
        <v/>
      </c>
      <c r="AZ234" s="1" t="str">
        <f>IF(IFERROR(INDEX($A$9:$X$304,$AS234,COLUMNS($AV$9:AZ233)),"")=0,"",IFERROR(INDEX($A$9:$X$304,$AS234,COLUMNS($AV$9:AZ233)),""))</f>
        <v>CHAMPION</v>
      </c>
      <c r="BA234" s="1">
        <f>IF(IFERROR(INDEX($A$9:$X$304,$AS234,COLUMNS($AV$9:BA233)),"")=0,"",IFERROR(INDEX($A$9:$X$304,$AS234,COLUMNS($AV$9:BA233)),""))</f>
        <v>11</v>
      </c>
      <c r="BB234" s="1">
        <f>IF(IFERROR(INDEX($A$9:$X$304,$AS234,COLUMNS($AV$9:BB233)),"")=0,"",IFERROR(INDEX($A$9:$X$304,$AS234,COLUMNS($AV$9:BB233)),""))</f>
        <v>14</v>
      </c>
      <c r="BC234" s="1" t="str">
        <f>IF(IFERROR(INDEX($A$9:$X$304,$AS234,COLUMNS($AV$9:BC233)),"")=0,"",IFERROR(INDEX($A$9:$X$304,$AS234,COLUMNS($AV$9:BC233)),""))</f>
        <v>Untargetable</v>
      </c>
      <c r="BD234" s="1" t="str">
        <f>IF(IFERROR(INDEX($A$9:$X$304,$AS234,COLUMNS($AV$9:BD233)),"")=0,"",IFERROR(INDEX($A$9:$X$304,$AS234,COLUMNS($AV$9:BD233)),""))</f>
        <v>Tribute → Return target champion to its owner's hand.</v>
      </c>
      <c r="BE234" s="1" t="str">
        <f>IF(IFERROR(INDEX($A$9:$X$304,$AS234,COLUMNS($AV$9:BE233)),"")=0,"",IFERROR(INDEX($A$9:$X$304,$AS234,COLUMNS($AV$9:BE233)),""))</f>
        <v>Tidal waves signal their approach.</v>
      </c>
      <c r="BF234" s="1" t="str">
        <f>IF(IFERROR(INDEX($A$9:$X$304,$AS234,COLUMNS($AV$9:BF233)),"")=0,"",IFERROR(INDEX($A$9:$X$304,$AS234,COLUMNS($AV$9:BF233)),""))</f>
        <v/>
      </c>
      <c r="BG234" s="1" t="str">
        <f>IF(IFERROR(INDEX($A$9:$X$304,$AS234,COLUMNS($AV$9:BG233)),"")=0,"",IFERROR(INDEX($A$9:$X$304,$AS234,COLUMNS($AV$9:BG233)),""))</f>
        <v/>
      </c>
      <c r="BH234" s="1" t="str">
        <f>IF(IFERROR(INDEX($A$9:$X$304,$AS234,COLUMNS($AV$9:BH233)),"")=0,"",IFERROR(INDEX($A$9:$X$304,$AS234,COLUMNS($AV$9:BH233)),""))</f>
        <v/>
      </c>
      <c r="BI234" s="1" t="str">
        <f>IF(IFERROR(INDEX($A$9:$X$304,$AS234,COLUMNS($AV$9:BI233)),"")=0,"",IFERROR(INDEX($A$9:$X$304,$AS234,COLUMNS($AV$9:BI233)),""))</f>
        <v/>
      </c>
      <c r="BJ234" s="1" t="str">
        <f>IF(IFERROR(INDEX($A$9:$X$304,$AS234,COLUMNS($AV$9:BJ233)),"")=0,"",IFERROR(INDEX($A$9:$X$304,$AS234,COLUMNS($AV$9:BJ233)),""))</f>
        <v>TITAN</v>
      </c>
      <c r="BK234" s="1" t="str">
        <f>IF(IFERROR(INDEX($A$9:$X$304,$AS234,COLUMNS($AV$9:BK233)),"")=0,"",IFERROR(INDEX($A$9:$X$304,$AS234,COLUMNS($AV$9:BK233)),""))</f>
        <v>Rare</v>
      </c>
      <c r="BL234" s="1" t="str">
        <f>IF(IFERROR(INDEX($A$9:$X$304,$AS234,COLUMNS($AV$9:BL233)),"")=0,"",IFERROR(INDEX($A$9:$X$304,$AS234,COLUMNS($AV$9:BL233)),""))</f>
        <v>Jaan-Paul van Eeden</v>
      </c>
      <c r="BM234" s="1" t="str">
        <f>IF(IFERROR(INDEX($A$9:$X$304,$AS234,COLUMNS($AV$9:BM233)),"")=0,"",IFERROR(INDEX($A$9:$X$304,$AS234,COLUMNS($AV$9:BM233)),""))</f>
        <v>Base Set</v>
      </c>
      <c r="BN234" s="3" t="b">
        <f>IF(IFERROR(INDEX($A$9:$X$304,$AS234,COLUMNS($AV$9:BN233)),"")=0,"",IFERROR(INDEX($A$9:$X$304,$AS234,COLUMNS($AV$9:BN233)),""))</f>
        <v>1</v>
      </c>
      <c r="BO234" s="3" t="b">
        <f>IF(IFERROR(INDEX($A$9:$X$304,$AS234,COLUMNS($AV$9:BO233)),"")=0,"",IFERROR(INDEX($A$9:$X$304,$AS234,COLUMNS($AV$9:BO233)),""))</f>
        <v>0</v>
      </c>
      <c r="BP234" s="3" t="b">
        <f>IF(IFERROR(INDEX($A$9:$X$304,$AS234,COLUMNS($AV$9:BP233)),"")=0,"",IFERROR(INDEX($A$9:$X$304,$AS234,COLUMNS($AV$9:BP233)),""))</f>
        <v>0</v>
      </c>
      <c r="BQ234" s="3" t="b">
        <f>IF(IFERROR(INDEX($A$9:$X$304,$AS234,COLUMNS($AV$9:BQ233)),"")=0,"",IFERROR(INDEX($A$9:$X$304,$AS234,COLUMNS($AV$9:BQ233)),""))</f>
        <v>0</v>
      </c>
      <c r="BR234" s="3" t="str">
        <f>IF(IFERROR(INDEX($A$9:$X$304,$AS234,COLUMNS($AV$9:BR233)),"")=0,"",IFERROR(INDEX($A$9:$X$304,$AS234,COLUMNS($AV$9:BR233)),""))</f>
        <v>http://www.epiccardgame.com/wp-content/uploads/2015/09/sea_titan-215x300.jpg</v>
      </c>
      <c r="BS234" s="3" t="str">
        <f>IF(IFERROR(INDEX($A$9:$X$304,$AS234,COLUMNS($AV$9:BS233)),"")=0,"",IFERROR(INDEX($A$9:$X$304,$AS234,COLUMNS($AV$9:BS233)),""))</f>
        <v/>
      </c>
      <c r="BT234" s="3"/>
      <c r="BU234" s="15"/>
      <c r="BV234" t="s">
        <v>255</v>
      </c>
    </row>
    <row r="235" spans="1:74" ht="225.2" customHeight="1" x14ac:dyDescent="0.25">
      <c r="A235" t="s">
        <v>546</v>
      </c>
      <c r="B235">
        <v>1</v>
      </c>
      <c r="C235" t="s">
        <v>615</v>
      </c>
      <c r="E235" t="s">
        <v>619</v>
      </c>
      <c r="H235" t="s">
        <v>732</v>
      </c>
      <c r="I235" t="s">
        <v>927</v>
      </c>
      <c r="O235" t="s">
        <v>1062</v>
      </c>
      <c r="P235" t="s">
        <v>1112</v>
      </c>
      <c r="Q235" t="s">
        <v>1119</v>
      </c>
      <c r="R235" t="s">
        <v>1169</v>
      </c>
      <c r="S235" t="b">
        <v>1</v>
      </c>
      <c r="T235" t="b">
        <v>0</v>
      </c>
      <c r="U235" t="b">
        <v>0</v>
      </c>
      <c r="V235" t="b">
        <v>0</v>
      </c>
      <c r="W235" s="2" t="s">
        <v>1410</v>
      </c>
      <c r="X235" s="2"/>
      <c r="Y235" s="24">
        <v>227</v>
      </c>
      <c r="Z235">
        <f t="shared" si="60"/>
        <v>227</v>
      </c>
      <c r="AA235">
        <f t="shared" si="61"/>
        <v>227</v>
      </c>
      <c r="AB235">
        <f t="shared" si="62"/>
        <v>227</v>
      </c>
      <c r="AC235">
        <f t="shared" si="63"/>
        <v>0</v>
      </c>
      <c r="AD235">
        <f t="shared" si="64"/>
        <v>227</v>
      </c>
      <c r="AE235">
        <f t="shared" si="65"/>
        <v>0</v>
      </c>
      <c r="AF235">
        <f t="shared" si="66"/>
        <v>0</v>
      </c>
      <c r="AG235">
        <f t="shared" si="67"/>
        <v>227</v>
      </c>
      <c r="AH235">
        <f t="shared" si="68"/>
        <v>227</v>
      </c>
      <c r="AI235">
        <f t="shared" si="69"/>
        <v>0</v>
      </c>
      <c r="AJ235">
        <f t="shared" si="70"/>
        <v>0</v>
      </c>
      <c r="AK235">
        <f t="shared" si="71"/>
        <v>0</v>
      </c>
      <c r="AL235">
        <f t="shared" si="72"/>
        <v>0</v>
      </c>
      <c r="AM235">
        <f t="shared" si="73"/>
        <v>0</v>
      </c>
      <c r="AN235">
        <f t="shared" si="74"/>
        <v>227</v>
      </c>
      <c r="AO235">
        <f t="shared" si="75"/>
        <v>227</v>
      </c>
      <c r="AP235">
        <f t="shared" si="76"/>
        <v>227</v>
      </c>
      <c r="AQ235">
        <f t="shared" si="77"/>
        <v>227</v>
      </c>
      <c r="AR235" s="6">
        <f t="shared" si="78"/>
        <v>227</v>
      </c>
      <c r="AS235">
        <f t="shared" si="79"/>
        <v>227</v>
      </c>
      <c r="AV235" s="1" t="str">
        <f>IF(IFERROR(INDEX($A$9:$W$304,$AS235,COLUMNS($AV$9:AV234)),"")=0,"",IFERROR(INDEX($A$9:$W$304,$AS235,COLUMNS($AV$9:AV234)),""))</f>
        <v>Searing Blast</v>
      </c>
      <c r="AW235" s="1">
        <f>IFERROR(INDEX($A$9:$W$304,$AS235,COLUMNS($AV$9:AW234)),"")</f>
        <v>1</v>
      </c>
      <c r="AX235" s="1" t="str">
        <f>IF(IFERROR(INDEX($A$9:$X$304,$AS235,COLUMNS($AV$9:AX234)),"")=0,"",IFERROR(INDEX($A$9:$X$304,$AS235,COLUMNS($AV$9:AX234)),""))</f>
        <v>WILD</v>
      </c>
      <c r="AY235" s="1" t="str">
        <f>IF(IFERROR(INDEX($A$9:$X$304,$AS235,COLUMNS($AV$9:AY234)),"")=0,"",IFERROR(INDEX($A$9:$X$304,$AS235,COLUMNS($AV$9:AY234)),""))</f>
        <v/>
      </c>
      <c r="AZ235" s="1" t="str">
        <f>IF(IFERROR(INDEX($A$9:$X$304,$AS235,COLUMNS($AV$9:AZ234)),"")=0,"",IFERROR(INDEX($A$9:$X$304,$AS235,COLUMNS($AV$9:AZ234)),""))</f>
        <v>EVENT</v>
      </c>
      <c r="BA235" s="1" t="str">
        <f>IF(IFERROR(INDEX($A$9:$X$304,$AS235,COLUMNS($AV$9:BA234)),"")=0,"",IFERROR(INDEX($A$9:$X$304,$AS235,COLUMNS($AV$9:BA234)),""))</f>
        <v/>
      </c>
      <c r="BB235" s="1" t="str">
        <f>IF(IFERROR(INDEX($A$9:$X$304,$AS235,COLUMNS($AV$9:BB234)),"")=0,"",IFERROR(INDEX($A$9:$X$304,$AS235,COLUMNS($AV$9:BB234)),""))</f>
        <v/>
      </c>
      <c r="BC235" s="1" t="str">
        <f>IF(IFERROR(INDEX($A$9:$X$304,$AS235,COLUMNS($AV$9:BC234)),"")=0,"",IFERROR(INDEX($A$9:$X$304,$AS235,COLUMNS($AV$9:BC234)),""))</f>
        <v>Deal 7 damage to a target.</v>
      </c>
      <c r="BD235" s="1" t="str">
        <f>IF(IFERROR(INDEX($A$9:$X$304,$AS235,COLUMNS($AV$9:BD234)),"")=0,"",IFERROR(INDEX($A$9:$X$304,$AS235,COLUMNS($AV$9:BD234)),""))</f>
        <v>Any player damaged by this card cannot gain health this turn.</v>
      </c>
      <c r="BE235" s="1" t="str">
        <f>IF(IFERROR(INDEX($A$9:$X$304,$AS235,COLUMNS($AV$9:BE234)),"")=0,"",IFERROR(INDEX($A$9:$X$304,$AS235,COLUMNS($AV$9:BE234)),""))</f>
        <v/>
      </c>
      <c r="BF235" s="1" t="str">
        <f>IF(IFERROR(INDEX($A$9:$X$304,$AS235,COLUMNS($AV$9:BF234)),"")=0,"",IFERROR(INDEX($A$9:$X$304,$AS235,COLUMNS($AV$9:BF234)),""))</f>
        <v/>
      </c>
      <c r="BG235" s="1" t="str">
        <f>IF(IFERROR(INDEX($A$9:$X$304,$AS235,COLUMNS($AV$9:BG234)),"")=0,"",IFERROR(INDEX($A$9:$X$304,$AS235,COLUMNS($AV$9:BG234)),""))</f>
        <v/>
      </c>
      <c r="BH235" s="1" t="str">
        <f>IF(IFERROR(INDEX($A$9:$X$304,$AS235,COLUMNS($AV$9:BH234)),"")=0,"",IFERROR(INDEX($A$9:$X$304,$AS235,COLUMNS($AV$9:BH234)),""))</f>
        <v/>
      </c>
      <c r="BI235" s="1" t="str">
        <f>IF(IFERROR(INDEX($A$9:$X$304,$AS235,COLUMNS($AV$9:BI234)),"")=0,"",IFERROR(INDEX($A$9:$X$304,$AS235,COLUMNS($AV$9:BI234)),""))</f>
        <v/>
      </c>
      <c r="BJ235" s="1" t="str">
        <f>IF(IFERROR(INDEX($A$9:$X$304,$AS235,COLUMNS($AV$9:BJ234)),"")=0,"",IFERROR(INDEX($A$9:$X$304,$AS235,COLUMNS($AV$9:BJ234)),""))</f>
        <v>None</v>
      </c>
      <c r="BK235" s="1" t="str">
        <f>IF(IFERROR(INDEX($A$9:$X$304,$AS235,COLUMNS($AV$9:BK234)),"")=0,"",IFERROR(INDEX($A$9:$X$304,$AS235,COLUMNS($AV$9:BK234)),""))</f>
        <v>Common</v>
      </c>
      <c r="BL235" s="1" t="str">
        <f>IF(IFERROR(INDEX($A$9:$X$304,$AS235,COLUMNS($AV$9:BL234)),"")=0,"",IFERROR(INDEX($A$9:$X$304,$AS235,COLUMNS($AV$9:BL234)),""))</f>
        <v>Sarah McCulloch</v>
      </c>
      <c r="BM235" s="1" t="str">
        <f>IF(IFERROR(INDEX($A$9:$X$304,$AS235,COLUMNS($AV$9:BM234)),"")=0,"",IFERROR(INDEX($A$9:$X$304,$AS235,COLUMNS($AV$9:BM234)),""))</f>
        <v>Kickstarter Promo</v>
      </c>
      <c r="BN235" s="3" t="b">
        <f>IF(IFERROR(INDEX($A$9:$X$304,$AS235,COLUMNS($AV$9:BN234)),"")=0,"",IFERROR(INDEX($A$9:$X$304,$AS235,COLUMNS($AV$9:BN234)),""))</f>
        <v>1</v>
      </c>
      <c r="BO235" s="3" t="b">
        <f>IF(IFERROR(INDEX($A$9:$X$304,$AS235,COLUMNS($AV$9:BO234)),"")=0,"",IFERROR(INDEX($A$9:$X$304,$AS235,COLUMNS($AV$9:BO234)),""))</f>
        <v>0</v>
      </c>
      <c r="BP235" s="3" t="b">
        <f>IF(IFERROR(INDEX($A$9:$X$304,$AS235,COLUMNS($AV$9:BP234)),"")=0,"",IFERROR(INDEX($A$9:$X$304,$AS235,COLUMNS($AV$9:BP234)),""))</f>
        <v>0</v>
      </c>
      <c r="BQ235" s="3" t="b">
        <f>IF(IFERROR(INDEX($A$9:$X$304,$AS235,COLUMNS($AV$9:BQ234)),"")=0,"",IFERROR(INDEX($A$9:$X$304,$AS235,COLUMNS($AV$9:BQ234)),""))</f>
        <v>0</v>
      </c>
      <c r="BR235" s="3" t="str">
        <f>IF(IFERROR(INDEX($A$9:$X$304,$AS235,COLUMNS($AV$9:BR234)),"")=0,"",IFERROR(INDEX($A$9:$X$304,$AS235,COLUMNS($AV$9:BR234)),""))</f>
        <v>http://www.epiccardgame.com/wp-content/uploads/2015/09/searing_blast-215x300.jpg</v>
      </c>
      <c r="BS235" s="3" t="str">
        <f>IF(IFERROR(INDEX($A$9:$X$304,$AS235,COLUMNS($AV$9:BS234)),"")=0,"",IFERROR(INDEX($A$9:$X$304,$AS235,COLUMNS($AV$9:BS234)),""))</f>
        <v/>
      </c>
      <c r="BT235" s="3"/>
      <c r="BU235" s="15"/>
      <c r="BV235" t="s">
        <v>256</v>
      </c>
    </row>
    <row r="236" spans="1:74" ht="225.2" customHeight="1" x14ac:dyDescent="0.25">
      <c r="A236" t="s">
        <v>547</v>
      </c>
      <c r="B236">
        <v>0</v>
      </c>
      <c r="C236" t="s">
        <v>617</v>
      </c>
      <c r="E236" t="s">
        <v>619</v>
      </c>
      <c r="H236" t="s">
        <v>733</v>
      </c>
      <c r="I236" t="s">
        <v>23</v>
      </c>
      <c r="J236" t="s">
        <v>1016</v>
      </c>
      <c r="O236" t="s">
        <v>1062</v>
      </c>
      <c r="P236" t="s">
        <v>1112</v>
      </c>
      <c r="Q236" t="s">
        <v>1135</v>
      </c>
      <c r="R236" t="s">
        <v>1175</v>
      </c>
      <c r="S236" t="b">
        <v>0</v>
      </c>
      <c r="T236" t="b">
        <v>0</v>
      </c>
      <c r="U236" t="b">
        <v>0</v>
      </c>
      <c r="V236" t="b">
        <v>0</v>
      </c>
      <c r="W236" s="2" t="s">
        <v>1411</v>
      </c>
      <c r="X236" s="2"/>
      <c r="Y236" s="24">
        <v>228</v>
      </c>
      <c r="Z236">
        <f t="shared" si="60"/>
        <v>228</v>
      </c>
      <c r="AA236">
        <f t="shared" si="61"/>
        <v>228</v>
      </c>
      <c r="AB236">
        <f t="shared" si="62"/>
        <v>228</v>
      </c>
      <c r="AC236">
        <f t="shared" si="63"/>
        <v>0</v>
      </c>
      <c r="AD236">
        <f t="shared" si="64"/>
        <v>228</v>
      </c>
      <c r="AE236">
        <f t="shared" si="65"/>
        <v>0</v>
      </c>
      <c r="AF236">
        <f t="shared" si="66"/>
        <v>0</v>
      </c>
      <c r="AG236">
        <f t="shared" si="67"/>
        <v>228</v>
      </c>
      <c r="AH236">
        <f t="shared" si="68"/>
        <v>228</v>
      </c>
      <c r="AI236">
        <f t="shared" si="69"/>
        <v>228</v>
      </c>
      <c r="AJ236">
        <f t="shared" si="70"/>
        <v>0</v>
      </c>
      <c r="AK236">
        <f t="shared" si="71"/>
        <v>0</v>
      </c>
      <c r="AL236">
        <f t="shared" si="72"/>
        <v>0</v>
      </c>
      <c r="AM236">
        <f t="shared" si="73"/>
        <v>0</v>
      </c>
      <c r="AN236">
        <f t="shared" si="74"/>
        <v>228</v>
      </c>
      <c r="AO236">
        <f t="shared" si="75"/>
        <v>228</v>
      </c>
      <c r="AP236">
        <f t="shared" si="76"/>
        <v>228</v>
      </c>
      <c r="AQ236">
        <f t="shared" si="77"/>
        <v>228</v>
      </c>
      <c r="AR236" s="6">
        <f t="shared" si="78"/>
        <v>228</v>
      </c>
      <c r="AS236">
        <f t="shared" si="79"/>
        <v>228</v>
      </c>
      <c r="AV236" s="1" t="str">
        <f>IF(IFERROR(INDEX($A$9:$W$304,$AS236,COLUMNS($AV$9:AV235)),"")=0,"",IFERROR(INDEX($A$9:$W$304,$AS236,COLUMNS($AV$9:AV235)),""))</f>
        <v>Second Wind</v>
      </c>
      <c r="AW236" s="1">
        <f>IFERROR(INDEX($A$9:$W$304,$AS236,COLUMNS($AV$9:AW235)),"")</f>
        <v>0</v>
      </c>
      <c r="AX236" s="1" t="str">
        <f>IF(IFERROR(INDEX($A$9:$X$304,$AS236,COLUMNS($AV$9:AX235)),"")=0,"",IFERROR(INDEX($A$9:$X$304,$AS236,COLUMNS($AV$9:AX235)),""))</f>
        <v>GOOD</v>
      </c>
      <c r="AY236" s="1" t="str">
        <f>IF(IFERROR(INDEX($A$9:$X$304,$AS236,COLUMNS($AV$9:AY235)),"")=0,"",IFERROR(INDEX($A$9:$X$304,$AS236,COLUMNS($AV$9:AY235)),""))</f>
        <v/>
      </c>
      <c r="AZ236" s="1" t="str">
        <f>IF(IFERROR(INDEX($A$9:$X$304,$AS236,COLUMNS($AV$9:AZ235)),"")=0,"",IFERROR(INDEX($A$9:$X$304,$AS236,COLUMNS($AV$9:AZ235)),""))</f>
        <v>EVENT</v>
      </c>
      <c r="BA236" s="1" t="str">
        <f>IF(IFERROR(INDEX($A$9:$X$304,$AS236,COLUMNS($AV$9:BA235)),"")=0,"",IFERROR(INDEX($A$9:$X$304,$AS236,COLUMNS($AV$9:BA235)),""))</f>
        <v/>
      </c>
      <c r="BB236" s="1" t="str">
        <f>IF(IFERROR(INDEX($A$9:$X$304,$AS236,COLUMNS($AV$9:BB235)),"")=0,"",IFERROR(INDEX($A$9:$X$304,$AS236,COLUMNS($AV$9:BB235)),""))</f>
        <v/>
      </c>
      <c r="BC236" s="1" t="str">
        <f>IF(IFERROR(INDEX($A$9:$X$304,$AS236,COLUMNS($AV$9:BC235)),"")=0,"",IFERROR(INDEX($A$9:$X$304,$AS236,COLUMNS($AV$9:BC235)),""))</f>
        <v>Gain 5 health.</v>
      </c>
      <c r="BD236" s="1" t="str">
        <f>IF(IFERROR(INDEX($A$9:$X$304,$AS236,COLUMNS($AV$9:BD235)),"")=0,"",IFERROR(INDEX($A$9:$X$304,$AS236,COLUMNS($AV$9:BD235)),""))</f>
        <v>Recycle</v>
      </c>
      <c r="BE236" s="1" t="str">
        <f>IF(IFERROR(INDEX($A$9:$X$304,$AS236,COLUMNS($AV$9:BE235)),"")=0,"",IFERROR(INDEX($A$9:$X$304,$AS236,COLUMNS($AV$9:BE235)),""))</f>
        <v>"Pledge your sword to Angeline and she will grant you strength."</v>
      </c>
      <c r="BF236" s="1" t="str">
        <f>IF(IFERROR(INDEX($A$9:$X$304,$AS236,COLUMNS($AV$9:BF235)),"")=0,"",IFERROR(INDEX($A$9:$X$304,$AS236,COLUMNS($AV$9:BF235)),""))</f>
        <v/>
      </c>
      <c r="BG236" s="1" t="str">
        <f>IF(IFERROR(INDEX($A$9:$X$304,$AS236,COLUMNS($AV$9:BG235)),"")=0,"",IFERROR(INDEX($A$9:$X$304,$AS236,COLUMNS($AV$9:BG235)),""))</f>
        <v/>
      </c>
      <c r="BH236" s="1" t="str">
        <f>IF(IFERROR(INDEX($A$9:$X$304,$AS236,COLUMNS($AV$9:BH235)),"")=0,"",IFERROR(INDEX($A$9:$X$304,$AS236,COLUMNS($AV$9:BH235)),""))</f>
        <v/>
      </c>
      <c r="BI236" s="1" t="str">
        <f>IF(IFERROR(INDEX($A$9:$X$304,$AS236,COLUMNS($AV$9:BI235)),"")=0,"",IFERROR(INDEX($A$9:$X$304,$AS236,COLUMNS($AV$9:BI235)),""))</f>
        <v/>
      </c>
      <c r="BJ236" s="1" t="str">
        <f>IF(IFERROR(INDEX($A$9:$X$304,$AS236,COLUMNS($AV$9:BJ235)),"")=0,"",IFERROR(INDEX($A$9:$X$304,$AS236,COLUMNS($AV$9:BJ235)),""))</f>
        <v>None</v>
      </c>
      <c r="BK236" s="1" t="str">
        <f>IF(IFERROR(INDEX($A$9:$X$304,$AS236,COLUMNS($AV$9:BK235)),"")=0,"",IFERROR(INDEX($A$9:$X$304,$AS236,COLUMNS($AV$9:BK235)),""))</f>
        <v>Common</v>
      </c>
      <c r="BL236" s="1" t="str">
        <f>IF(IFERROR(INDEX($A$9:$X$304,$AS236,COLUMNS($AV$9:BL235)),"")=0,"",IFERROR(INDEX($A$9:$X$304,$AS236,COLUMNS($AV$9:BL235)),""))</f>
        <v>Trevor Smith</v>
      </c>
      <c r="BM236" s="1" t="str">
        <f>IF(IFERROR(INDEX($A$9:$X$304,$AS236,COLUMNS($AV$9:BM235)),"")=0,"",IFERROR(INDEX($A$9:$X$304,$AS236,COLUMNS($AV$9:BM235)),""))</f>
        <v>Tyrants: Helion's Deceit</v>
      </c>
      <c r="BN236" s="3" t="b">
        <f>IF(IFERROR(INDEX($A$9:$X$304,$AS236,COLUMNS($AV$9:BN235)),"")=0,"",IFERROR(INDEX($A$9:$X$304,$AS236,COLUMNS($AV$9:BN235)),""))</f>
        <v>0</v>
      </c>
      <c r="BO236" s="3" t="b">
        <f>IF(IFERROR(INDEX($A$9:$X$304,$AS236,COLUMNS($AV$9:BO235)),"")=0,"",IFERROR(INDEX($A$9:$X$304,$AS236,COLUMNS($AV$9:BO235)),""))</f>
        <v>0</v>
      </c>
      <c r="BP236" s="3" t="b">
        <f>IF(IFERROR(INDEX($A$9:$X$304,$AS236,COLUMNS($AV$9:BP235)),"")=0,"",IFERROR(INDEX($A$9:$X$304,$AS236,COLUMNS($AV$9:BP235)),""))</f>
        <v>0</v>
      </c>
      <c r="BQ236" s="3" t="b">
        <f>IF(IFERROR(INDEX($A$9:$X$304,$AS236,COLUMNS($AV$9:BQ235)),"")=0,"",IFERROR(INDEX($A$9:$X$304,$AS236,COLUMNS($AV$9:BQ235)),""))</f>
        <v>0</v>
      </c>
      <c r="BR236" s="3" t="str">
        <f>IF(IFERROR(INDEX($A$9:$X$304,$AS236,COLUMNS($AV$9:BR235)),"")=0,"",IFERROR(INDEX($A$9:$X$304,$AS236,COLUMNS($AV$9:BR235)),""))</f>
        <v>http://www.epiccardgame.com/wp-content/uploads/2016/03/second_wind-214x300.jpg</v>
      </c>
      <c r="BS236" s="3" t="str">
        <f>IF(IFERROR(INDEX($A$9:$X$304,$AS236,COLUMNS($AV$9:BS235)),"")=0,"",IFERROR(INDEX($A$9:$X$304,$AS236,COLUMNS($AV$9:BS235)),""))</f>
        <v/>
      </c>
      <c r="BT236" s="3"/>
      <c r="BU236" s="15"/>
      <c r="BV236" t="s">
        <v>257</v>
      </c>
    </row>
    <row r="237" spans="1:74" ht="225.2" customHeight="1" x14ac:dyDescent="0.25">
      <c r="A237" t="s">
        <v>548</v>
      </c>
      <c r="B237">
        <v>1</v>
      </c>
      <c r="C237" t="s">
        <v>617</v>
      </c>
      <c r="E237" t="s">
        <v>619</v>
      </c>
      <c r="H237" t="s">
        <v>627</v>
      </c>
      <c r="I237" t="s">
        <v>928</v>
      </c>
      <c r="J237" t="s">
        <v>1017</v>
      </c>
      <c r="O237" t="s">
        <v>1063</v>
      </c>
      <c r="P237" t="s">
        <v>1113</v>
      </c>
      <c r="Q237" t="s">
        <v>1114</v>
      </c>
      <c r="R237" t="s">
        <v>1171</v>
      </c>
      <c r="S237" t="b">
        <v>1</v>
      </c>
      <c r="T237" t="b">
        <v>1</v>
      </c>
      <c r="U237" t="b">
        <v>0</v>
      </c>
      <c r="V237" t="b">
        <v>0</v>
      </c>
      <c r="W237" s="2" t="s">
        <v>1412</v>
      </c>
      <c r="X237" s="2"/>
      <c r="Y237" s="24">
        <v>229</v>
      </c>
      <c r="Z237">
        <f t="shared" si="60"/>
        <v>229</v>
      </c>
      <c r="AA237">
        <f t="shared" si="61"/>
        <v>229</v>
      </c>
      <c r="AB237">
        <f t="shared" si="62"/>
        <v>229</v>
      </c>
      <c r="AC237">
        <f t="shared" si="63"/>
        <v>0</v>
      </c>
      <c r="AD237">
        <f t="shared" si="64"/>
        <v>229</v>
      </c>
      <c r="AE237">
        <f t="shared" si="65"/>
        <v>0</v>
      </c>
      <c r="AF237">
        <f t="shared" si="66"/>
        <v>0</v>
      </c>
      <c r="AG237">
        <f t="shared" si="67"/>
        <v>229</v>
      </c>
      <c r="AH237">
        <f t="shared" si="68"/>
        <v>229</v>
      </c>
      <c r="AI237">
        <f t="shared" si="69"/>
        <v>229</v>
      </c>
      <c r="AJ237">
        <f t="shared" si="70"/>
        <v>0</v>
      </c>
      <c r="AK237">
        <f t="shared" si="71"/>
        <v>0</v>
      </c>
      <c r="AL237">
        <f t="shared" si="72"/>
        <v>0</v>
      </c>
      <c r="AM237">
        <f t="shared" si="73"/>
        <v>0</v>
      </c>
      <c r="AN237">
        <f t="shared" si="74"/>
        <v>229</v>
      </c>
      <c r="AO237">
        <f t="shared" si="75"/>
        <v>229</v>
      </c>
      <c r="AP237">
        <f t="shared" si="76"/>
        <v>229</v>
      </c>
      <c r="AQ237">
        <f t="shared" si="77"/>
        <v>229</v>
      </c>
      <c r="AR237" s="6">
        <f t="shared" si="78"/>
        <v>229</v>
      </c>
      <c r="AS237">
        <f t="shared" si="79"/>
        <v>229</v>
      </c>
      <c r="AV237" s="1" t="str">
        <f>IF(IFERROR(INDEX($A$9:$W$304,$AS237,COLUMNS($AV$9:AV236)),"")=0,"",IFERROR(INDEX($A$9:$W$304,$AS237,COLUMNS($AV$9:AV236)),""))</f>
        <v>Secret Legion</v>
      </c>
      <c r="AW237" s="1">
        <f>IFERROR(INDEX($A$9:$W$304,$AS237,COLUMNS($AV$9:AW236)),"")</f>
        <v>1</v>
      </c>
      <c r="AX237" s="1" t="str">
        <f>IF(IFERROR(INDEX($A$9:$X$304,$AS237,COLUMNS($AV$9:AX236)),"")=0,"",IFERROR(INDEX($A$9:$X$304,$AS237,COLUMNS($AV$9:AX236)),""))</f>
        <v>GOOD</v>
      </c>
      <c r="AY237" s="1" t="str">
        <f>IF(IFERROR(INDEX($A$9:$X$304,$AS237,COLUMNS($AV$9:AY236)),"")=0,"",IFERROR(INDEX($A$9:$X$304,$AS237,COLUMNS($AV$9:AY236)),""))</f>
        <v/>
      </c>
      <c r="AZ237" s="1" t="str">
        <f>IF(IFERROR(INDEX($A$9:$X$304,$AS237,COLUMNS($AV$9:AZ236)),"")=0,"",IFERROR(INDEX($A$9:$X$304,$AS237,COLUMNS($AV$9:AZ236)),""))</f>
        <v>EVENT</v>
      </c>
      <c r="BA237" s="1" t="str">
        <f>IF(IFERROR(INDEX($A$9:$X$304,$AS237,COLUMNS($AV$9:BA236)),"")=0,"",IFERROR(INDEX($A$9:$X$304,$AS237,COLUMNS($AV$9:BA236)),""))</f>
        <v/>
      </c>
      <c r="BB237" s="1" t="str">
        <f>IF(IFERROR(INDEX($A$9:$X$304,$AS237,COLUMNS($AV$9:BB236)),"")=0,"",IFERROR(INDEX($A$9:$X$304,$AS237,COLUMNS($AV$9:BB236)),""))</f>
        <v/>
      </c>
      <c r="BC237" s="1" t="str">
        <f>IF(IFERROR(INDEX($A$9:$X$304,$AS237,COLUMNS($AV$9:BC236)),"")=0,"",IFERROR(INDEX($A$9:$X$304,$AS237,COLUMNS($AV$9:BC236)),""))</f>
        <v>Draw two cards.</v>
      </c>
      <c r="BD237" s="1" t="str">
        <f>IF(IFERROR(INDEX($A$9:$X$304,$AS237,COLUMNS($AV$9:BD236)),"")=0,"",IFERROR(INDEX($A$9:$X$304,$AS237,COLUMNS($AV$9:BD236)),""))</f>
        <v>Put six human tokens into play.</v>
      </c>
      <c r="BE237" s="1" t="str">
        <f>IF(IFERROR(INDEX($A$9:$X$304,$AS237,COLUMNS($AV$9:BE236)),"")=0,"",IFERROR(INDEX($A$9:$X$304,$AS237,COLUMNS($AV$9:BE236)),""))</f>
        <v>Your human champions gain blitz this turn.</v>
      </c>
      <c r="BF237" s="1" t="str">
        <f>IF(IFERROR(INDEX($A$9:$X$304,$AS237,COLUMNS($AV$9:BF236)),"")=0,"",IFERROR(INDEX($A$9:$X$304,$AS237,COLUMNS($AV$9:BF236)),""))</f>
        <v/>
      </c>
      <c r="BG237" s="1" t="str">
        <f>IF(IFERROR(INDEX($A$9:$X$304,$AS237,COLUMNS($AV$9:BG236)),"")=0,"",IFERROR(INDEX($A$9:$X$304,$AS237,COLUMNS($AV$9:BG236)),""))</f>
        <v/>
      </c>
      <c r="BH237" s="1" t="str">
        <f>IF(IFERROR(INDEX($A$9:$X$304,$AS237,COLUMNS($AV$9:BH236)),"")=0,"",IFERROR(INDEX($A$9:$X$304,$AS237,COLUMNS($AV$9:BH236)),""))</f>
        <v/>
      </c>
      <c r="BI237" s="1" t="str">
        <f>IF(IFERROR(INDEX($A$9:$X$304,$AS237,COLUMNS($AV$9:BI236)),"")=0,"",IFERROR(INDEX($A$9:$X$304,$AS237,COLUMNS($AV$9:BI236)),""))</f>
        <v/>
      </c>
      <c r="BJ237" s="1" t="str">
        <f>IF(IFERROR(INDEX($A$9:$X$304,$AS237,COLUMNS($AV$9:BJ236)),"")=0,"",IFERROR(INDEX($A$9:$X$304,$AS237,COLUMNS($AV$9:BJ236)),""))</f>
        <v>HUMAN</v>
      </c>
      <c r="BK237" s="1" t="str">
        <f>IF(IFERROR(INDEX($A$9:$X$304,$AS237,COLUMNS($AV$9:BK236)),"")=0,"",IFERROR(INDEX($A$9:$X$304,$AS237,COLUMNS($AV$9:BK236)),""))</f>
        <v>Rare</v>
      </c>
      <c r="BL237" s="1" t="str">
        <f>IF(IFERROR(INDEX($A$9:$X$304,$AS237,COLUMNS($AV$9:BL236)),"")=0,"",IFERROR(INDEX($A$9:$X$304,$AS237,COLUMNS($AV$9:BL236)),""))</f>
        <v>Jaan-Paul van Eeden</v>
      </c>
      <c r="BM237" s="1" t="str">
        <f>IF(IFERROR(INDEX($A$9:$X$304,$AS237,COLUMNS($AV$9:BM236)),"")=0,"",IFERROR(INDEX($A$9:$X$304,$AS237,COLUMNS($AV$9:BM236)),""))</f>
        <v>Base Set</v>
      </c>
      <c r="BN237" s="3" t="b">
        <f>IF(IFERROR(INDEX($A$9:$X$304,$AS237,COLUMNS($AV$9:BN236)),"")=0,"",IFERROR(INDEX($A$9:$X$304,$AS237,COLUMNS($AV$9:BN236)),""))</f>
        <v>1</v>
      </c>
      <c r="BO237" s="3" t="b">
        <f>IF(IFERROR(INDEX($A$9:$X$304,$AS237,COLUMNS($AV$9:BO236)),"")=0,"",IFERROR(INDEX($A$9:$X$304,$AS237,COLUMNS($AV$9:BO236)),""))</f>
        <v>1</v>
      </c>
      <c r="BP237" s="3" t="b">
        <f>IF(IFERROR(INDEX($A$9:$X$304,$AS237,COLUMNS($AV$9:BP236)),"")=0,"",IFERROR(INDEX($A$9:$X$304,$AS237,COLUMNS($AV$9:BP236)),""))</f>
        <v>0</v>
      </c>
      <c r="BQ237" s="3" t="b">
        <f>IF(IFERROR(INDEX($A$9:$X$304,$AS237,COLUMNS($AV$9:BQ236)),"")=0,"",IFERROR(INDEX($A$9:$X$304,$AS237,COLUMNS($AV$9:BQ236)),""))</f>
        <v>0</v>
      </c>
      <c r="BR237" s="3" t="str">
        <f>IF(IFERROR(INDEX($A$9:$X$304,$AS237,COLUMNS($AV$9:BR236)),"")=0,"",IFERROR(INDEX($A$9:$X$304,$AS237,COLUMNS($AV$9:BR236)),""))</f>
        <v>http://www.epiccardgame.com/wp-content/uploads/2015/09/secret_legion-215x300.jpg</v>
      </c>
      <c r="BS237" s="3" t="str">
        <f>IF(IFERROR(INDEX($A$9:$X$304,$AS237,COLUMNS($AV$9:BS236)),"")=0,"",IFERROR(INDEX($A$9:$X$304,$AS237,COLUMNS($AV$9:BS236)),""))</f>
        <v/>
      </c>
      <c r="BT237" s="3"/>
      <c r="BU237" s="15"/>
      <c r="BV237" t="s">
        <v>258</v>
      </c>
    </row>
    <row r="238" spans="1:74" ht="225" customHeight="1" x14ac:dyDescent="0.25">
      <c r="A238" t="s">
        <v>549</v>
      </c>
      <c r="B238">
        <v>0</v>
      </c>
      <c r="C238" t="s">
        <v>616</v>
      </c>
      <c r="E238" t="s">
        <v>620</v>
      </c>
      <c r="F238">
        <v>2</v>
      </c>
      <c r="G238">
        <v>3</v>
      </c>
      <c r="H238" t="s">
        <v>734</v>
      </c>
      <c r="I238" t="s">
        <v>929</v>
      </c>
      <c r="O238" t="s">
        <v>1107</v>
      </c>
      <c r="P238" t="s">
        <v>1112</v>
      </c>
      <c r="Q238" t="s">
        <v>1148</v>
      </c>
      <c r="R238" t="s">
        <v>1178</v>
      </c>
      <c r="S238" t="b">
        <v>0</v>
      </c>
      <c r="T238" t="b">
        <v>0</v>
      </c>
      <c r="U238" t="b">
        <v>0</v>
      </c>
      <c r="V238" t="b">
        <v>0</v>
      </c>
      <c r="W238" s="2" t="s">
        <v>1413</v>
      </c>
      <c r="X238" s="2"/>
      <c r="Y238" s="24">
        <v>230</v>
      </c>
      <c r="Z238">
        <f t="shared" si="60"/>
        <v>230</v>
      </c>
      <c r="AA238">
        <f t="shared" si="61"/>
        <v>230</v>
      </c>
      <c r="AB238">
        <f t="shared" si="62"/>
        <v>230</v>
      </c>
      <c r="AC238">
        <f t="shared" si="63"/>
        <v>0</v>
      </c>
      <c r="AD238">
        <f t="shared" si="64"/>
        <v>230</v>
      </c>
      <c r="AE238">
        <f t="shared" si="65"/>
        <v>230</v>
      </c>
      <c r="AF238">
        <f t="shared" si="66"/>
        <v>230</v>
      </c>
      <c r="AG238">
        <f t="shared" si="67"/>
        <v>230</v>
      </c>
      <c r="AH238">
        <f t="shared" si="68"/>
        <v>230</v>
      </c>
      <c r="AI238">
        <f t="shared" si="69"/>
        <v>0</v>
      </c>
      <c r="AJ238">
        <f t="shared" si="70"/>
        <v>0</v>
      </c>
      <c r="AK238">
        <f t="shared" si="71"/>
        <v>0</v>
      </c>
      <c r="AL238">
        <f t="shared" si="72"/>
        <v>0</v>
      </c>
      <c r="AM238">
        <f t="shared" si="73"/>
        <v>0</v>
      </c>
      <c r="AN238">
        <f t="shared" si="74"/>
        <v>230</v>
      </c>
      <c r="AO238">
        <f t="shared" si="75"/>
        <v>230</v>
      </c>
      <c r="AP238">
        <f t="shared" si="76"/>
        <v>230</v>
      </c>
      <c r="AQ238">
        <f t="shared" si="77"/>
        <v>230</v>
      </c>
      <c r="AR238" s="6">
        <f t="shared" si="78"/>
        <v>230</v>
      </c>
      <c r="AS238">
        <f t="shared" si="79"/>
        <v>230</v>
      </c>
      <c r="AV238" s="1" t="str">
        <f>IF(IFERROR(INDEX($A$9:$W$304,$AS238,COLUMNS($AV$9:AV237)),"")=0,"",IFERROR(INDEX($A$9:$W$304,$AS238,COLUMNS($AV$9:AV237)),""))</f>
        <v>Shadow Imp</v>
      </c>
      <c r="AW238" s="1">
        <f>IFERROR(INDEX($A$9:$W$304,$AS238,COLUMNS($AV$9:AW237)),"")</f>
        <v>0</v>
      </c>
      <c r="AX238" s="1" t="str">
        <f>IF(IFERROR(INDEX($A$9:$X$304,$AS238,COLUMNS($AV$9:AX237)),"")=0,"",IFERROR(INDEX($A$9:$X$304,$AS238,COLUMNS($AV$9:AX237)),""))</f>
        <v>SAGE</v>
      </c>
      <c r="AY238" s="1" t="str">
        <f>IF(IFERROR(INDEX($A$9:$X$304,$AS238,COLUMNS($AV$9:AY237)),"")=0,"",IFERROR(INDEX($A$9:$X$304,$AS238,COLUMNS($AV$9:AY237)),""))</f>
        <v/>
      </c>
      <c r="AZ238" s="1" t="str">
        <f>IF(IFERROR(INDEX($A$9:$X$304,$AS238,COLUMNS($AV$9:AZ237)),"")=0,"",IFERROR(INDEX($A$9:$X$304,$AS238,COLUMNS($AV$9:AZ237)),""))</f>
        <v>CHAMPION</v>
      </c>
      <c r="BA238" s="1">
        <f>IF(IFERROR(INDEX($A$9:$X$304,$AS238,COLUMNS($AV$9:BA237)),"")=0,"",IFERROR(INDEX($A$9:$X$304,$AS238,COLUMNS($AV$9:BA237)),""))</f>
        <v>2</v>
      </c>
      <c r="BB238" s="1">
        <f>IF(IFERROR(INDEX($A$9:$X$304,$AS238,COLUMNS($AV$9:BB237)),"")=0,"",IFERROR(INDEX($A$9:$X$304,$AS238,COLUMNS($AV$9:BB237)),""))</f>
        <v>3</v>
      </c>
      <c r="BC238" s="1" t="str">
        <f>IF(IFERROR(INDEX($A$9:$X$304,$AS238,COLUMNS($AV$9:BC237)),"")=0,"",IFERROR(INDEX($A$9:$X$304,$AS238,COLUMNS($AV$9:BC237)),""))</f>
        <v>Ambush ◆ Blitz ◆ Unblockable</v>
      </c>
      <c r="BD238" s="1" t="str">
        <f>IF(IFERROR(INDEX($A$9:$X$304,$AS238,COLUMNS($AV$9:BD237)),"")=0,"",IFERROR(INDEX($A$9:$X$304,$AS238,COLUMNS($AV$9:BD237)),""))</f>
        <v>{sage} → You may return this card to your hand.</v>
      </c>
      <c r="BE238" s="1" t="str">
        <f>IF(IFERROR(INDEX($A$9:$X$304,$AS238,COLUMNS($AV$9:BE237)),"")=0,"",IFERROR(INDEX($A$9:$X$304,$AS238,COLUMNS($AV$9:BE237)),""))</f>
        <v/>
      </c>
      <c r="BF238" s="1" t="str">
        <f>IF(IFERROR(INDEX($A$9:$X$304,$AS238,COLUMNS($AV$9:BF237)),"")=0,"",IFERROR(INDEX($A$9:$X$304,$AS238,COLUMNS($AV$9:BF237)),""))</f>
        <v/>
      </c>
      <c r="BG238" s="1" t="str">
        <f>IF(IFERROR(INDEX($A$9:$X$304,$AS238,COLUMNS($AV$9:BG237)),"")=0,"",IFERROR(INDEX($A$9:$X$304,$AS238,COLUMNS($AV$9:BG237)),""))</f>
        <v/>
      </c>
      <c r="BH238" s="1" t="str">
        <f>IF(IFERROR(INDEX($A$9:$X$304,$AS238,COLUMNS($AV$9:BH237)),"")=0,"",IFERROR(INDEX($A$9:$X$304,$AS238,COLUMNS($AV$9:BH237)),""))</f>
        <v/>
      </c>
      <c r="BI238" s="1" t="str">
        <f>IF(IFERROR(INDEX($A$9:$X$304,$AS238,COLUMNS($AV$9:BI237)),"")=0,"",IFERROR(INDEX($A$9:$X$304,$AS238,COLUMNS($AV$9:BI237)),""))</f>
        <v/>
      </c>
      <c r="BJ238" s="1" t="str">
        <f>IF(IFERROR(INDEX($A$9:$X$304,$AS238,COLUMNS($AV$9:BJ237)),"")=0,"",IFERROR(INDEX($A$9:$X$304,$AS238,COLUMNS($AV$9:BJ237)),""))</f>
        <v>IMP</v>
      </c>
      <c r="BK238" s="1" t="str">
        <f>IF(IFERROR(INDEX($A$9:$X$304,$AS238,COLUMNS($AV$9:BK237)),"")=0,"",IFERROR(INDEX($A$9:$X$304,$AS238,COLUMNS($AV$9:BK237)),""))</f>
        <v>Common</v>
      </c>
      <c r="BL238" s="1" t="str">
        <f>IF(IFERROR(INDEX($A$9:$X$304,$AS238,COLUMNS($AV$9:BL237)),"")=0,"",IFERROR(INDEX($A$9:$X$304,$AS238,COLUMNS($AV$9:BL237)),""))</f>
        <v>Dylan Safford</v>
      </c>
      <c r="BM238" s="1" t="str">
        <f>IF(IFERROR(INDEX($A$9:$X$304,$AS238,COLUMNS($AV$9:BM237)),"")=0,"",IFERROR(INDEX($A$9:$X$304,$AS238,COLUMNS($AV$9:BM237)),""))</f>
        <v>Tyrants: Draka's Rage</v>
      </c>
      <c r="BN238" s="3" t="b">
        <f>IF(IFERROR(INDEX($A$9:$X$304,$AS238,COLUMNS($AV$9:BN237)),"")=0,"",IFERROR(INDEX($A$9:$X$304,$AS238,COLUMNS($AV$9:BN237)),""))</f>
        <v>0</v>
      </c>
      <c r="BO238" s="3" t="b">
        <f>IF(IFERROR(INDEX($A$9:$X$304,$AS238,COLUMNS($AV$9:BO237)),"")=0,"",IFERROR(INDEX($A$9:$X$304,$AS238,COLUMNS($AV$9:BO237)),""))</f>
        <v>0</v>
      </c>
      <c r="BP238" s="3" t="b">
        <f>IF(IFERROR(INDEX($A$9:$X$304,$AS238,COLUMNS($AV$9:BP237)),"")=0,"",IFERROR(INDEX($A$9:$X$304,$AS238,COLUMNS($AV$9:BP237)),""))</f>
        <v>0</v>
      </c>
      <c r="BQ238" s="3" t="b">
        <f>IF(IFERROR(INDEX($A$9:$X$304,$AS238,COLUMNS($AV$9:BQ237)),"")=0,"",IFERROR(INDEX($A$9:$X$304,$AS238,COLUMNS($AV$9:BQ237)),""))</f>
        <v>0</v>
      </c>
      <c r="BR238" s="3" t="str">
        <f>IF(IFERROR(INDEX($A$9:$X$304,$AS238,COLUMNS($AV$9:BR237)),"")=0,"",IFERROR(INDEX($A$9:$X$304,$AS238,COLUMNS($AV$9:BR237)),""))</f>
        <v>http://www.epiccardgame.com/wp-content/uploads/2016/03/shadow_imp-214x300.jpg</v>
      </c>
      <c r="BS238" s="3" t="str">
        <f>IF(IFERROR(INDEX($A$9:$X$304,$AS238,COLUMNS($AV$9:BS237)),"")=0,"",IFERROR(INDEX($A$9:$X$304,$AS238,COLUMNS($AV$9:BS237)),""))</f>
        <v/>
      </c>
      <c r="BT238" s="3"/>
      <c r="BU238" s="15"/>
      <c r="BV238" t="s">
        <v>259</v>
      </c>
    </row>
    <row r="239" spans="1:74" ht="225.2" customHeight="1" x14ac:dyDescent="0.25">
      <c r="A239" t="s">
        <v>550</v>
      </c>
      <c r="B239">
        <v>1</v>
      </c>
      <c r="C239" t="s">
        <v>617</v>
      </c>
      <c r="E239" t="s">
        <v>620</v>
      </c>
      <c r="F239">
        <v>9</v>
      </c>
      <c r="G239">
        <v>8</v>
      </c>
      <c r="H239" t="s">
        <v>25</v>
      </c>
      <c r="I239" t="s">
        <v>930</v>
      </c>
      <c r="O239" t="s">
        <v>1069</v>
      </c>
      <c r="P239" t="s">
        <v>1112</v>
      </c>
      <c r="Q239" t="s">
        <v>1130</v>
      </c>
      <c r="R239" t="s">
        <v>1180</v>
      </c>
      <c r="S239" t="b">
        <v>1</v>
      </c>
      <c r="T239" t="b">
        <v>0</v>
      </c>
      <c r="U239" t="b">
        <v>0</v>
      </c>
      <c r="V239" t="b">
        <v>0</v>
      </c>
      <c r="W239" s="2" t="s">
        <v>1414</v>
      </c>
      <c r="X239" s="2"/>
      <c r="Y239" s="24">
        <v>231</v>
      </c>
      <c r="Z239">
        <f t="shared" si="60"/>
        <v>231</v>
      </c>
      <c r="AA239">
        <f t="shared" si="61"/>
        <v>231</v>
      </c>
      <c r="AB239">
        <f t="shared" si="62"/>
        <v>231</v>
      </c>
      <c r="AC239">
        <f t="shared" si="63"/>
        <v>0</v>
      </c>
      <c r="AD239">
        <f t="shared" si="64"/>
        <v>231</v>
      </c>
      <c r="AE239">
        <f t="shared" si="65"/>
        <v>231</v>
      </c>
      <c r="AF239">
        <f t="shared" si="66"/>
        <v>231</v>
      </c>
      <c r="AG239">
        <f t="shared" si="67"/>
        <v>231</v>
      </c>
      <c r="AH239">
        <f t="shared" si="68"/>
        <v>231</v>
      </c>
      <c r="AI239">
        <f t="shared" si="69"/>
        <v>0</v>
      </c>
      <c r="AJ239">
        <f t="shared" si="70"/>
        <v>0</v>
      </c>
      <c r="AK239">
        <f t="shared" si="71"/>
        <v>0</v>
      </c>
      <c r="AL239">
        <f t="shared" si="72"/>
        <v>0</v>
      </c>
      <c r="AM239">
        <f t="shared" si="73"/>
        <v>0</v>
      </c>
      <c r="AN239">
        <f t="shared" si="74"/>
        <v>231</v>
      </c>
      <c r="AO239">
        <f t="shared" si="75"/>
        <v>231</v>
      </c>
      <c r="AP239">
        <f t="shared" si="76"/>
        <v>231</v>
      </c>
      <c r="AQ239">
        <f t="shared" si="77"/>
        <v>231</v>
      </c>
      <c r="AR239" s="6">
        <f t="shared" si="78"/>
        <v>231</v>
      </c>
      <c r="AS239">
        <f t="shared" si="79"/>
        <v>231</v>
      </c>
      <c r="AV239" s="1" t="str">
        <f>IF(IFERROR(INDEX($A$9:$W$304,$AS239,COLUMNS($AV$9:AV238)),"")=0,"",IFERROR(INDEX($A$9:$W$304,$AS239,COLUMNS($AV$9:AV238)),""))</f>
        <v>Silver Dragon</v>
      </c>
      <c r="AW239" s="1">
        <f>IFERROR(INDEX($A$9:$W$304,$AS239,COLUMNS($AV$9:AW238)),"")</f>
        <v>1</v>
      </c>
      <c r="AX239" s="1" t="str">
        <f>IF(IFERROR(INDEX($A$9:$X$304,$AS239,COLUMNS($AV$9:AX238)),"")=0,"",IFERROR(INDEX($A$9:$X$304,$AS239,COLUMNS($AV$9:AX238)),""))</f>
        <v>GOOD</v>
      </c>
      <c r="AY239" s="1" t="str">
        <f>IF(IFERROR(INDEX($A$9:$X$304,$AS239,COLUMNS($AV$9:AY238)),"")=0,"",IFERROR(INDEX($A$9:$X$304,$AS239,COLUMNS($AV$9:AY238)),""))</f>
        <v/>
      </c>
      <c r="AZ239" s="1" t="str">
        <f>IF(IFERROR(INDEX($A$9:$X$304,$AS239,COLUMNS($AV$9:AZ238)),"")=0,"",IFERROR(INDEX($A$9:$X$304,$AS239,COLUMNS($AV$9:AZ238)),""))</f>
        <v>CHAMPION</v>
      </c>
      <c r="BA239" s="1">
        <f>IF(IFERROR(INDEX($A$9:$X$304,$AS239,COLUMNS($AV$9:BA238)),"")=0,"",IFERROR(INDEX($A$9:$X$304,$AS239,COLUMNS($AV$9:BA238)),""))</f>
        <v>9</v>
      </c>
      <c r="BB239" s="1">
        <f>IF(IFERROR(INDEX($A$9:$X$304,$AS239,COLUMNS($AV$9:BB238)),"")=0,"",IFERROR(INDEX($A$9:$X$304,$AS239,COLUMNS($AV$9:BB238)),""))</f>
        <v>8</v>
      </c>
      <c r="BC239" s="1" t="str">
        <f>IF(IFERROR(INDEX($A$9:$X$304,$AS239,COLUMNS($AV$9:BC238)),"")=0,"",IFERROR(INDEX($A$9:$X$304,$AS239,COLUMNS($AV$9:BC238)),""))</f>
        <v>Airborne</v>
      </c>
      <c r="BD239" s="1" t="str">
        <f>IF(IFERROR(INDEX($A$9:$X$304,$AS239,COLUMNS($AV$9:BD238)),"")=0,"",IFERROR(INDEX($A$9:$X$304,$AS239,COLUMNS($AV$9:BD238)),""))</f>
        <v>Tribute → Draw a card. You may banish up to three target token champions.</v>
      </c>
      <c r="BE239" s="1" t="str">
        <f>IF(IFERROR(INDEX($A$9:$X$304,$AS239,COLUMNS($AV$9:BE238)),"")=0,"",IFERROR(INDEX($A$9:$X$304,$AS239,COLUMNS($AV$9:BE238)),""))</f>
        <v/>
      </c>
      <c r="BF239" s="1" t="str">
        <f>IF(IFERROR(INDEX($A$9:$X$304,$AS239,COLUMNS($AV$9:BF238)),"")=0,"",IFERROR(INDEX($A$9:$X$304,$AS239,COLUMNS($AV$9:BF238)),""))</f>
        <v/>
      </c>
      <c r="BG239" s="1" t="str">
        <f>IF(IFERROR(INDEX($A$9:$X$304,$AS239,COLUMNS($AV$9:BG238)),"")=0,"",IFERROR(INDEX($A$9:$X$304,$AS239,COLUMNS($AV$9:BG238)),""))</f>
        <v/>
      </c>
      <c r="BH239" s="1" t="str">
        <f>IF(IFERROR(INDEX($A$9:$X$304,$AS239,COLUMNS($AV$9:BH238)),"")=0,"",IFERROR(INDEX($A$9:$X$304,$AS239,COLUMNS($AV$9:BH238)),""))</f>
        <v/>
      </c>
      <c r="BI239" s="1" t="str">
        <f>IF(IFERROR(INDEX($A$9:$X$304,$AS239,COLUMNS($AV$9:BI238)),"")=0,"",IFERROR(INDEX($A$9:$X$304,$AS239,COLUMNS($AV$9:BI238)),""))</f>
        <v/>
      </c>
      <c r="BJ239" s="1" t="str">
        <f>IF(IFERROR(INDEX($A$9:$X$304,$AS239,COLUMNS($AV$9:BJ238)),"")=0,"",IFERROR(INDEX($A$9:$X$304,$AS239,COLUMNS($AV$9:BJ238)),""))</f>
        <v>DRAGON</v>
      </c>
      <c r="BK239" s="1" t="str">
        <f>IF(IFERROR(INDEX($A$9:$X$304,$AS239,COLUMNS($AV$9:BK238)),"")=0,"",IFERROR(INDEX($A$9:$X$304,$AS239,COLUMNS($AV$9:BK238)),""))</f>
        <v>Common</v>
      </c>
      <c r="BL239" s="1" t="str">
        <f>IF(IFERROR(INDEX($A$9:$X$304,$AS239,COLUMNS($AV$9:BL238)),"")=0,"",IFERROR(INDEX($A$9:$X$304,$AS239,COLUMNS($AV$9:BL238)),""))</f>
        <v>Hinkle/Silva Art</v>
      </c>
      <c r="BM239" s="1" t="str">
        <f>IF(IFERROR(INDEX($A$9:$X$304,$AS239,COLUMNS($AV$9:BM238)),"")=0,"",IFERROR(INDEX($A$9:$X$304,$AS239,COLUMNS($AV$9:BM238)),""))</f>
        <v>Uprising: Flames of Scarros</v>
      </c>
      <c r="BN239" s="3" t="b">
        <f>IF(IFERROR(INDEX($A$9:$X$304,$AS239,COLUMNS($AV$9:BN238)),"")=0,"",IFERROR(INDEX($A$9:$X$304,$AS239,COLUMNS($AV$9:BN238)),""))</f>
        <v>1</v>
      </c>
      <c r="BO239" s="3" t="b">
        <f>IF(IFERROR(INDEX($A$9:$X$304,$AS239,COLUMNS($AV$9:BO238)),"")=0,"",IFERROR(INDEX($A$9:$X$304,$AS239,COLUMNS($AV$9:BO238)),""))</f>
        <v>0</v>
      </c>
      <c r="BP239" s="3" t="b">
        <f>IF(IFERROR(INDEX($A$9:$X$304,$AS239,COLUMNS($AV$9:BP238)),"")=0,"",IFERROR(INDEX($A$9:$X$304,$AS239,COLUMNS($AV$9:BP238)),""))</f>
        <v>0</v>
      </c>
      <c r="BQ239" s="3" t="b">
        <f>IF(IFERROR(INDEX($A$9:$X$304,$AS239,COLUMNS($AV$9:BQ238)),"")=0,"",IFERROR(INDEX($A$9:$X$304,$AS239,COLUMNS($AV$9:BQ238)),""))</f>
        <v>0</v>
      </c>
      <c r="BR239" s="3" t="str">
        <f>IF(IFERROR(INDEX($A$9:$X$304,$AS239,COLUMNS($AV$9:BR238)),"")=0,"",IFERROR(INDEX($A$9:$X$304,$AS239,COLUMNS($AV$9:BR238)),""))</f>
        <v>https://www.epiccardgame.com/wp-content/uploads/2017/11/UPS-EN-silver-dragon.jpg</v>
      </c>
      <c r="BS239" s="3" t="str">
        <f>IF(IFERROR(INDEX($A$9:$X$304,$AS239,COLUMNS($AV$9:BS238)),"")=0,"",IFERROR(INDEX($A$9:$X$304,$AS239,COLUMNS($AV$9:BS238)),""))</f>
        <v/>
      </c>
      <c r="BT239" s="3"/>
      <c r="BU239" s="15"/>
      <c r="BV239" t="s">
        <v>260</v>
      </c>
    </row>
    <row r="240" spans="1:74" ht="225.2" customHeight="1" x14ac:dyDescent="0.25">
      <c r="A240" t="s">
        <v>551</v>
      </c>
      <c r="B240">
        <v>1</v>
      </c>
      <c r="C240" t="s">
        <v>617</v>
      </c>
      <c r="E240" t="s">
        <v>620</v>
      </c>
      <c r="F240">
        <v>6</v>
      </c>
      <c r="G240">
        <v>6</v>
      </c>
      <c r="H240" t="s">
        <v>735</v>
      </c>
      <c r="I240" t="s">
        <v>715</v>
      </c>
      <c r="J240" t="s">
        <v>1018</v>
      </c>
      <c r="O240" t="s">
        <v>1064</v>
      </c>
      <c r="P240" t="s">
        <v>1112</v>
      </c>
      <c r="Q240" t="s">
        <v>1145</v>
      </c>
      <c r="R240" t="s">
        <v>1173</v>
      </c>
      <c r="S240" t="b">
        <v>1</v>
      </c>
      <c r="T240" t="b">
        <v>0</v>
      </c>
      <c r="U240" t="b">
        <v>0</v>
      </c>
      <c r="V240" t="b">
        <v>0</v>
      </c>
      <c r="W240" s="2" t="s">
        <v>1415</v>
      </c>
      <c r="X240" s="2"/>
      <c r="Y240" s="24">
        <v>232</v>
      </c>
      <c r="Z240">
        <f t="shared" si="60"/>
        <v>232</v>
      </c>
      <c r="AA240">
        <f t="shared" si="61"/>
        <v>232</v>
      </c>
      <c r="AB240">
        <f t="shared" si="62"/>
        <v>232</v>
      </c>
      <c r="AC240">
        <f t="shared" si="63"/>
        <v>0</v>
      </c>
      <c r="AD240">
        <f t="shared" si="64"/>
        <v>232</v>
      </c>
      <c r="AE240">
        <f t="shared" si="65"/>
        <v>232</v>
      </c>
      <c r="AF240">
        <f t="shared" si="66"/>
        <v>232</v>
      </c>
      <c r="AG240">
        <f t="shared" si="67"/>
        <v>232</v>
      </c>
      <c r="AH240">
        <f t="shared" si="68"/>
        <v>232</v>
      </c>
      <c r="AI240">
        <f t="shared" si="69"/>
        <v>232</v>
      </c>
      <c r="AJ240">
        <f t="shared" si="70"/>
        <v>0</v>
      </c>
      <c r="AK240">
        <f t="shared" si="71"/>
        <v>0</v>
      </c>
      <c r="AL240">
        <f t="shared" si="72"/>
        <v>0</v>
      </c>
      <c r="AM240">
        <f t="shared" si="73"/>
        <v>0</v>
      </c>
      <c r="AN240">
        <f t="shared" si="74"/>
        <v>232</v>
      </c>
      <c r="AO240">
        <f t="shared" si="75"/>
        <v>232</v>
      </c>
      <c r="AP240">
        <f t="shared" si="76"/>
        <v>232</v>
      </c>
      <c r="AQ240">
        <f t="shared" si="77"/>
        <v>232</v>
      </c>
      <c r="AR240" s="6">
        <f t="shared" si="78"/>
        <v>232</v>
      </c>
      <c r="AS240">
        <f t="shared" si="79"/>
        <v>232</v>
      </c>
      <c r="AV240" s="1" t="str">
        <f>IF(IFERROR(INDEX($A$9:$W$304,$AS240,COLUMNS($AV$9:AV239)),"")=0,"",IFERROR(INDEX($A$9:$W$304,$AS240,COLUMNS($AV$9:AV239)),""))</f>
        <v>Silver Wing Guardian</v>
      </c>
      <c r="AW240" s="1">
        <f>IFERROR(INDEX($A$9:$W$304,$AS240,COLUMNS($AV$9:AW239)),"")</f>
        <v>1</v>
      </c>
      <c r="AX240" s="1" t="str">
        <f>IF(IFERROR(INDEX($A$9:$X$304,$AS240,COLUMNS($AV$9:AX239)),"")=0,"",IFERROR(INDEX($A$9:$X$304,$AS240,COLUMNS($AV$9:AX239)),""))</f>
        <v>GOOD</v>
      </c>
      <c r="AY240" s="1" t="str">
        <f>IF(IFERROR(INDEX($A$9:$X$304,$AS240,COLUMNS($AV$9:AY239)),"")=0,"",IFERROR(INDEX($A$9:$X$304,$AS240,COLUMNS($AV$9:AY239)),""))</f>
        <v/>
      </c>
      <c r="AZ240" s="1" t="str">
        <f>IF(IFERROR(INDEX($A$9:$X$304,$AS240,COLUMNS($AV$9:AZ239)),"")=0,"",IFERROR(INDEX($A$9:$X$304,$AS240,COLUMNS($AV$9:AZ239)),""))</f>
        <v>CHAMPION</v>
      </c>
      <c r="BA240" s="1">
        <f>IF(IFERROR(INDEX($A$9:$X$304,$AS240,COLUMNS($AV$9:BA239)),"")=0,"",IFERROR(INDEX($A$9:$X$304,$AS240,COLUMNS($AV$9:BA239)),""))</f>
        <v>6</v>
      </c>
      <c r="BB240" s="1">
        <f>IF(IFERROR(INDEX($A$9:$X$304,$AS240,COLUMNS($AV$9:BB239)),"")=0,"",IFERROR(INDEX($A$9:$X$304,$AS240,COLUMNS($AV$9:BB239)),""))</f>
        <v>6</v>
      </c>
      <c r="BC240" s="1" t="str">
        <f>IF(IFERROR(INDEX($A$9:$X$304,$AS240,COLUMNS($AV$9:BC239)),"")=0,"",IFERROR(INDEX($A$9:$X$304,$AS240,COLUMNS($AV$9:BC239)),""))</f>
        <v>Airborne ◆ Ambush ◆ Righteous</v>
      </c>
      <c r="BD240" s="1" t="str">
        <f>IF(IFERROR(INDEX($A$9:$X$304,$AS240,COLUMNS($AV$9:BD239)),"")=0,"",IFERROR(INDEX($A$9:$X$304,$AS240,COLUMNS($AV$9:BD239)),""))</f>
        <v>Tribute → Gain 4 health.</v>
      </c>
      <c r="BE240" s="1" t="str">
        <f>IF(IFERROR(INDEX($A$9:$X$304,$AS240,COLUMNS($AV$9:BE239)),"")=0,"",IFERROR(INDEX($A$9:$X$304,$AS240,COLUMNS($AV$9:BE239)),""))</f>
        <v>Those who serve Angeline also serve those under her protection.</v>
      </c>
      <c r="BF240" s="1" t="str">
        <f>IF(IFERROR(INDEX($A$9:$X$304,$AS240,COLUMNS($AV$9:BF239)),"")=0,"",IFERROR(INDEX($A$9:$X$304,$AS240,COLUMNS($AV$9:BF239)),""))</f>
        <v/>
      </c>
      <c r="BG240" s="1" t="str">
        <f>IF(IFERROR(INDEX($A$9:$X$304,$AS240,COLUMNS($AV$9:BG239)),"")=0,"",IFERROR(INDEX($A$9:$X$304,$AS240,COLUMNS($AV$9:BG239)),""))</f>
        <v/>
      </c>
      <c r="BH240" s="1" t="str">
        <f>IF(IFERROR(INDEX($A$9:$X$304,$AS240,COLUMNS($AV$9:BH239)),"")=0,"",IFERROR(INDEX($A$9:$X$304,$AS240,COLUMNS($AV$9:BH239)),""))</f>
        <v/>
      </c>
      <c r="BI240" s="1" t="str">
        <f>IF(IFERROR(INDEX($A$9:$X$304,$AS240,COLUMNS($AV$9:BI239)),"")=0,"",IFERROR(INDEX($A$9:$X$304,$AS240,COLUMNS($AV$9:BI239)),""))</f>
        <v/>
      </c>
      <c r="BJ240" s="1" t="str">
        <f>IF(IFERROR(INDEX($A$9:$X$304,$AS240,COLUMNS($AV$9:BJ239)),"")=0,"",IFERROR(INDEX($A$9:$X$304,$AS240,COLUMNS($AV$9:BJ239)),""))</f>
        <v>ANGEL</v>
      </c>
      <c r="BK240" s="1" t="str">
        <f>IF(IFERROR(INDEX($A$9:$X$304,$AS240,COLUMNS($AV$9:BK239)),"")=0,"",IFERROR(INDEX($A$9:$X$304,$AS240,COLUMNS($AV$9:BK239)),""))</f>
        <v>Common</v>
      </c>
      <c r="BL240" s="1" t="str">
        <f>IF(IFERROR(INDEX($A$9:$X$304,$AS240,COLUMNS($AV$9:BL239)),"")=0,"",IFERROR(INDEX($A$9:$X$304,$AS240,COLUMNS($AV$9:BL239)),""))</f>
        <v>Agri Karuniawan</v>
      </c>
      <c r="BM240" s="1" t="str">
        <f>IF(IFERROR(INDEX($A$9:$X$304,$AS240,COLUMNS($AV$9:BM239)),"")=0,"",IFERROR(INDEX($A$9:$X$304,$AS240,COLUMNS($AV$9:BM239)),""))</f>
        <v>Pantheon: Angeline vs Scara</v>
      </c>
      <c r="BN240" s="3" t="b">
        <f>IF(IFERROR(INDEX($A$9:$X$304,$AS240,COLUMNS($AV$9:BN239)),"")=0,"",IFERROR(INDEX($A$9:$X$304,$AS240,COLUMNS($AV$9:BN239)),""))</f>
        <v>1</v>
      </c>
      <c r="BO240" s="3" t="b">
        <f>IF(IFERROR(INDEX($A$9:$X$304,$AS240,COLUMNS($AV$9:BO239)),"")=0,"",IFERROR(INDEX($A$9:$X$304,$AS240,COLUMNS($AV$9:BO239)),""))</f>
        <v>0</v>
      </c>
      <c r="BP240" s="3" t="b">
        <f>IF(IFERROR(INDEX($A$9:$X$304,$AS240,COLUMNS($AV$9:BP239)),"")=0,"",IFERROR(INDEX($A$9:$X$304,$AS240,COLUMNS($AV$9:BP239)),""))</f>
        <v>0</v>
      </c>
      <c r="BQ240" s="3" t="b">
        <f>IF(IFERROR(INDEX($A$9:$X$304,$AS240,COLUMNS($AV$9:BQ239)),"")=0,"",IFERROR(INDEX($A$9:$X$304,$AS240,COLUMNS($AV$9:BQ239)),""))</f>
        <v>0</v>
      </c>
      <c r="BR240" s="3" t="str">
        <f>IF(IFERROR(INDEX($A$9:$X$304,$AS240,COLUMNS($AV$9:BR239)),"")=0,"",IFERROR(INDEX($A$9:$X$304,$AS240,COLUMNS($AV$9:BR239)),""))</f>
        <v>https://www.epiccardgame.com/wp-content/uploads/2017/11/PNA-EN-04-silver-wing-guardian.jpg</v>
      </c>
      <c r="BS240" s="3" t="str">
        <f>IF(IFERROR(INDEX($A$9:$X$304,$AS240,COLUMNS($AV$9:BS239)),"")=0,"",IFERROR(INDEX($A$9:$X$304,$AS240,COLUMNS($AV$9:BS239)),""))</f>
        <v/>
      </c>
      <c r="BT240" s="3"/>
      <c r="BU240" s="15"/>
      <c r="BV240" t="s">
        <v>261</v>
      </c>
    </row>
    <row r="241" spans="1:74" ht="225.2" customHeight="1" x14ac:dyDescent="0.25">
      <c r="A241" t="s">
        <v>552</v>
      </c>
      <c r="B241">
        <v>1</v>
      </c>
      <c r="C241" t="s">
        <v>617</v>
      </c>
      <c r="E241" t="s">
        <v>620</v>
      </c>
      <c r="F241">
        <v>10</v>
      </c>
      <c r="G241">
        <v>8</v>
      </c>
      <c r="H241" t="s">
        <v>708</v>
      </c>
      <c r="I241" t="s">
        <v>931</v>
      </c>
      <c r="O241" t="s">
        <v>1097</v>
      </c>
      <c r="P241" t="s">
        <v>1113</v>
      </c>
      <c r="Q241" t="s">
        <v>1139</v>
      </c>
      <c r="R241" t="s">
        <v>1173</v>
      </c>
      <c r="S241" t="b">
        <v>1</v>
      </c>
      <c r="T241" t="b">
        <v>0</v>
      </c>
      <c r="U241" t="b">
        <v>0</v>
      </c>
      <c r="V241" t="b">
        <v>0</v>
      </c>
      <c r="W241" s="2" t="s">
        <v>1416</v>
      </c>
      <c r="X241" s="2"/>
      <c r="Y241" s="24">
        <v>233</v>
      </c>
      <c r="Z241">
        <f t="shared" si="60"/>
        <v>233</v>
      </c>
      <c r="AA241">
        <f t="shared" si="61"/>
        <v>233</v>
      </c>
      <c r="AB241">
        <f t="shared" si="62"/>
        <v>233</v>
      </c>
      <c r="AC241">
        <f t="shared" si="63"/>
        <v>0</v>
      </c>
      <c r="AD241">
        <f t="shared" si="64"/>
        <v>233</v>
      </c>
      <c r="AE241">
        <f t="shared" si="65"/>
        <v>233</v>
      </c>
      <c r="AF241">
        <f t="shared" si="66"/>
        <v>233</v>
      </c>
      <c r="AG241">
        <f t="shared" si="67"/>
        <v>233</v>
      </c>
      <c r="AH241">
        <f t="shared" si="68"/>
        <v>233</v>
      </c>
      <c r="AI241">
        <f t="shared" si="69"/>
        <v>0</v>
      </c>
      <c r="AJ241">
        <f t="shared" si="70"/>
        <v>0</v>
      </c>
      <c r="AK241">
        <f t="shared" si="71"/>
        <v>0</v>
      </c>
      <c r="AL241">
        <f t="shared" si="72"/>
        <v>0</v>
      </c>
      <c r="AM241">
        <f t="shared" si="73"/>
        <v>0</v>
      </c>
      <c r="AN241">
        <f t="shared" si="74"/>
        <v>233</v>
      </c>
      <c r="AO241">
        <f t="shared" si="75"/>
        <v>233</v>
      </c>
      <c r="AP241">
        <f t="shared" si="76"/>
        <v>233</v>
      </c>
      <c r="AQ241">
        <f t="shared" si="77"/>
        <v>233</v>
      </c>
      <c r="AR241" s="6">
        <f t="shared" si="78"/>
        <v>233</v>
      </c>
      <c r="AS241">
        <f t="shared" si="79"/>
        <v>233</v>
      </c>
      <c r="AV241" s="1" t="str">
        <f>IF(IFERROR(INDEX($A$9:$W$304,$AS241,COLUMNS($AV$9:AV240)),"")=0,"",IFERROR(INDEX($A$9:$W$304,$AS241,COLUMNS($AV$9:AV240)),""))</f>
        <v>Silver Wing Lancer</v>
      </c>
      <c r="AW241" s="1">
        <f>IFERROR(INDEX($A$9:$W$304,$AS241,COLUMNS($AV$9:AW240)),"")</f>
        <v>1</v>
      </c>
      <c r="AX241" s="1" t="str">
        <f>IF(IFERROR(INDEX($A$9:$X$304,$AS241,COLUMNS($AV$9:AX240)),"")=0,"",IFERROR(INDEX($A$9:$X$304,$AS241,COLUMNS($AV$9:AX240)),""))</f>
        <v>GOOD</v>
      </c>
      <c r="AY241" s="1" t="str">
        <f>IF(IFERROR(INDEX($A$9:$X$304,$AS241,COLUMNS($AV$9:AY240)),"")=0,"",IFERROR(INDEX($A$9:$X$304,$AS241,COLUMNS($AV$9:AY240)),""))</f>
        <v/>
      </c>
      <c r="AZ241" s="1" t="str">
        <f>IF(IFERROR(INDEX($A$9:$X$304,$AS241,COLUMNS($AV$9:AZ240)),"")=0,"",IFERROR(INDEX($A$9:$X$304,$AS241,COLUMNS($AV$9:AZ240)),""))</f>
        <v>CHAMPION</v>
      </c>
      <c r="BA241" s="1">
        <f>IF(IFERROR(INDEX($A$9:$X$304,$AS241,COLUMNS($AV$9:BA240)),"")=0,"",IFERROR(INDEX($A$9:$X$304,$AS241,COLUMNS($AV$9:BA240)),""))</f>
        <v>10</v>
      </c>
      <c r="BB241" s="1">
        <f>IF(IFERROR(INDEX($A$9:$X$304,$AS241,COLUMNS($AV$9:BB240)),"")=0,"",IFERROR(INDEX($A$9:$X$304,$AS241,COLUMNS($AV$9:BB240)),""))</f>
        <v>8</v>
      </c>
      <c r="BC241" s="1" t="str">
        <f>IF(IFERROR(INDEX($A$9:$X$304,$AS241,COLUMNS($AV$9:BC240)),"")=0,"",IFERROR(INDEX($A$9:$X$304,$AS241,COLUMNS($AV$9:BC240)),""))</f>
        <v>Blitz ◆ Unbanishable</v>
      </c>
      <c r="BD241" s="1" t="str">
        <f>IF(IFERROR(INDEX($A$9:$X$304,$AS241,COLUMNS($AV$9:BD240)),"")=0,"",IFERROR(INDEX($A$9:$X$304,$AS241,COLUMNS($AV$9:BD240)),""))</f>
        <v>Unblockable by champions with {offense} less than this card’s {offense}.</v>
      </c>
      <c r="BE241" s="1" t="str">
        <f>IF(IFERROR(INDEX($A$9:$X$304,$AS241,COLUMNS($AV$9:BE240)),"")=0,"",IFERROR(INDEX($A$9:$X$304,$AS241,COLUMNS($AV$9:BE240)),""))</f>
        <v/>
      </c>
      <c r="BF241" s="1" t="str">
        <f>IF(IFERROR(INDEX($A$9:$X$304,$AS241,COLUMNS($AV$9:BF240)),"")=0,"",IFERROR(INDEX($A$9:$X$304,$AS241,COLUMNS($AV$9:BF240)),""))</f>
        <v/>
      </c>
      <c r="BG241" s="1" t="str">
        <f>IF(IFERROR(INDEX($A$9:$X$304,$AS241,COLUMNS($AV$9:BG240)),"")=0,"",IFERROR(INDEX($A$9:$X$304,$AS241,COLUMNS($AV$9:BG240)),""))</f>
        <v/>
      </c>
      <c r="BH241" s="1" t="str">
        <f>IF(IFERROR(INDEX($A$9:$X$304,$AS241,COLUMNS($AV$9:BH240)),"")=0,"",IFERROR(INDEX($A$9:$X$304,$AS241,COLUMNS($AV$9:BH240)),""))</f>
        <v/>
      </c>
      <c r="BI241" s="1" t="str">
        <f>IF(IFERROR(INDEX($A$9:$X$304,$AS241,COLUMNS($AV$9:BI240)),"")=0,"",IFERROR(INDEX($A$9:$X$304,$AS241,COLUMNS($AV$9:BI240)),""))</f>
        <v/>
      </c>
      <c r="BJ241" s="1" t="str">
        <f>IF(IFERROR(INDEX($A$9:$X$304,$AS241,COLUMNS($AV$9:BJ240)),"")=0,"",IFERROR(INDEX($A$9:$X$304,$AS241,COLUMNS($AV$9:BJ240)),""))</f>
        <v>HUMAN KNIGHT</v>
      </c>
      <c r="BK241" s="1" t="str">
        <f>IF(IFERROR(INDEX($A$9:$X$304,$AS241,COLUMNS($AV$9:BK240)),"")=0,"",IFERROR(INDEX($A$9:$X$304,$AS241,COLUMNS($AV$9:BK240)),""))</f>
        <v>Rare</v>
      </c>
      <c r="BL241" s="1" t="str">
        <f>IF(IFERROR(INDEX($A$9:$X$304,$AS241,COLUMNS($AV$9:BL240)),"")=0,"",IFERROR(INDEX($A$9:$X$304,$AS241,COLUMNS($AV$9:BL240)),""))</f>
        <v>Bramasta Aji</v>
      </c>
      <c r="BM241" s="1" t="str">
        <f>IF(IFERROR(INDEX($A$9:$X$304,$AS241,COLUMNS($AV$9:BM240)),"")=0,"",IFERROR(INDEX($A$9:$X$304,$AS241,COLUMNS($AV$9:BM240)),""))</f>
        <v>Pantheon: Angeline vs Scara</v>
      </c>
      <c r="BN241" s="3" t="b">
        <f>IF(IFERROR(INDEX($A$9:$X$304,$AS241,COLUMNS($AV$9:BN240)),"")=0,"",IFERROR(INDEX($A$9:$X$304,$AS241,COLUMNS($AV$9:BN240)),""))</f>
        <v>1</v>
      </c>
      <c r="BO241" s="3" t="b">
        <f>IF(IFERROR(INDEX($A$9:$X$304,$AS241,COLUMNS($AV$9:BO240)),"")=0,"",IFERROR(INDEX($A$9:$X$304,$AS241,COLUMNS($AV$9:BO240)),""))</f>
        <v>0</v>
      </c>
      <c r="BP241" s="3" t="b">
        <f>IF(IFERROR(INDEX($A$9:$X$304,$AS241,COLUMNS($AV$9:BP240)),"")=0,"",IFERROR(INDEX($A$9:$X$304,$AS241,COLUMNS($AV$9:BP240)),""))</f>
        <v>0</v>
      </c>
      <c r="BQ241" s="3" t="b">
        <f>IF(IFERROR(INDEX($A$9:$X$304,$AS241,COLUMNS($AV$9:BQ240)),"")=0,"",IFERROR(INDEX($A$9:$X$304,$AS241,COLUMNS($AV$9:BQ240)),""))</f>
        <v>0</v>
      </c>
      <c r="BR241" s="3" t="str">
        <f>IF(IFERROR(INDEX($A$9:$X$304,$AS241,COLUMNS($AV$9:BR240)),"")=0,"",IFERROR(INDEX($A$9:$X$304,$AS241,COLUMNS($AV$9:BR240)),""))</f>
        <v>https://www.epiccardgame.com/wp-content/uploads/2017/11/PNA-EN-05-silver-wing-lancer.jpg</v>
      </c>
      <c r="BS241" s="3" t="str">
        <f>IF(IFERROR(INDEX($A$9:$X$304,$AS241,COLUMNS($AV$9:BS240)),"")=0,"",IFERROR(INDEX($A$9:$X$304,$AS241,COLUMNS($AV$9:BS240)),""))</f>
        <v/>
      </c>
      <c r="BT241" s="3"/>
      <c r="BU241" s="15"/>
      <c r="BV241" t="s">
        <v>262</v>
      </c>
    </row>
    <row r="242" spans="1:74" ht="225.2" customHeight="1" x14ac:dyDescent="0.25">
      <c r="A242" t="s">
        <v>553</v>
      </c>
      <c r="B242">
        <v>1</v>
      </c>
      <c r="C242" t="s">
        <v>617</v>
      </c>
      <c r="E242" t="s">
        <v>620</v>
      </c>
      <c r="F242">
        <v>7</v>
      </c>
      <c r="G242">
        <v>7</v>
      </c>
      <c r="H242" t="s">
        <v>676</v>
      </c>
      <c r="I242" t="s">
        <v>932</v>
      </c>
      <c r="O242" t="s">
        <v>1064</v>
      </c>
      <c r="P242" t="s">
        <v>1112</v>
      </c>
      <c r="Q242" t="s">
        <v>1157</v>
      </c>
      <c r="R242" t="s">
        <v>1179</v>
      </c>
      <c r="S242" t="b">
        <v>1</v>
      </c>
      <c r="T242" t="b">
        <v>0</v>
      </c>
      <c r="U242" t="b">
        <v>0</v>
      </c>
      <c r="V242" t="b">
        <v>0</v>
      </c>
      <c r="W242" s="2" t="s">
        <v>1417</v>
      </c>
      <c r="X242" s="2"/>
      <c r="Y242" s="24">
        <v>234</v>
      </c>
      <c r="Z242">
        <f t="shared" si="60"/>
        <v>234</v>
      </c>
      <c r="AA242">
        <f t="shared" si="61"/>
        <v>234</v>
      </c>
      <c r="AB242">
        <f t="shared" si="62"/>
        <v>234</v>
      </c>
      <c r="AC242">
        <f t="shared" si="63"/>
        <v>0</v>
      </c>
      <c r="AD242">
        <f t="shared" si="64"/>
        <v>234</v>
      </c>
      <c r="AE242">
        <f t="shared" si="65"/>
        <v>234</v>
      </c>
      <c r="AF242">
        <f t="shared" si="66"/>
        <v>234</v>
      </c>
      <c r="AG242">
        <f t="shared" si="67"/>
        <v>234</v>
      </c>
      <c r="AH242">
        <f t="shared" si="68"/>
        <v>234</v>
      </c>
      <c r="AI242">
        <f t="shared" si="69"/>
        <v>0</v>
      </c>
      <c r="AJ242">
        <f t="shared" si="70"/>
        <v>0</v>
      </c>
      <c r="AK242">
        <f t="shared" si="71"/>
        <v>0</v>
      </c>
      <c r="AL242">
        <f t="shared" si="72"/>
        <v>0</v>
      </c>
      <c r="AM242">
        <f t="shared" si="73"/>
        <v>0</v>
      </c>
      <c r="AN242">
        <f t="shared" si="74"/>
        <v>234</v>
      </c>
      <c r="AO242">
        <f t="shared" si="75"/>
        <v>234</v>
      </c>
      <c r="AP242">
        <f t="shared" si="76"/>
        <v>234</v>
      </c>
      <c r="AQ242">
        <f t="shared" si="77"/>
        <v>234</v>
      </c>
      <c r="AR242" s="6">
        <f t="shared" si="78"/>
        <v>234</v>
      </c>
      <c r="AS242">
        <f t="shared" si="79"/>
        <v>234</v>
      </c>
      <c r="AV242" s="1" t="str">
        <f>IF(IFERROR(INDEX($A$9:$W$304,$AS242,COLUMNS($AV$9:AV241)),"")=0,"",IFERROR(INDEX($A$9:$W$304,$AS242,COLUMNS($AV$9:AV241)),""))</f>
        <v>Silver Wing Savior</v>
      </c>
      <c r="AW242" s="1">
        <f>IFERROR(INDEX($A$9:$W$304,$AS242,COLUMNS($AV$9:AW241)),"")</f>
        <v>1</v>
      </c>
      <c r="AX242" s="1" t="str">
        <f>IF(IFERROR(INDEX($A$9:$X$304,$AS242,COLUMNS($AV$9:AX241)),"")=0,"",IFERROR(INDEX($A$9:$X$304,$AS242,COLUMNS($AV$9:AX241)),""))</f>
        <v>GOOD</v>
      </c>
      <c r="AY242" s="1" t="str">
        <f>IF(IFERROR(INDEX($A$9:$X$304,$AS242,COLUMNS($AV$9:AY241)),"")=0,"",IFERROR(INDEX($A$9:$X$304,$AS242,COLUMNS($AV$9:AY241)),""))</f>
        <v/>
      </c>
      <c r="AZ242" s="1" t="str">
        <f>IF(IFERROR(INDEX($A$9:$X$304,$AS242,COLUMNS($AV$9:AZ241)),"")=0,"",IFERROR(INDEX($A$9:$X$304,$AS242,COLUMNS($AV$9:AZ241)),""))</f>
        <v>CHAMPION</v>
      </c>
      <c r="BA242" s="1">
        <f>IF(IFERROR(INDEX($A$9:$X$304,$AS242,COLUMNS($AV$9:BA241)),"")=0,"",IFERROR(INDEX($A$9:$X$304,$AS242,COLUMNS($AV$9:BA241)),""))</f>
        <v>7</v>
      </c>
      <c r="BB242" s="1">
        <f>IF(IFERROR(INDEX($A$9:$X$304,$AS242,COLUMNS($AV$9:BB241)),"")=0,"",IFERROR(INDEX($A$9:$X$304,$AS242,COLUMNS($AV$9:BB241)),""))</f>
        <v>7</v>
      </c>
      <c r="BC242" s="1" t="str">
        <f>IF(IFERROR(INDEX($A$9:$X$304,$AS242,COLUMNS($AV$9:BC241)),"")=0,"",IFERROR(INDEX($A$9:$X$304,$AS242,COLUMNS($AV$9:BC241)),""))</f>
        <v>Airborne ◆ Blitz</v>
      </c>
      <c r="BD242" s="1" t="str">
        <f>IF(IFERROR(INDEX($A$9:$X$304,$AS242,COLUMNS($AV$9:BD241)),"")=0,"",IFERROR(INDEX($A$9:$X$304,$AS242,COLUMNS($AV$9:BD241)),""))</f>
        <v>Tribute → You may return a good card from your discard pile to your hand.</v>
      </c>
      <c r="BE242" s="1" t="str">
        <f>IF(IFERROR(INDEX($A$9:$X$304,$AS242,COLUMNS($AV$9:BE241)),"")=0,"",IFERROR(INDEX($A$9:$X$304,$AS242,COLUMNS($AV$9:BE241)),""))</f>
        <v/>
      </c>
      <c r="BF242" s="1" t="str">
        <f>IF(IFERROR(INDEX($A$9:$X$304,$AS242,COLUMNS($AV$9:BF241)),"")=0,"",IFERROR(INDEX($A$9:$X$304,$AS242,COLUMNS($AV$9:BF241)),""))</f>
        <v/>
      </c>
      <c r="BG242" s="1" t="str">
        <f>IF(IFERROR(INDEX($A$9:$X$304,$AS242,COLUMNS($AV$9:BG241)),"")=0,"",IFERROR(INDEX($A$9:$X$304,$AS242,COLUMNS($AV$9:BG241)),""))</f>
        <v/>
      </c>
      <c r="BH242" s="1" t="str">
        <f>IF(IFERROR(INDEX($A$9:$X$304,$AS242,COLUMNS($AV$9:BH241)),"")=0,"",IFERROR(INDEX($A$9:$X$304,$AS242,COLUMNS($AV$9:BH241)),""))</f>
        <v/>
      </c>
      <c r="BI242" s="1" t="str">
        <f>IF(IFERROR(INDEX($A$9:$X$304,$AS242,COLUMNS($AV$9:BI241)),"")=0,"",IFERROR(INDEX($A$9:$X$304,$AS242,COLUMNS($AV$9:BI241)),""))</f>
        <v/>
      </c>
      <c r="BJ242" s="1" t="str">
        <f>IF(IFERROR(INDEX($A$9:$X$304,$AS242,COLUMNS($AV$9:BJ241)),"")=0,"",IFERROR(INDEX($A$9:$X$304,$AS242,COLUMNS($AV$9:BJ241)),""))</f>
        <v>ANGEL</v>
      </c>
      <c r="BK242" s="1" t="str">
        <f>IF(IFERROR(INDEX($A$9:$X$304,$AS242,COLUMNS($AV$9:BK241)),"")=0,"",IFERROR(INDEX($A$9:$X$304,$AS242,COLUMNS($AV$9:BK241)),""))</f>
        <v>Common</v>
      </c>
      <c r="BL242" s="1" t="str">
        <f>IF(IFERROR(INDEX($A$9:$X$304,$AS242,COLUMNS($AV$9:BL241)),"")=0,"",IFERROR(INDEX($A$9:$X$304,$AS242,COLUMNS($AV$9:BL241)),""))</f>
        <v>Rainer Petter</v>
      </c>
      <c r="BM242" s="1" t="str">
        <f>IF(IFERROR(INDEX($A$9:$X$304,$AS242,COLUMNS($AV$9:BM241)),"")=0,"",IFERROR(INDEX($A$9:$X$304,$AS242,COLUMNS($AV$9:BM241)),""))</f>
        <v>Pantheon: Gareth vs Lashnok</v>
      </c>
      <c r="BN242" s="3" t="b">
        <f>IF(IFERROR(INDEX($A$9:$X$304,$AS242,COLUMNS($AV$9:BN241)),"")=0,"",IFERROR(INDEX($A$9:$X$304,$AS242,COLUMNS($AV$9:BN241)),""))</f>
        <v>1</v>
      </c>
      <c r="BO242" s="3" t="b">
        <f>IF(IFERROR(INDEX($A$9:$X$304,$AS242,COLUMNS($AV$9:BO241)),"")=0,"",IFERROR(INDEX($A$9:$X$304,$AS242,COLUMNS($AV$9:BO241)),""))</f>
        <v>0</v>
      </c>
      <c r="BP242" s="3" t="b">
        <f>IF(IFERROR(INDEX($A$9:$X$304,$AS242,COLUMNS($AV$9:BP241)),"")=0,"",IFERROR(INDEX($A$9:$X$304,$AS242,COLUMNS($AV$9:BP241)),""))</f>
        <v>0</v>
      </c>
      <c r="BQ242" s="3" t="b">
        <f>IF(IFERROR(INDEX($A$9:$X$304,$AS242,COLUMNS($AV$9:BQ241)),"")=0,"",IFERROR(INDEX($A$9:$X$304,$AS242,COLUMNS($AV$9:BQ241)),""))</f>
        <v>0</v>
      </c>
      <c r="BR242" s="3" t="str">
        <f>IF(IFERROR(INDEX($A$9:$X$304,$AS242,COLUMNS($AV$9:BR241)),"")=0,"",IFERROR(INDEX($A$9:$X$304,$AS242,COLUMNS($AV$9:BR241)),""))</f>
        <v>https://www.epiccardgame.com/wp-content/uploads/2017/11/PNG-EN-16-silver-wing-savior.jpg</v>
      </c>
      <c r="BS242" s="3" t="str">
        <f>IF(IFERROR(INDEX($A$9:$X$304,$AS242,COLUMNS($AV$9:BS241)),"")=0,"",IFERROR(INDEX($A$9:$X$304,$AS242,COLUMNS($AV$9:BS241)),""))</f>
        <v/>
      </c>
      <c r="BT242" s="3"/>
      <c r="BU242" s="15"/>
      <c r="BV242" t="s">
        <v>263</v>
      </c>
    </row>
    <row r="243" spans="1:74" ht="225" customHeight="1" x14ac:dyDescent="0.25">
      <c r="A243" t="s">
        <v>554</v>
      </c>
      <c r="B243">
        <v>0</v>
      </c>
      <c r="C243" t="s">
        <v>616</v>
      </c>
      <c r="E243" t="s">
        <v>619</v>
      </c>
      <c r="H243" t="s">
        <v>736</v>
      </c>
      <c r="I243" t="s">
        <v>769</v>
      </c>
      <c r="O243" t="s">
        <v>1088</v>
      </c>
      <c r="P243" t="s">
        <v>1112</v>
      </c>
      <c r="Q243" t="s">
        <v>1161</v>
      </c>
      <c r="R243" t="s">
        <v>1177</v>
      </c>
      <c r="S243" t="b">
        <v>1</v>
      </c>
      <c r="T243" t="b">
        <v>1</v>
      </c>
      <c r="U243" t="b">
        <v>0</v>
      </c>
      <c r="V243" t="b">
        <v>0</v>
      </c>
      <c r="W243" s="2" t="s">
        <v>1418</v>
      </c>
      <c r="X243" s="2"/>
      <c r="Y243" s="24">
        <v>235</v>
      </c>
      <c r="Z243">
        <f t="shared" si="60"/>
        <v>235</v>
      </c>
      <c r="AA243">
        <f t="shared" si="61"/>
        <v>235</v>
      </c>
      <c r="AB243">
        <f t="shared" si="62"/>
        <v>235</v>
      </c>
      <c r="AC243">
        <f t="shared" si="63"/>
        <v>0</v>
      </c>
      <c r="AD243">
        <f t="shared" si="64"/>
        <v>235</v>
      </c>
      <c r="AE243">
        <f t="shared" si="65"/>
        <v>0</v>
      </c>
      <c r="AF243">
        <f t="shared" si="66"/>
        <v>0</v>
      </c>
      <c r="AG243">
        <f t="shared" si="67"/>
        <v>235</v>
      </c>
      <c r="AH243">
        <f t="shared" si="68"/>
        <v>235</v>
      </c>
      <c r="AI243">
        <f t="shared" si="69"/>
        <v>0</v>
      </c>
      <c r="AJ243">
        <f t="shared" si="70"/>
        <v>0</v>
      </c>
      <c r="AK243">
        <f t="shared" si="71"/>
        <v>0</v>
      </c>
      <c r="AL243">
        <f t="shared" si="72"/>
        <v>0</v>
      </c>
      <c r="AM243">
        <f t="shared" si="73"/>
        <v>0</v>
      </c>
      <c r="AN243">
        <f t="shared" si="74"/>
        <v>235</v>
      </c>
      <c r="AO243">
        <f t="shared" si="75"/>
        <v>235</v>
      </c>
      <c r="AP243">
        <f t="shared" si="76"/>
        <v>235</v>
      </c>
      <c r="AQ243">
        <f t="shared" si="77"/>
        <v>235</v>
      </c>
      <c r="AR243" s="6">
        <f t="shared" si="78"/>
        <v>235</v>
      </c>
      <c r="AS243">
        <f t="shared" si="79"/>
        <v>235</v>
      </c>
      <c r="AV243" s="1" t="str">
        <f>IF(IFERROR(INDEX($A$9:$W$304,$AS243,COLUMNS($AV$9:AV242)),"")=0,"",IFERROR(INDEX($A$9:$W$304,$AS243,COLUMNS($AV$9:AV242)),""))</f>
        <v>Siren's Song</v>
      </c>
      <c r="AW243" s="1">
        <f>IFERROR(INDEX($A$9:$W$304,$AS243,COLUMNS($AV$9:AW242)),"")</f>
        <v>0</v>
      </c>
      <c r="AX243" s="1" t="str">
        <f>IF(IFERROR(INDEX($A$9:$X$304,$AS243,COLUMNS($AV$9:AX242)),"")=0,"",IFERROR(INDEX($A$9:$X$304,$AS243,COLUMNS($AV$9:AX242)),""))</f>
        <v>SAGE</v>
      </c>
      <c r="AY243" s="1" t="str">
        <f>IF(IFERROR(INDEX($A$9:$X$304,$AS243,COLUMNS($AV$9:AY242)),"")=0,"",IFERROR(INDEX($A$9:$X$304,$AS243,COLUMNS($AV$9:AY242)),""))</f>
        <v/>
      </c>
      <c r="AZ243" s="1" t="str">
        <f>IF(IFERROR(INDEX($A$9:$X$304,$AS243,COLUMNS($AV$9:AZ242)),"")=0,"",IFERROR(INDEX($A$9:$X$304,$AS243,COLUMNS($AV$9:AZ242)),""))</f>
        <v>EVENT</v>
      </c>
      <c r="BA243" s="1" t="str">
        <f>IF(IFERROR(INDEX($A$9:$X$304,$AS243,COLUMNS($AV$9:BA242)),"")=0,"",IFERROR(INDEX($A$9:$X$304,$AS243,COLUMNS($AV$9:BA242)),""))</f>
        <v/>
      </c>
      <c r="BB243" s="1" t="str">
        <f>IF(IFERROR(INDEX($A$9:$X$304,$AS243,COLUMNS($AV$9:BB242)),"")=0,"",IFERROR(INDEX($A$9:$X$304,$AS243,COLUMNS($AV$9:BB242)),""))</f>
        <v/>
      </c>
      <c r="BC243" s="1" t="str">
        <f>IF(IFERROR(INDEX($A$9:$X$304,$AS243,COLUMNS($AV$9:BC242)),"")=0,"",IFERROR(INDEX($A$9:$X$304,$AS243,COLUMNS($AV$9:BC242)),""))</f>
        <v>If it is your turn, gain control of target {0} champion. Expend that champion.</v>
      </c>
      <c r="BD243" s="1" t="str">
        <f>IF(IFERROR(INDEX($A$9:$X$304,$AS243,COLUMNS($AV$9:BD242)),"")=0,"",IFERROR(INDEX($A$9:$X$304,$AS243,COLUMNS($AV$9:BD242)),""))</f>
        <v>{1}: Draw two cards.</v>
      </c>
      <c r="BE243" s="1" t="str">
        <f>IF(IFERROR(INDEX($A$9:$X$304,$AS243,COLUMNS($AV$9:BE242)),"")=0,"",IFERROR(INDEX($A$9:$X$304,$AS243,COLUMNS($AV$9:BE242)),""))</f>
        <v/>
      </c>
      <c r="BF243" s="1" t="str">
        <f>IF(IFERROR(INDEX($A$9:$X$304,$AS243,COLUMNS($AV$9:BF242)),"")=0,"",IFERROR(INDEX($A$9:$X$304,$AS243,COLUMNS($AV$9:BF242)),""))</f>
        <v/>
      </c>
      <c r="BG243" s="1" t="str">
        <f>IF(IFERROR(INDEX($A$9:$X$304,$AS243,COLUMNS($AV$9:BG242)),"")=0,"",IFERROR(INDEX($A$9:$X$304,$AS243,COLUMNS($AV$9:BG242)),""))</f>
        <v/>
      </c>
      <c r="BH243" s="1" t="str">
        <f>IF(IFERROR(INDEX($A$9:$X$304,$AS243,COLUMNS($AV$9:BH242)),"")=0,"",IFERROR(INDEX($A$9:$X$304,$AS243,COLUMNS($AV$9:BH242)),""))</f>
        <v/>
      </c>
      <c r="BI243" s="1" t="str">
        <f>IF(IFERROR(INDEX($A$9:$X$304,$AS243,COLUMNS($AV$9:BI242)),"")=0,"",IFERROR(INDEX($A$9:$X$304,$AS243,COLUMNS($AV$9:BI242)),""))</f>
        <v/>
      </c>
      <c r="BJ243" s="1" t="str">
        <f>IF(IFERROR(INDEX($A$9:$X$304,$AS243,COLUMNS($AV$9:BJ242)),"")=0,"",IFERROR(INDEX($A$9:$X$304,$AS243,COLUMNS($AV$9:BJ242)),""))</f>
        <v>SPIRIT</v>
      </c>
      <c r="BK243" s="1" t="str">
        <f>IF(IFERROR(INDEX($A$9:$X$304,$AS243,COLUMNS($AV$9:BK242)),"")=0,"",IFERROR(INDEX($A$9:$X$304,$AS243,COLUMNS($AV$9:BK242)),""))</f>
        <v>Common</v>
      </c>
      <c r="BL243" s="1" t="str">
        <f>IF(IFERROR(INDEX($A$9:$X$304,$AS243,COLUMNS($AV$9:BL242)),"")=0,"",IFERROR(INDEX($A$9:$X$304,$AS243,COLUMNS($AV$9:BL242)),""))</f>
        <v>Jamie Tayag</v>
      </c>
      <c r="BM243" s="1" t="str">
        <f>IF(IFERROR(INDEX($A$9:$X$304,$AS243,COLUMNS($AV$9:BM242)),"")=0,"",IFERROR(INDEX($A$9:$X$304,$AS243,COLUMNS($AV$9:BM242)),""))</f>
        <v>Uprising: Will of Zannos</v>
      </c>
      <c r="BN243" s="3" t="b">
        <f>IF(IFERROR(INDEX($A$9:$X$304,$AS243,COLUMNS($AV$9:BN242)),"")=0,"",IFERROR(INDEX($A$9:$X$304,$AS243,COLUMNS($AV$9:BN242)),""))</f>
        <v>1</v>
      </c>
      <c r="BO243" s="3" t="b">
        <f>IF(IFERROR(INDEX($A$9:$X$304,$AS243,COLUMNS($AV$9:BO242)),"")=0,"",IFERROR(INDEX($A$9:$X$304,$AS243,COLUMNS($AV$9:BO242)),""))</f>
        <v>1</v>
      </c>
      <c r="BP243" s="3" t="b">
        <f>IF(IFERROR(INDEX($A$9:$X$304,$AS243,COLUMNS($AV$9:BP242)),"")=0,"",IFERROR(INDEX($A$9:$X$304,$AS243,COLUMNS($AV$9:BP242)),""))</f>
        <v>0</v>
      </c>
      <c r="BQ243" s="3" t="b">
        <f>IF(IFERROR(INDEX($A$9:$X$304,$AS243,COLUMNS($AV$9:BQ242)),"")=0,"",IFERROR(INDEX($A$9:$X$304,$AS243,COLUMNS($AV$9:BQ242)),""))</f>
        <v>0</v>
      </c>
      <c r="BR243" s="3" t="str">
        <f>IF(IFERROR(INDEX($A$9:$X$304,$AS243,COLUMNS($AV$9:BR242)),"")=0,"",IFERROR(INDEX($A$9:$X$304,$AS243,COLUMNS($AV$9:BR242)),""))</f>
        <v>https://www.epiccardgame.com/wp-content/uploads/2017/11/UPZ-EN-siren-s-song.jpg</v>
      </c>
      <c r="BS243" s="3" t="str">
        <f>IF(IFERROR(INDEX($A$9:$X$304,$AS243,COLUMNS($AV$9:BS242)),"")=0,"",IFERROR(INDEX($A$9:$X$304,$AS243,COLUMNS($AV$9:BS242)),""))</f>
        <v/>
      </c>
      <c r="BT243" s="3"/>
      <c r="BU243" s="15"/>
      <c r="BV243" t="s">
        <v>264</v>
      </c>
    </row>
    <row r="244" spans="1:74" ht="225.2" customHeight="1" x14ac:dyDescent="0.25">
      <c r="A244" t="s">
        <v>555</v>
      </c>
      <c r="B244">
        <v>1</v>
      </c>
      <c r="C244" t="s">
        <v>615</v>
      </c>
      <c r="E244" t="s">
        <v>619</v>
      </c>
      <c r="H244" t="s">
        <v>737</v>
      </c>
      <c r="L244" t="s">
        <v>1054</v>
      </c>
      <c r="O244" t="s">
        <v>1069</v>
      </c>
      <c r="P244" t="s">
        <v>1112</v>
      </c>
      <c r="Q244" t="s">
        <v>1127</v>
      </c>
      <c r="R244" t="s">
        <v>1183</v>
      </c>
      <c r="S244" t="b">
        <v>1</v>
      </c>
      <c r="T244" t="b">
        <v>0</v>
      </c>
      <c r="U244" t="b">
        <v>0</v>
      </c>
      <c r="V244" t="b">
        <v>0</v>
      </c>
      <c r="W244" s="2" t="s">
        <v>1419</v>
      </c>
      <c r="X244" s="2"/>
      <c r="Y244" s="24">
        <v>236</v>
      </c>
      <c r="Z244">
        <f t="shared" si="60"/>
        <v>236</v>
      </c>
      <c r="AA244">
        <f t="shared" si="61"/>
        <v>236</v>
      </c>
      <c r="AB244">
        <f t="shared" si="62"/>
        <v>236</v>
      </c>
      <c r="AC244">
        <f t="shared" si="63"/>
        <v>0</v>
      </c>
      <c r="AD244">
        <f t="shared" si="64"/>
        <v>236</v>
      </c>
      <c r="AE244">
        <f t="shared" si="65"/>
        <v>0</v>
      </c>
      <c r="AF244">
        <f t="shared" si="66"/>
        <v>0</v>
      </c>
      <c r="AG244">
        <f t="shared" si="67"/>
        <v>236</v>
      </c>
      <c r="AH244">
        <f t="shared" si="68"/>
        <v>0</v>
      </c>
      <c r="AI244">
        <f t="shared" si="69"/>
        <v>0</v>
      </c>
      <c r="AJ244">
        <f t="shared" si="70"/>
        <v>0</v>
      </c>
      <c r="AK244">
        <f t="shared" si="71"/>
        <v>236</v>
      </c>
      <c r="AL244">
        <f t="shared" si="72"/>
        <v>0</v>
      </c>
      <c r="AM244">
        <f t="shared" si="73"/>
        <v>0</v>
      </c>
      <c r="AN244">
        <f t="shared" si="74"/>
        <v>236</v>
      </c>
      <c r="AO244">
        <f t="shared" si="75"/>
        <v>236</v>
      </c>
      <c r="AP244">
        <f t="shared" si="76"/>
        <v>236</v>
      </c>
      <c r="AQ244">
        <f t="shared" si="77"/>
        <v>236</v>
      </c>
      <c r="AR244" s="6">
        <f t="shared" si="78"/>
        <v>236</v>
      </c>
      <c r="AS244">
        <f t="shared" si="79"/>
        <v>236</v>
      </c>
      <c r="AV244" s="1" t="str">
        <f>IF(IFERROR(INDEX($A$9:$W$304,$AS244,COLUMNS($AV$9:AV243)),"")=0,"",IFERROR(INDEX($A$9:$W$304,$AS244,COLUMNS($AV$9:AV243)),""))</f>
        <v>Smash and Burn</v>
      </c>
      <c r="AW244" s="1">
        <f>IFERROR(INDEX($A$9:$W$304,$AS244,COLUMNS($AV$9:AW243)),"")</f>
        <v>1</v>
      </c>
      <c r="AX244" s="1" t="str">
        <f>IF(IFERROR(INDEX($A$9:$X$304,$AS244,COLUMNS($AV$9:AX243)),"")=0,"",IFERROR(INDEX($A$9:$X$304,$AS244,COLUMNS($AV$9:AX243)),""))</f>
        <v>WILD</v>
      </c>
      <c r="AY244" s="1" t="str">
        <f>IF(IFERROR(INDEX($A$9:$X$304,$AS244,COLUMNS($AV$9:AY243)),"")=0,"",IFERROR(INDEX($A$9:$X$304,$AS244,COLUMNS($AV$9:AY243)),""))</f>
        <v/>
      </c>
      <c r="AZ244" s="1" t="str">
        <f>IF(IFERROR(INDEX($A$9:$X$304,$AS244,COLUMNS($AV$9:AZ243)),"")=0,"",IFERROR(INDEX($A$9:$X$304,$AS244,COLUMNS($AV$9:AZ243)),""))</f>
        <v>EVENT</v>
      </c>
      <c r="BA244" s="1" t="str">
        <f>IF(IFERROR(INDEX($A$9:$X$304,$AS244,COLUMNS($AV$9:BA243)),"")=0,"",IFERROR(INDEX($A$9:$X$304,$AS244,COLUMNS($AV$9:BA243)),""))</f>
        <v/>
      </c>
      <c r="BB244" s="1" t="str">
        <f>IF(IFERROR(INDEX($A$9:$X$304,$AS244,COLUMNS($AV$9:BB243)),"")=0,"",IFERROR(INDEX($A$9:$X$304,$AS244,COLUMNS($AV$9:BB243)),""))</f>
        <v/>
      </c>
      <c r="BC244" s="1" t="str">
        <f>IF(IFERROR(INDEX($A$9:$X$304,$AS244,COLUMNS($AV$9:BC243)),"")=0,"",IFERROR(INDEX($A$9:$X$304,$AS244,COLUMNS($AV$9:BC243)),""))</f>
        <v>Target champion gets +5 {offense} and +5 {defense} this turn. Draw two cards.</v>
      </c>
      <c r="BD244" s="1" t="str">
        <f>IF(IFERROR(INDEX($A$9:$X$304,$AS244,COLUMNS($AV$9:BD243)),"")=0,"",IFERROR(INDEX($A$9:$X$304,$AS244,COLUMNS($AV$9:BD243)),""))</f>
        <v/>
      </c>
      <c r="BE244" s="1" t="str">
        <f>IF(IFERROR(INDEX($A$9:$X$304,$AS244,COLUMNS($AV$9:BE243)),"")=0,"",IFERROR(INDEX($A$9:$X$304,$AS244,COLUMNS($AV$9:BE243)),""))</f>
        <v/>
      </c>
      <c r="BF244" s="1" t="str">
        <f>IF(IFERROR(INDEX($A$9:$X$304,$AS244,COLUMNS($AV$9:BF243)),"")=0,"",IFERROR(INDEX($A$9:$X$304,$AS244,COLUMNS($AV$9:BF243)),""))</f>
        <v/>
      </c>
      <c r="BG244" s="1" t="str">
        <f>IF(IFERROR(INDEX($A$9:$X$304,$AS244,COLUMNS($AV$9:BG243)),"")=0,"",IFERROR(INDEX($A$9:$X$304,$AS244,COLUMNS($AV$9:BG243)),""))</f>
        <v>{wild} → You may banish this card from your discard pile. If you do, deal 6 damage to target champion.</v>
      </c>
      <c r="BH244" s="1" t="str">
        <f>IF(IFERROR(INDEX($A$9:$X$304,$AS244,COLUMNS($AV$9:BH243)),"")=0,"",IFERROR(INDEX($A$9:$X$304,$AS244,COLUMNS($AV$9:BH243)),""))</f>
        <v/>
      </c>
      <c r="BI244" s="1" t="str">
        <f>IF(IFERROR(INDEX($A$9:$X$304,$AS244,COLUMNS($AV$9:BI243)),"")=0,"",IFERROR(INDEX($A$9:$X$304,$AS244,COLUMNS($AV$9:BI243)),""))</f>
        <v/>
      </c>
      <c r="BJ244" s="1" t="str">
        <f>IF(IFERROR(INDEX($A$9:$X$304,$AS244,COLUMNS($AV$9:BJ243)),"")=0,"",IFERROR(INDEX($A$9:$X$304,$AS244,COLUMNS($AV$9:BJ243)),""))</f>
        <v>DRAGON</v>
      </c>
      <c r="BK244" s="1" t="str">
        <f>IF(IFERROR(INDEX($A$9:$X$304,$AS244,COLUMNS($AV$9:BK243)),"")=0,"",IFERROR(INDEX($A$9:$X$304,$AS244,COLUMNS($AV$9:BK243)),""))</f>
        <v>Common</v>
      </c>
      <c r="BL244" s="1" t="str">
        <f>IF(IFERROR(INDEX($A$9:$X$304,$AS244,COLUMNS($AV$9:BL243)),"")=0,"",IFERROR(INDEX($A$9:$X$304,$AS244,COLUMNS($AV$9:BL243)),""))</f>
        <v>Johnny Morrow</v>
      </c>
      <c r="BM244" s="1" t="str">
        <f>IF(IFERROR(INDEX($A$9:$X$304,$AS244,COLUMNS($AV$9:BM243)),"")=0,"",IFERROR(INDEX($A$9:$X$304,$AS244,COLUMNS($AV$9:BM243)),""))</f>
        <v>Tyrants: Raxxa's Revenge</v>
      </c>
      <c r="BN244" s="3" t="b">
        <f>IF(IFERROR(INDEX($A$9:$X$304,$AS244,COLUMNS($AV$9:BN243)),"")=0,"",IFERROR(INDEX($A$9:$X$304,$AS244,COLUMNS($AV$9:BN243)),""))</f>
        <v>1</v>
      </c>
      <c r="BO244" s="3" t="b">
        <f>IF(IFERROR(INDEX($A$9:$X$304,$AS244,COLUMNS($AV$9:BO243)),"")=0,"",IFERROR(INDEX($A$9:$X$304,$AS244,COLUMNS($AV$9:BO243)),""))</f>
        <v>0</v>
      </c>
      <c r="BP244" s="3" t="b">
        <f>IF(IFERROR(INDEX($A$9:$X$304,$AS244,COLUMNS($AV$9:BP243)),"")=0,"",IFERROR(INDEX($A$9:$X$304,$AS244,COLUMNS($AV$9:BP243)),""))</f>
        <v>0</v>
      </c>
      <c r="BQ244" s="3" t="b">
        <f>IF(IFERROR(INDEX($A$9:$X$304,$AS244,COLUMNS($AV$9:BQ243)),"")=0,"",IFERROR(INDEX($A$9:$X$304,$AS244,COLUMNS($AV$9:BQ243)),""))</f>
        <v>0</v>
      </c>
      <c r="BR244" s="3" t="str">
        <f>IF(IFERROR(INDEX($A$9:$X$304,$AS244,COLUMNS($AV$9:BR243)),"")=0,"",IFERROR(INDEX($A$9:$X$304,$AS244,COLUMNS($AV$9:BR243)),""))</f>
        <v>http://www.epiccardgame.com/wp-content/uploads/2016/03/smash_and_burn-214x300.jpg</v>
      </c>
      <c r="BS244" s="3" t="str">
        <f>IF(IFERROR(INDEX($A$9:$X$304,$AS244,COLUMNS($AV$9:BS243)),"")=0,"",IFERROR(INDEX($A$9:$X$304,$AS244,COLUMNS($AV$9:BS243)),""))</f>
        <v/>
      </c>
      <c r="BT244" s="3"/>
      <c r="BU244" s="15"/>
      <c r="BV244" t="s">
        <v>265</v>
      </c>
    </row>
    <row r="245" spans="1:74" ht="225.2" customHeight="1" x14ac:dyDescent="0.25">
      <c r="A245" t="s">
        <v>556</v>
      </c>
      <c r="B245">
        <v>1</v>
      </c>
      <c r="C245" t="s">
        <v>618</v>
      </c>
      <c r="E245" t="s">
        <v>620</v>
      </c>
      <c r="F245">
        <v>5</v>
      </c>
      <c r="G245">
        <v>5</v>
      </c>
      <c r="H245" t="s">
        <v>738</v>
      </c>
      <c r="L245" t="s">
        <v>1055</v>
      </c>
      <c r="O245" t="s">
        <v>1078</v>
      </c>
      <c r="P245" t="s">
        <v>1112</v>
      </c>
      <c r="Q245" t="s">
        <v>1124</v>
      </c>
      <c r="R245" t="s">
        <v>1171</v>
      </c>
      <c r="S245" t="b">
        <v>1</v>
      </c>
      <c r="T245" t="b">
        <v>0</v>
      </c>
      <c r="U245" t="b">
        <v>0</v>
      </c>
      <c r="V245" t="b">
        <v>0</v>
      </c>
      <c r="W245" s="2" t="s">
        <v>1420</v>
      </c>
      <c r="X245" s="2"/>
      <c r="Y245" s="24">
        <v>237</v>
      </c>
      <c r="Z245">
        <f t="shared" si="60"/>
        <v>237</v>
      </c>
      <c r="AA245">
        <f t="shared" si="61"/>
        <v>237</v>
      </c>
      <c r="AB245">
        <f t="shared" si="62"/>
        <v>237</v>
      </c>
      <c r="AC245">
        <f t="shared" si="63"/>
        <v>0</v>
      </c>
      <c r="AD245">
        <f t="shared" si="64"/>
        <v>237</v>
      </c>
      <c r="AE245">
        <f t="shared" si="65"/>
        <v>237</v>
      </c>
      <c r="AF245">
        <f t="shared" si="66"/>
        <v>237</v>
      </c>
      <c r="AG245">
        <f t="shared" si="67"/>
        <v>237</v>
      </c>
      <c r="AH245">
        <f t="shared" si="68"/>
        <v>0</v>
      </c>
      <c r="AI245">
        <f t="shared" si="69"/>
        <v>0</v>
      </c>
      <c r="AJ245">
        <f t="shared" si="70"/>
        <v>0</v>
      </c>
      <c r="AK245">
        <f t="shared" si="71"/>
        <v>237</v>
      </c>
      <c r="AL245">
        <f t="shared" si="72"/>
        <v>0</v>
      </c>
      <c r="AM245">
        <f t="shared" si="73"/>
        <v>0</v>
      </c>
      <c r="AN245">
        <f t="shared" si="74"/>
        <v>237</v>
      </c>
      <c r="AO245">
        <f t="shared" si="75"/>
        <v>237</v>
      </c>
      <c r="AP245">
        <f t="shared" si="76"/>
        <v>237</v>
      </c>
      <c r="AQ245">
        <f t="shared" si="77"/>
        <v>237</v>
      </c>
      <c r="AR245" s="6">
        <f t="shared" si="78"/>
        <v>237</v>
      </c>
      <c r="AS245">
        <f t="shared" si="79"/>
        <v>237</v>
      </c>
      <c r="AV245" s="1" t="str">
        <f>IF(IFERROR(INDEX($A$9:$W$304,$AS245,COLUMNS($AV$9:AV244)),"")=0,"",IFERROR(INDEX($A$9:$W$304,$AS245,COLUMNS($AV$9:AV244)),""))</f>
        <v>Soul Hunter</v>
      </c>
      <c r="AW245" s="1">
        <f>IFERROR(INDEX($A$9:$W$304,$AS245,COLUMNS($AV$9:AW244)),"")</f>
        <v>1</v>
      </c>
      <c r="AX245" s="1" t="str">
        <f>IF(IFERROR(INDEX($A$9:$X$304,$AS245,COLUMNS($AV$9:AX244)),"")=0,"",IFERROR(INDEX($A$9:$X$304,$AS245,COLUMNS($AV$9:AX244)),""))</f>
        <v>EVIL</v>
      </c>
      <c r="AY245" s="1" t="str">
        <f>IF(IFERROR(INDEX($A$9:$X$304,$AS245,COLUMNS($AV$9:AY244)),"")=0,"",IFERROR(INDEX($A$9:$X$304,$AS245,COLUMNS($AV$9:AY244)),""))</f>
        <v/>
      </c>
      <c r="AZ245" s="1" t="str">
        <f>IF(IFERROR(INDEX($A$9:$X$304,$AS245,COLUMNS($AV$9:AZ244)),"")=0,"",IFERROR(INDEX($A$9:$X$304,$AS245,COLUMNS($AV$9:AZ244)),""))</f>
        <v>CHAMPION</v>
      </c>
      <c r="BA245" s="1">
        <f>IF(IFERROR(INDEX($A$9:$X$304,$AS245,COLUMNS($AV$9:BA244)),"")=0,"",IFERROR(INDEX($A$9:$X$304,$AS245,COLUMNS($AV$9:BA244)),""))</f>
        <v>5</v>
      </c>
      <c r="BB245" s="1">
        <f>IF(IFERROR(INDEX($A$9:$X$304,$AS245,COLUMNS($AV$9:BB244)),"")=0,"",IFERROR(INDEX($A$9:$X$304,$AS245,COLUMNS($AV$9:BB244)),""))</f>
        <v>5</v>
      </c>
      <c r="BC245" s="1" t="str">
        <f>IF(IFERROR(INDEX($A$9:$X$304,$AS245,COLUMNS($AV$9:BC244)),"")=0,"",IFERROR(INDEX($A$9:$X$304,$AS245,COLUMNS($AV$9:BC244)),""))</f>
        <v>When this card is broken → Deal 5 damage to target player.</v>
      </c>
      <c r="BD245" s="1" t="str">
        <f>IF(IFERROR(INDEX($A$9:$X$304,$AS245,COLUMNS($AV$9:BD244)),"")=0,"",IFERROR(INDEX($A$9:$X$304,$AS245,COLUMNS($AV$9:BD244)),""))</f>
        <v/>
      </c>
      <c r="BE245" s="1" t="str">
        <f>IF(IFERROR(INDEX($A$9:$X$304,$AS245,COLUMNS($AV$9:BE244)),"")=0,"",IFERROR(INDEX($A$9:$X$304,$AS245,COLUMNS($AV$9:BE244)),""))</f>
        <v/>
      </c>
      <c r="BF245" s="1" t="str">
        <f>IF(IFERROR(INDEX($A$9:$X$304,$AS245,COLUMNS($AV$9:BF244)),"")=0,"",IFERROR(INDEX($A$9:$X$304,$AS245,COLUMNS($AV$9:BF244)),""))</f>
        <v/>
      </c>
      <c r="BG245" s="1" t="str">
        <f>IF(IFERROR(INDEX($A$9:$X$304,$AS245,COLUMNS($AV$9:BG244)),"")=0,"",IFERROR(INDEX($A$9:$X$304,$AS245,COLUMNS($AV$9:BG244)),""))</f>
        <v>If this card is in your discard pile at the start of your turn → Return it to play.</v>
      </c>
      <c r="BH245" s="1" t="str">
        <f>IF(IFERROR(INDEX($A$9:$X$304,$AS245,COLUMNS($AV$9:BH244)),"")=0,"",IFERROR(INDEX($A$9:$X$304,$AS245,COLUMNS($AV$9:BH244)),""))</f>
        <v/>
      </c>
      <c r="BI245" s="1" t="str">
        <f>IF(IFERROR(INDEX($A$9:$X$304,$AS245,COLUMNS($AV$9:BI244)),"")=0,"",IFERROR(INDEX($A$9:$X$304,$AS245,COLUMNS($AV$9:BI244)),""))</f>
        <v/>
      </c>
      <c r="BJ245" s="1" t="str">
        <f>IF(IFERROR(INDEX($A$9:$X$304,$AS245,COLUMNS($AV$9:BJ244)),"")=0,"",IFERROR(INDEX($A$9:$X$304,$AS245,COLUMNS($AV$9:BJ244)),""))</f>
        <v>DEMON</v>
      </c>
      <c r="BK245" s="1" t="str">
        <f>IF(IFERROR(INDEX($A$9:$X$304,$AS245,COLUMNS($AV$9:BK244)),"")=0,"",IFERROR(INDEX($A$9:$X$304,$AS245,COLUMNS($AV$9:BK244)),""))</f>
        <v>Common</v>
      </c>
      <c r="BL245" s="1" t="str">
        <f>IF(IFERROR(INDEX($A$9:$X$304,$AS245,COLUMNS($AV$9:BL244)),"")=0,"",IFERROR(INDEX($A$9:$X$304,$AS245,COLUMNS($AV$9:BL244)),""))</f>
        <v>Souveraine</v>
      </c>
      <c r="BM245" s="1" t="str">
        <f>IF(IFERROR(INDEX($A$9:$X$304,$AS245,COLUMNS($AV$9:BM244)),"")=0,"",IFERROR(INDEX($A$9:$X$304,$AS245,COLUMNS($AV$9:BM244)),""))</f>
        <v>Base Set</v>
      </c>
      <c r="BN245" s="3" t="b">
        <f>IF(IFERROR(INDEX($A$9:$X$304,$AS245,COLUMNS($AV$9:BN244)),"")=0,"",IFERROR(INDEX($A$9:$X$304,$AS245,COLUMNS($AV$9:BN244)),""))</f>
        <v>1</v>
      </c>
      <c r="BO245" s="3" t="b">
        <f>IF(IFERROR(INDEX($A$9:$X$304,$AS245,COLUMNS($AV$9:BO244)),"")=0,"",IFERROR(INDEX($A$9:$X$304,$AS245,COLUMNS($AV$9:BO244)),""))</f>
        <v>0</v>
      </c>
      <c r="BP245" s="3" t="b">
        <f>IF(IFERROR(INDEX($A$9:$X$304,$AS245,COLUMNS($AV$9:BP244)),"")=0,"",IFERROR(INDEX($A$9:$X$304,$AS245,COLUMNS($AV$9:BP244)),""))</f>
        <v>0</v>
      </c>
      <c r="BQ245" s="3" t="b">
        <f>IF(IFERROR(INDEX($A$9:$X$304,$AS245,COLUMNS($AV$9:BQ244)),"")=0,"",IFERROR(INDEX($A$9:$X$304,$AS245,COLUMNS($AV$9:BQ244)),""))</f>
        <v>0</v>
      </c>
      <c r="BR245" s="3" t="str">
        <f>IF(IFERROR(INDEX($A$9:$X$304,$AS245,COLUMNS($AV$9:BR244)),"")=0,"",IFERROR(INDEX($A$9:$X$304,$AS245,COLUMNS($AV$9:BR244)),""))</f>
        <v>http://www.epiccardgame.com/wp-content/uploads/2015/09/soul_hunter-215x300.jpg</v>
      </c>
      <c r="BS245" s="3" t="str">
        <f>IF(IFERROR(INDEX($A$9:$X$304,$AS245,COLUMNS($AV$9:BS244)),"")=0,"",IFERROR(INDEX($A$9:$X$304,$AS245,COLUMNS($AV$9:BS244)),""))</f>
        <v/>
      </c>
      <c r="BT245" s="3"/>
      <c r="BU245" s="15"/>
      <c r="BV245" t="s">
        <v>266</v>
      </c>
    </row>
    <row r="246" spans="1:74" ht="225.2" customHeight="1" x14ac:dyDescent="0.25">
      <c r="A246" t="s">
        <v>557</v>
      </c>
      <c r="B246">
        <v>0</v>
      </c>
      <c r="C246" t="s">
        <v>618</v>
      </c>
      <c r="E246" t="s">
        <v>620</v>
      </c>
      <c r="F246">
        <v>4</v>
      </c>
      <c r="G246">
        <v>4</v>
      </c>
      <c r="H246" t="s">
        <v>21</v>
      </c>
      <c r="I246" t="s">
        <v>933</v>
      </c>
      <c r="O246" t="s">
        <v>1078</v>
      </c>
      <c r="P246" t="s">
        <v>1112</v>
      </c>
      <c r="Q246" t="s">
        <v>1127</v>
      </c>
      <c r="R246" t="s">
        <v>1183</v>
      </c>
      <c r="S246" t="b">
        <v>0</v>
      </c>
      <c r="T246" t="b">
        <v>0</v>
      </c>
      <c r="U246" t="b">
        <v>0</v>
      </c>
      <c r="V246" t="b">
        <v>0</v>
      </c>
      <c r="W246" s="2" t="s">
        <v>1421</v>
      </c>
      <c r="X246" s="2"/>
      <c r="Y246" s="24">
        <v>238</v>
      </c>
      <c r="Z246">
        <f t="shared" si="60"/>
        <v>238</v>
      </c>
      <c r="AA246">
        <f t="shared" si="61"/>
        <v>238</v>
      </c>
      <c r="AB246">
        <f t="shared" si="62"/>
        <v>238</v>
      </c>
      <c r="AC246">
        <f t="shared" si="63"/>
        <v>0</v>
      </c>
      <c r="AD246">
        <f t="shared" si="64"/>
        <v>238</v>
      </c>
      <c r="AE246">
        <f t="shared" si="65"/>
        <v>238</v>
      </c>
      <c r="AF246">
        <f t="shared" si="66"/>
        <v>238</v>
      </c>
      <c r="AG246">
        <f t="shared" si="67"/>
        <v>238</v>
      </c>
      <c r="AH246">
        <f t="shared" si="68"/>
        <v>238</v>
      </c>
      <c r="AI246">
        <f t="shared" si="69"/>
        <v>0</v>
      </c>
      <c r="AJ246">
        <f t="shared" si="70"/>
        <v>0</v>
      </c>
      <c r="AK246">
        <f t="shared" si="71"/>
        <v>0</v>
      </c>
      <c r="AL246">
        <f t="shared" si="72"/>
        <v>0</v>
      </c>
      <c r="AM246">
        <f t="shared" si="73"/>
        <v>0</v>
      </c>
      <c r="AN246">
        <f t="shared" si="74"/>
        <v>238</v>
      </c>
      <c r="AO246">
        <f t="shared" si="75"/>
        <v>238</v>
      </c>
      <c r="AP246">
        <f t="shared" si="76"/>
        <v>238</v>
      </c>
      <c r="AQ246">
        <f t="shared" si="77"/>
        <v>238</v>
      </c>
      <c r="AR246" s="6">
        <f t="shared" si="78"/>
        <v>238</v>
      </c>
      <c r="AS246">
        <f t="shared" si="79"/>
        <v>238</v>
      </c>
      <c r="AV246" s="1" t="str">
        <f>IF(IFERROR(INDEX($A$9:$W$304,$AS246,COLUMNS($AV$9:AV245)),"")=0,"",IFERROR(INDEX($A$9:$W$304,$AS246,COLUMNS($AV$9:AV245)),""))</f>
        <v>Spawning Demon</v>
      </c>
      <c r="AW246" s="1">
        <f>IFERROR(INDEX($A$9:$W$304,$AS246,COLUMNS($AV$9:AW245)),"")</f>
        <v>0</v>
      </c>
      <c r="AX246" s="1" t="str">
        <f>IF(IFERROR(INDEX($A$9:$X$304,$AS246,COLUMNS($AV$9:AX245)),"")=0,"",IFERROR(INDEX($A$9:$X$304,$AS246,COLUMNS($AV$9:AX245)),""))</f>
        <v>EVIL</v>
      </c>
      <c r="AY246" s="1" t="str">
        <f>IF(IFERROR(INDEX($A$9:$X$304,$AS246,COLUMNS($AV$9:AY245)),"")=0,"",IFERROR(INDEX($A$9:$X$304,$AS246,COLUMNS($AV$9:AY245)),""))</f>
        <v/>
      </c>
      <c r="AZ246" s="1" t="str">
        <f>IF(IFERROR(INDEX($A$9:$X$304,$AS246,COLUMNS($AV$9:AZ245)),"")=0,"",IFERROR(INDEX($A$9:$X$304,$AS246,COLUMNS($AV$9:AZ245)),""))</f>
        <v>CHAMPION</v>
      </c>
      <c r="BA246" s="1">
        <f>IF(IFERROR(INDEX($A$9:$X$304,$AS246,COLUMNS($AV$9:BA245)),"")=0,"",IFERROR(INDEX($A$9:$X$304,$AS246,COLUMNS($AV$9:BA245)),""))</f>
        <v>4</v>
      </c>
      <c r="BB246" s="1">
        <f>IF(IFERROR(INDEX($A$9:$X$304,$AS246,COLUMNS($AV$9:BB245)),"")=0,"",IFERROR(INDEX($A$9:$X$304,$AS246,COLUMNS($AV$9:BB245)),""))</f>
        <v>4</v>
      </c>
      <c r="BC246" s="1" t="str">
        <f>IF(IFERROR(INDEX($A$9:$X$304,$AS246,COLUMNS($AV$9:BC245)),"")=0,"",IFERROR(INDEX($A$9:$X$304,$AS246,COLUMNS($AV$9:BC245)),""))</f>
        <v>Ambush</v>
      </c>
      <c r="BD246" s="1" t="str">
        <f>IF(IFERROR(INDEX($A$9:$X$304,$AS246,COLUMNS($AV$9:BD245)),"")=0,"",IFERROR(INDEX($A$9:$X$304,$AS246,COLUMNS($AV$9:BD245)),""))</f>
        <v>{evil} → You may pay 1 health. If you do, put a demon token into play.</v>
      </c>
      <c r="BE246" s="1" t="str">
        <f>IF(IFERROR(INDEX($A$9:$X$304,$AS246,COLUMNS($AV$9:BE245)),"")=0,"",IFERROR(INDEX($A$9:$X$304,$AS246,COLUMNS($AV$9:BE245)),""))</f>
        <v/>
      </c>
      <c r="BF246" s="1" t="str">
        <f>IF(IFERROR(INDEX($A$9:$X$304,$AS246,COLUMNS($AV$9:BF245)),"")=0,"",IFERROR(INDEX($A$9:$X$304,$AS246,COLUMNS($AV$9:BF245)),""))</f>
        <v/>
      </c>
      <c r="BG246" s="1" t="str">
        <f>IF(IFERROR(INDEX($A$9:$X$304,$AS246,COLUMNS($AV$9:BG245)),"")=0,"",IFERROR(INDEX($A$9:$X$304,$AS246,COLUMNS($AV$9:BG245)),""))</f>
        <v/>
      </c>
      <c r="BH246" s="1" t="str">
        <f>IF(IFERROR(INDEX($A$9:$X$304,$AS246,COLUMNS($AV$9:BH245)),"")=0,"",IFERROR(INDEX($A$9:$X$304,$AS246,COLUMNS($AV$9:BH245)),""))</f>
        <v/>
      </c>
      <c r="BI246" s="1" t="str">
        <f>IF(IFERROR(INDEX($A$9:$X$304,$AS246,COLUMNS($AV$9:BI245)),"")=0,"",IFERROR(INDEX($A$9:$X$304,$AS246,COLUMNS($AV$9:BI245)),""))</f>
        <v/>
      </c>
      <c r="BJ246" s="1" t="str">
        <f>IF(IFERROR(INDEX($A$9:$X$304,$AS246,COLUMNS($AV$9:BJ245)),"")=0,"",IFERROR(INDEX($A$9:$X$304,$AS246,COLUMNS($AV$9:BJ245)),""))</f>
        <v>DEMON</v>
      </c>
      <c r="BK246" s="1" t="str">
        <f>IF(IFERROR(INDEX($A$9:$X$304,$AS246,COLUMNS($AV$9:BK245)),"")=0,"",IFERROR(INDEX($A$9:$X$304,$AS246,COLUMNS($AV$9:BK245)),""))</f>
        <v>Common</v>
      </c>
      <c r="BL246" s="1" t="str">
        <f>IF(IFERROR(INDEX($A$9:$X$304,$AS246,COLUMNS($AV$9:BL245)),"")=0,"",IFERROR(INDEX($A$9:$X$304,$AS246,COLUMNS($AV$9:BL245)),""))</f>
        <v>Johnny Morrow</v>
      </c>
      <c r="BM246" s="1" t="str">
        <f>IF(IFERROR(INDEX($A$9:$X$304,$AS246,COLUMNS($AV$9:BM245)),"")=0,"",IFERROR(INDEX($A$9:$X$304,$AS246,COLUMNS($AV$9:BM245)),""))</f>
        <v>Tyrants: Raxxa's Revenge</v>
      </c>
      <c r="BN246" s="3" t="b">
        <f>IF(IFERROR(INDEX($A$9:$X$304,$AS246,COLUMNS($AV$9:BN245)),"")=0,"",IFERROR(INDEX($A$9:$X$304,$AS246,COLUMNS($AV$9:BN245)),""))</f>
        <v>0</v>
      </c>
      <c r="BO246" s="3" t="b">
        <f>IF(IFERROR(INDEX($A$9:$X$304,$AS246,COLUMNS($AV$9:BO245)),"")=0,"",IFERROR(INDEX($A$9:$X$304,$AS246,COLUMNS($AV$9:BO245)),""))</f>
        <v>0</v>
      </c>
      <c r="BP246" s="3" t="b">
        <f>IF(IFERROR(INDEX($A$9:$X$304,$AS246,COLUMNS($AV$9:BP245)),"")=0,"",IFERROR(INDEX($A$9:$X$304,$AS246,COLUMNS($AV$9:BP245)),""))</f>
        <v>0</v>
      </c>
      <c r="BQ246" s="3" t="b">
        <f>IF(IFERROR(INDEX($A$9:$X$304,$AS246,COLUMNS($AV$9:BQ245)),"")=0,"",IFERROR(INDEX($A$9:$X$304,$AS246,COLUMNS($AV$9:BQ245)),""))</f>
        <v>0</v>
      </c>
      <c r="BR246" s="3" t="str">
        <f>IF(IFERROR(INDEX($A$9:$X$304,$AS246,COLUMNS($AV$9:BR245)),"")=0,"",IFERROR(INDEX($A$9:$X$304,$AS246,COLUMNS($AV$9:BR245)),""))</f>
        <v>http://www.epiccardgame.com/wp-content/uploads/2016/03/spawning_demon-214x300.jpg</v>
      </c>
      <c r="BS246" s="3" t="str">
        <f>IF(IFERROR(INDEX($A$9:$X$304,$AS246,COLUMNS($AV$9:BS245)),"")=0,"",IFERROR(INDEX($A$9:$X$304,$AS246,COLUMNS($AV$9:BS245)),""))</f>
        <v/>
      </c>
      <c r="BT246" s="3"/>
      <c r="BU246" s="15"/>
      <c r="BV246" t="s">
        <v>267</v>
      </c>
    </row>
    <row r="247" spans="1:74" ht="225" customHeight="1" x14ac:dyDescent="0.25">
      <c r="A247" t="s">
        <v>558</v>
      </c>
      <c r="B247">
        <v>0</v>
      </c>
      <c r="C247" t="s">
        <v>616</v>
      </c>
      <c r="E247" t="s">
        <v>619</v>
      </c>
      <c r="H247" t="s">
        <v>739</v>
      </c>
      <c r="I247" t="s">
        <v>23</v>
      </c>
      <c r="J247" t="s">
        <v>1019</v>
      </c>
      <c r="O247" t="s">
        <v>1062</v>
      </c>
      <c r="P247" t="s">
        <v>1112</v>
      </c>
      <c r="Q247" t="s">
        <v>1116</v>
      </c>
      <c r="R247" t="s">
        <v>1171</v>
      </c>
      <c r="S247" t="b">
        <v>0</v>
      </c>
      <c r="T247" t="b">
        <v>0</v>
      </c>
      <c r="U247" t="b">
        <v>0</v>
      </c>
      <c r="V247" t="b">
        <v>0</v>
      </c>
      <c r="W247" s="2" t="s">
        <v>1422</v>
      </c>
      <c r="X247" s="2"/>
      <c r="Y247" s="24">
        <v>239</v>
      </c>
      <c r="Z247">
        <f t="shared" si="60"/>
        <v>239</v>
      </c>
      <c r="AA247">
        <f t="shared" si="61"/>
        <v>239</v>
      </c>
      <c r="AB247">
        <f t="shared" si="62"/>
        <v>239</v>
      </c>
      <c r="AC247">
        <f t="shared" si="63"/>
        <v>0</v>
      </c>
      <c r="AD247">
        <f t="shared" si="64"/>
        <v>239</v>
      </c>
      <c r="AE247">
        <f t="shared" si="65"/>
        <v>0</v>
      </c>
      <c r="AF247">
        <f t="shared" si="66"/>
        <v>0</v>
      </c>
      <c r="AG247">
        <f t="shared" si="67"/>
        <v>239</v>
      </c>
      <c r="AH247">
        <f t="shared" si="68"/>
        <v>239</v>
      </c>
      <c r="AI247">
        <f t="shared" si="69"/>
        <v>239</v>
      </c>
      <c r="AJ247">
        <f t="shared" si="70"/>
        <v>0</v>
      </c>
      <c r="AK247">
        <f t="shared" si="71"/>
        <v>0</v>
      </c>
      <c r="AL247">
        <f t="shared" si="72"/>
        <v>0</v>
      </c>
      <c r="AM247">
        <f t="shared" si="73"/>
        <v>0</v>
      </c>
      <c r="AN247">
        <f t="shared" si="74"/>
        <v>239</v>
      </c>
      <c r="AO247">
        <f t="shared" si="75"/>
        <v>239</v>
      </c>
      <c r="AP247">
        <f t="shared" si="76"/>
        <v>239</v>
      </c>
      <c r="AQ247">
        <f t="shared" si="77"/>
        <v>239</v>
      </c>
      <c r="AR247" s="6">
        <f t="shared" si="78"/>
        <v>239</v>
      </c>
      <c r="AS247">
        <f t="shared" si="79"/>
        <v>239</v>
      </c>
      <c r="AV247" s="1" t="str">
        <f>IF(IFERROR(INDEX($A$9:$W$304,$AS247,COLUMNS($AV$9:AV246)),"")=0,"",IFERROR(INDEX($A$9:$W$304,$AS247,COLUMNS($AV$9:AV246)),""))</f>
        <v>Spike Trap</v>
      </c>
      <c r="AW247" s="1">
        <f>IFERROR(INDEX($A$9:$W$304,$AS247,COLUMNS($AV$9:AW246)),"")</f>
        <v>0</v>
      </c>
      <c r="AX247" s="1" t="str">
        <f>IF(IFERROR(INDEX($A$9:$X$304,$AS247,COLUMNS($AV$9:AX246)),"")=0,"",IFERROR(INDEX($A$9:$X$304,$AS247,COLUMNS($AV$9:AX246)),""))</f>
        <v>SAGE</v>
      </c>
      <c r="AY247" s="1" t="str">
        <f>IF(IFERROR(INDEX($A$9:$X$304,$AS247,COLUMNS($AV$9:AY246)),"")=0,"",IFERROR(INDEX($A$9:$X$304,$AS247,COLUMNS($AV$9:AY246)),""))</f>
        <v/>
      </c>
      <c r="AZ247" s="1" t="str">
        <f>IF(IFERROR(INDEX($A$9:$X$304,$AS247,COLUMNS($AV$9:AZ246)),"")=0,"",IFERROR(INDEX($A$9:$X$304,$AS247,COLUMNS($AV$9:AZ246)),""))</f>
        <v>EVENT</v>
      </c>
      <c r="BA247" s="1" t="str">
        <f>IF(IFERROR(INDEX($A$9:$X$304,$AS247,COLUMNS($AV$9:BA246)),"")=0,"",IFERROR(INDEX($A$9:$X$304,$AS247,COLUMNS($AV$9:BA246)),""))</f>
        <v/>
      </c>
      <c r="BB247" s="1" t="str">
        <f>IF(IFERROR(INDEX($A$9:$X$304,$AS247,COLUMNS($AV$9:BB246)),"")=0,"",IFERROR(INDEX($A$9:$X$304,$AS247,COLUMNS($AV$9:BB246)),""))</f>
        <v/>
      </c>
      <c r="BC247" s="1" t="str">
        <f>IF(IFERROR(INDEX($A$9:$X$304,$AS247,COLUMNS($AV$9:BC246)),"")=0,"",IFERROR(INDEX($A$9:$X$304,$AS247,COLUMNS($AV$9:BC246)),""))</f>
        <v>Deal 5 damage to each attacking champion.</v>
      </c>
      <c r="BD247" s="1" t="str">
        <f>IF(IFERROR(INDEX($A$9:$X$304,$AS247,COLUMNS($AV$9:BD246)),"")=0,"",IFERROR(INDEX($A$9:$X$304,$AS247,COLUMNS($AV$9:BD246)),""))</f>
        <v>Recycle</v>
      </c>
      <c r="BE247" s="1" t="str">
        <f>IF(IFERROR(INDEX($A$9:$X$304,$AS247,COLUMNS($AV$9:BE246)),"")=0,"",IFERROR(INDEX($A$9:$X$304,$AS247,COLUMNS($AV$9:BE246)),""))</f>
        <v>(To recycle, you may banish two cards from your discard pile. If you do, draw a card.)</v>
      </c>
      <c r="BF247" s="1" t="str">
        <f>IF(IFERROR(INDEX($A$9:$X$304,$AS247,COLUMNS($AV$9:BF246)),"")=0,"",IFERROR(INDEX($A$9:$X$304,$AS247,COLUMNS($AV$9:BF246)),""))</f>
        <v/>
      </c>
      <c r="BG247" s="1" t="str">
        <f>IF(IFERROR(INDEX($A$9:$X$304,$AS247,COLUMNS($AV$9:BG246)),"")=0,"",IFERROR(INDEX($A$9:$X$304,$AS247,COLUMNS($AV$9:BG246)),""))</f>
        <v/>
      </c>
      <c r="BH247" s="1" t="str">
        <f>IF(IFERROR(INDEX($A$9:$X$304,$AS247,COLUMNS($AV$9:BH246)),"")=0,"",IFERROR(INDEX($A$9:$X$304,$AS247,COLUMNS($AV$9:BH246)),""))</f>
        <v/>
      </c>
      <c r="BI247" s="1" t="str">
        <f>IF(IFERROR(INDEX($A$9:$X$304,$AS247,COLUMNS($AV$9:BI246)),"")=0,"",IFERROR(INDEX($A$9:$X$304,$AS247,COLUMNS($AV$9:BI246)),""))</f>
        <v/>
      </c>
      <c r="BJ247" s="1" t="str">
        <f>IF(IFERROR(INDEX($A$9:$X$304,$AS247,COLUMNS($AV$9:BJ246)),"")=0,"",IFERROR(INDEX($A$9:$X$304,$AS247,COLUMNS($AV$9:BJ246)),""))</f>
        <v>None</v>
      </c>
      <c r="BK247" s="1" t="str">
        <f>IF(IFERROR(INDEX($A$9:$X$304,$AS247,COLUMNS($AV$9:BK246)),"")=0,"",IFERROR(INDEX($A$9:$X$304,$AS247,COLUMNS($AV$9:BK246)),""))</f>
        <v>Common</v>
      </c>
      <c r="BL247" s="1" t="str">
        <f>IF(IFERROR(INDEX($A$9:$X$304,$AS247,COLUMNS($AV$9:BL246)),"")=0,"",IFERROR(INDEX($A$9:$X$304,$AS247,COLUMNS($AV$9:BL246)),""))</f>
        <v>Apsara</v>
      </c>
      <c r="BM247" s="1" t="str">
        <f>IF(IFERROR(INDEX($A$9:$X$304,$AS247,COLUMNS($AV$9:BM246)),"")=0,"",IFERROR(INDEX($A$9:$X$304,$AS247,COLUMNS($AV$9:BM246)),""))</f>
        <v>Base Set</v>
      </c>
      <c r="BN247" s="3" t="b">
        <f>IF(IFERROR(INDEX($A$9:$X$304,$AS247,COLUMNS($AV$9:BN246)),"")=0,"",IFERROR(INDEX($A$9:$X$304,$AS247,COLUMNS($AV$9:BN246)),""))</f>
        <v>0</v>
      </c>
      <c r="BO247" s="3" t="b">
        <f>IF(IFERROR(INDEX($A$9:$X$304,$AS247,COLUMNS($AV$9:BO246)),"")=0,"",IFERROR(INDEX($A$9:$X$304,$AS247,COLUMNS($AV$9:BO246)),""))</f>
        <v>0</v>
      </c>
      <c r="BP247" s="3" t="b">
        <f>IF(IFERROR(INDEX($A$9:$X$304,$AS247,COLUMNS($AV$9:BP246)),"")=0,"",IFERROR(INDEX($A$9:$X$304,$AS247,COLUMNS($AV$9:BP246)),""))</f>
        <v>0</v>
      </c>
      <c r="BQ247" s="3" t="b">
        <f>IF(IFERROR(INDEX($A$9:$X$304,$AS247,COLUMNS($AV$9:BQ246)),"")=0,"",IFERROR(INDEX($A$9:$X$304,$AS247,COLUMNS($AV$9:BQ246)),""))</f>
        <v>0</v>
      </c>
      <c r="BR247" s="3" t="str">
        <f>IF(IFERROR(INDEX($A$9:$X$304,$AS247,COLUMNS($AV$9:BR246)),"")=0,"",IFERROR(INDEX($A$9:$X$304,$AS247,COLUMNS($AV$9:BR246)),""))</f>
        <v>http://www.epiccardgame.com/wp-content/uploads/2015/09/spike_trap-215x300.jpg</v>
      </c>
      <c r="BS247" s="3" t="str">
        <f>IF(IFERROR(INDEX($A$9:$X$304,$AS247,COLUMNS($AV$9:BS246)),"")=0,"",IFERROR(INDEX($A$9:$X$304,$AS247,COLUMNS($AV$9:BS246)),""))</f>
        <v/>
      </c>
      <c r="BT247" s="3"/>
      <c r="BU247" s="15"/>
      <c r="BV247" t="s">
        <v>268</v>
      </c>
    </row>
    <row r="248" spans="1:74" ht="225.2" customHeight="1" x14ac:dyDescent="0.25">
      <c r="A248" t="s">
        <v>559</v>
      </c>
      <c r="B248">
        <v>0</v>
      </c>
      <c r="C248" t="s">
        <v>618</v>
      </c>
      <c r="E248" t="s">
        <v>619</v>
      </c>
      <c r="H248" t="s">
        <v>740</v>
      </c>
      <c r="I248" t="s">
        <v>769</v>
      </c>
      <c r="O248" t="s">
        <v>1062</v>
      </c>
      <c r="P248" t="s">
        <v>1113</v>
      </c>
      <c r="Q248" t="s">
        <v>1119</v>
      </c>
      <c r="R248" t="s">
        <v>1169</v>
      </c>
      <c r="S248" t="b">
        <v>1</v>
      </c>
      <c r="T248" t="b">
        <v>1</v>
      </c>
      <c r="U248" t="b">
        <v>0</v>
      </c>
      <c r="V248" t="b">
        <v>0</v>
      </c>
      <c r="W248" s="2" t="s">
        <v>1423</v>
      </c>
      <c r="X248" s="2"/>
      <c r="Y248" s="24">
        <v>240</v>
      </c>
      <c r="Z248">
        <f t="shared" si="60"/>
        <v>240</v>
      </c>
      <c r="AA248">
        <f t="shared" si="61"/>
        <v>240</v>
      </c>
      <c r="AB248">
        <f t="shared" si="62"/>
        <v>240</v>
      </c>
      <c r="AC248">
        <f t="shared" si="63"/>
        <v>0</v>
      </c>
      <c r="AD248">
        <f t="shared" si="64"/>
        <v>240</v>
      </c>
      <c r="AE248">
        <f t="shared" si="65"/>
        <v>0</v>
      </c>
      <c r="AF248">
        <f t="shared" si="66"/>
        <v>0</v>
      </c>
      <c r="AG248">
        <f t="shared" si="67"/>
        <v>240</v>
      </c>
      <c r="AH248">
        <f t="shared" si="68"/>
        <v>240</v>
      </c>
      <c r="AI248">
        <f t="shared" si="69"/>
        <v>0</v>
      </c>
      <c r="AJ248">
        <f t="shared" si="70"/>
        <v>0</v>
      </c>
      <c r="AK248">
        <f t="shared" si="71"/>
        <v>0</v>
      </c>
      <c r="AL248">
        <f t="shared" si="72"/>
        <v>0</v>
      </c>
      <c r="AM248">
        <f t="shared" si="73"/>
        <v>0</v>
      </c>
      <c r="AN248">
        <f t="shared" si="74"/>
        <v>240</v>
      </c>
      <c r="AO248">
        <f t="shared" si="75"/>
        <v>240</v>
      </c>
      <c r="AP248">
        <f t="shared" si="76"/>
        <v>240</v>
      </c>
      <c r="AQ248">
        <f t="shared" si="77"/>
        <v>240</v>
      </c>
      <c r="AR248" s="6">
        <f t="shared" si="78"/>
        <v>240</v>
      </c>
      <c r="AS248">
        <f t="shared" si="79"/>
        <v>240</v>
      </c>
      <c r="AV248" s="1" t="str">
        <f>IF(IFERROR(INDEX($A$9:$W$304,$AS248,COLUMNS($AV$9:AV247)),"")=0,"",IFERROR(INDEX($A$9:$W$304,$AS248,COLUMNS($AV$9:AV247)),""))</f>
        <v>Spite</v>
      </c>
      <c r="AW248" s="1">
        <f>IFERROR(INDEX($A$9:$W$304,$AS248,COLUMNS($AV$9:AW247)),"")</f>
        <v>0</v>
      </c>
      <c r="AX248" s="1" t="str">
        <f>IF(IFERROR(INDEX($A$9:$X$304,$AS248,COLUMNS($AV$9:AX247)),"")=0,"",IFERROR(INDEX($A$9:$X$304,$AS248,COLUMNS($AV$9:AX247)),""))</f>
        <v>EVIL</v>
      </c>
      <c r="AY248" s="1" t="str">
        <f>IF(IFERROR(INDEX($A$9:$X$304,$AS248,COLUMNS($AV$9:AY247)),"")=0,"",IFERROR(INDEX($A$9:$X$304,$AS248,COLUMNS($AV$9:AY247)),""))</f>
        <v/>
      </c>
      <c r="AZ248" s="1" t="str">
        <f>IF(IFERROR(INDEX($A$9:$X$304,$AS248,COLUMNS($AV$9:AZ247)),"")=0,"",IFERROR(INDEX($A$9:$X$304,$AS248,COLUMNS($AV$9:AZ247)),""))</f>
        <v>EVENT</v>
      </c>
      <c r="BA248" s="1" t="str">
        <f>IF(IFERROR(INDEX($A$9:$X$304,$AS248,COLUMNS($AV$9:BA247)),"")=0,"",IFERROR(INDEX($A$9:$X$304,$AS248,COLUMNS($AV$9:BA247)),""))</f>
        <v/>
      </c>
      <c r="BB248" s="1" t="str">
        <f>IF(IFERROR(INDEX($A$9:$X$304,$AS248,COLUMNS($AV$9:BB247)),"")=0,"",IFERROR(INDEX($A$9:$X$304,$AS248,COLUMNS($AV$9:BB247)),""))</f>
        <v/>
      </c>
      <c r="BC248" s="1" t="str">
        <f>IF(IFERROR(INDEX($A$9:$X$304,$AS248,COLUMNS($AV$9:BC247)),"")=0,"",IFERROR(INDEX($A$9:$X$304,$AS248,COLUMNS($AV$9:BC247)),""))</f>
        <v>Lose any amount of health and deal twice that much damage to target champion.</v>
      </c>
      <c r="BD248" s="1" t="str">
        <f>IF(IFERROR(INDEX($A$9:$X$304,$AS248,COLUMNS($AV$9:BD247)),"")=0,"",IFERROR(INDEX($A$9:$X$304,$AS248,COLUMNS($AV$9:BD247)),""))</f>
        <v>{1}: Draw two cards.</v>
      </c>
      <c r="BE248" s="1" t="str">
        <f>IF(IFERROR(INDEX($A$9:$X$304,$AS248,COLUMNS($AV$9:BE247)),"")=0,"",IFERROR(INDEX($A$9:$X$304,$AS248,COLUMNS($AV$9:BE247)),""))</f>
        <v/>
      </c>
      <c r="BF248" s="1" t="str">
        <f>IF(IFERROR(INDEX($A$9:$X$304,$AS248,COLUMNS($AV$9:BF247)),"")=0,"",IFERROR(INDEX($A$9:$X$304,$AS248,COLUMNS($AV$9:BF247)),""))</f>
        <v/>
      </c>
      <c r="BG248" s="1" t="str">
        <f>IF(IFERROR(INDEX($A$9:$X$304,$AS248,COLUMNS($AV$9:BG247)),"")=0,"",IFERROR(INDEX($A$9:$X$304,$AS248,COLUMNS($AV$9:BG247)),""))</f>
        <v/>
      </c>
      <c r="BH248" s="1" t="str">
        <f>IF(IFERROR(INDEX($A$9:$X$304,$AS248,COLUMNS($AV$9:BH247)),"")=0,"",IFERROR(INDEX($A$9:$X$304,$AS248,COLUMNS($AV$9:BH247)),""))</f>
        <v/>
      </c>
      <c r="BI248" s="1" t="str">
        <f>IF(IFERROR(INDEX($A$9:$X$304,$AS248,COLUMNS($AV$9:BI247)),"")=0,"",IFERROR(INDEX($A$9:$X$304,$AS248,COLUMNS($AV$9:BI247)),""))</f>
        <v/>
      </c>
      <c r="BJ248" s="1" t="str">
        <f>IF(IFERROR(INDEX($A$9:$X$304,$AS248,COLUMNS($AV$9:BJ247)),"")=0,"",IFERROR(INDEX($A$9:$X$304,$AS248,COLUMNS($AV$9:BJ247)),""))</f>
        <v>None</v>
      </c>
      <c r="BK248" s="1" t="str">
        <f>IF(IFERROR(INDEX($A$9:$X$304,$AS248,COLUMNS($AV$9:BK247)),"")=0,"",IFERROR(INDEX($A$9:$X$304,$AS248,COLUMNS($AV$9:BK247)),""))</f>
        <v>Rare</v>
      </c>
      <c r="BL248" s="1" t="str">
        <f>IF(IFERROR(INDEX($A$9:$X$304,$AS248,COLUMNS($AV$9:BL247)),"")=0,"",IFERROR(INDEX($A$9:$X$304,$AS248,COLUMNS($AV$9:BL247)),""))</f>
        <v>Sarah McCulloch</v>
      </c>
      <c r="BM248" s="1" t="str">
        <f>IF(IFERROR(INDEX($A$9:$X$304,$AS248,COLUMNS($AV$9:BM247)),"")=0,"",IFERROR(INDEX($A$9:$X$304,$AS248,COLUMNS($AV$9:BM247)),""))</f>
        <v>Kickstarter Promo</v>
      </c>
      <c r="BN248" s="3" t="b">
        <f>IF(IFERROR(INDEX($A$9:$X$304,$AS248,COLUMNS($AV$9:BN247)),"")=0,"",IFERROR(INDEX($A$9:$X$304,$AS248,COLUMNS($AV$9:BN247)),""))</f>
        <v>1</v>
      </c>
      <c r="BO248" s="3" t="b">
        <f>IF(IFERROR(INDEX($A$9:$X$304,$AS248,COLUMNS($AV$9:BO247)),"")=0,"",IFERROR(INDEX($A$9:$X$304,$AS248,COLUMNS($AV$9:BO247)),""))</f>
        <v>1</v>
      </c>
      <c r="BP248" s="3" t="b">
        <f>IF(IFERROR(INDEX($A$9:$X$304,$AS248,COLUMNS($AV$9:BP247)),"")=0,"",IFERROR(INDEX($A$9:$X$304,$AS248,COLUMNS($AV$9:BP247)),""))</f>
        <v>0</v>
      </c>
      <c r="BQ248" s="3" t="b">
        <f>IF(IFERROR(INDEX($A$9:$X$304,$AS248,COLUMNS($AV$9:BQ247)),"")=0,"",IFERROR(INDEX($A$9:$X$304,$AS248,COLUMNS($AV$9:BQ247)),""))</f>
        <v>0</v>
      </c>
      <c r="BR248" s="3" t="str">
        <f>IF(IFERROR(INDEX($A$9:$X$304,$AS248,COLUMNS($AV$9:BR247)),"")=0,"",IFERROR(INDEX($A$9:$X$304,$AS248,COLUMNS($AV$9:BR247)),""))</f>
        <v>http://www.epiccardgame.com/wp-content/uploads/2015/09/spite-215x300.jpg</v>
      </c>
      <c r="BS248" s="3" t="str">
        <f>IF(IFERROR(INDEX($A$9:$X$304,$AS248,COLUMNS($AV$9:BS247)),"")=0,"",IFERROR(INDEX($A$9:$X$304,$AS248,COLUMNS($AV$9:BS247)),""))</f>
        <v/>
      </c>
      <c r="BT248" s="3"/>
      <c r="BU248" s="15"/>
      <c r="BV248" t="s">
        <v>269</v>
      </c>
    </row>
    <row r="249" spans="1:74" ht="225.2" customHeight="1" x14ac:dyDescent="0.25">
      <c r="A249" t="s">
        <v>560</v>
      </c>
      <c r="B249">
        <v>0</v>
      </c>
      <c r="C249" t="s">
        <v>615</v>
      </c>
      <c r="E249" t="s">
        <v>620</v>
      </c>
      <c r="F249">
        <v>2</v>
      </c>
      <c r="G249">
        <v>2</v>
      </c>
      <c r="H249" t="s">
        <v>21</v>
      </c>
      <c r="I249" t="s">
        <v>674</v>
      </c>
      <c r="J249" t="s">
        <v>1020</v>
      </c>
      <c r="O249" t="s">
        <v>1084</v>
      </c>
      <c r="P249" t="s">
        <v>1113</v>
      </c>
      <c r="Q249" t="s">
        <v>1126</v>
      </c>
      <c r="R249" t="s">
        <v>1181</v>
      </c>
      <c r="S249" t="b">
        <v>0</v>
      </c>
      <c r="T249" t="b">
        <v>0</v>
      </c>
      <c r="U249" t="b">
        <v>0</v>
      </c>
      <c r="V249" t="b">
        <v>0</v>
      </c>
      <c r="W249" s="2" t="s">
        <v>1424</v>
      </c>
      <c r="X249" s="2"/>
      <c r="Y249" s="24">
        <v>241</v>
      </c>
      <c r="Z249">
        <f t="shared" si="60"/>
        <v>241</v>
      </c>
      <c r="AA249">
        <f t="shared" si="61"/>
        <v>241</v>
      </c>
      <c r="AB249">
        <f t="shared" si="62"/>
        <v>241</v>
      </c>
      <c r="AC249">
        <f t="shared" si="63"/>
        <v>0</v>
      </c>
      <c r="AD249">
        <f t="shared" si="64"/>
        <v>241</v>
      </c>
      <c r="AE249">
        <f t="shared" si="65"/>
        <v>241</v>
      </c>
      <c r="AF249">
        <f t="shared" si="66"/>
        <v>241</v>
      </c>
      <c r="AG249">
        <f t="shared" si="67"/>
        <v>241</v>
      </c>
      <c r="AH249">
        <f t="shared" si="68"/>
        <v>241</v>
      </c>
      <c r="AI249">
        <f t="shared" si="69"/>
        <v>241</v>
      </c>
      <c r="AJ249">
        <f t="shared" si="70"/>
        <v>0</v>
      </c>
      <c r="AK249">
        <f t="shared" si="71"/>
        <v>0</v>
      </c>
      <c r="AL249">
        <f t="shared" si="72"/>
        <v>0</v>
      </c>
      <c r="AM249">
        <f t="shared" si="73"/>
        <v>0</v>
      </c>
      <c r="AN249">
        <f t="shared" si="74"/>
        <v>241</v>
      </c>
      <c r="AO249">
        <f t="shared" si="75"/>
        <v>241</v>
      </c>
      <c r="AP249">
        <f t="shared" si="76"/>
        <v>241</v>
      </c>
      <c r="AQ249">
        <f t="shared" si="77"/>
        <v>241</v>
      </c>
      <c r="AR249" s="6">
        <f t="shared" si="78"/>
        <v>241</v>
      </c>
      <c r="AS249">
        <f t="shared" si="79"/>
        <v>241</v>
      </c>
      <c r="AV249" s="1" t="str">
        <f>IF(IFERROR(INDEX($A$9:$W$304,$AS249,COLUMNS($AV$9:AV248)),"")=0,"",IFERROR(INDEX($A$9:$W$304,$AS249,COLUMNS($AV$9:AV248)),""))</f>
        <v>Spore Beast</v>
      </c>
      <c r="AW249" s="1">
        <f>IFERROR(INDEX($A$9:$W$304,$AS249,COLUMNS($AV$9:AW248)),"")</f>
        <v>0</v>
      </c>
      <c r="AX249" s="1" t="str">
        <f>IF(IFERROR(INDEX($A$9:$X$304,$AS249,COLUMNS($AV$9:AX248)),"")=0,"",IFERROR(INDEX($A$9:$X$304,$AS249,COLUMNS($AV$9:AX248)),""))</f>
        <v>WILD</v>
      </c>
      <c r="AY249" s="1" t="str">
        <f>IF(IFERROR(INDEX($A$9:$X$304,$AS249,COLUMNS($AV$9:AY248)),"")=0,"",IFERROR(INDEX($A$9:$X$304,$AS249,COLUMNS($AV$9:AY248)),""))</f>
        <v/>
      </c>
      <c r="AZ249" s="1" t="str">
        <f>IF(IFERROR(INDEX($A$9:$X$304,$AS249,COLUMNS($AV$9:AZ248)),"")=0,"",IFERROR(INDEX($A$9:$X$304,$AS249,COLUMNS($AV$9:AZ248)),""))</f>
        <v>CHAMPION</v>
      </c>
      <c r="BA249" s="1">
        <f>IF(IFERROR(INDEX($A$9:$X$304,$AS249,COLUMNS($AV$9:BA248)),"")=0,"",IFERROR(INDEX($A$9:$X$304,$AS249,COLUMNS($AV$9:BA248)),""))</f>
        <v>2</v>
      </c>
      <c r="BB249" s="1">
        <f>IF(IFERROR(INDEX($A$9:$X$304,$AS249,COLUMNS($AV$9:BB248)),"")=0,"",IFERROR(INDEX($A$9:$X$304,$AS249,COLUMNS($AV$9:BB248)),""))</f>
        <v>2</v>
      </c>
      <c r="BC249" s="1" t="str">
        <f>IF(IFERROR(INDEX($A$9:$X$304,$AS249,COLUMNS($AV$9:BC248)),"")=0,"",IFERROR(INDEX($A$9:$X$304,$AS249,COLUMNS($AV$9:BC248)),""))</f>
        <v>Ambush</v>
      </c>
      <c r="BD249" s="1" t="str">
        <f>IF(IFERROR(INDEX($A$9:$X$304,$AS249,COLUMNS($AV$9:BD248)),"")=0,"",IFERROR(INDEX($A$9:$X$304,$AS249,COLUMNS($AV$9:BD248)),""))</f>
        <v>Loyalty 2 → Blitz</v>
      </c>
      <c r="BE249" s="1" t="str">
        <f>IF(IFERROR(INDEX($A$9:$X$304,$AS249,COLUMNS($AV$9:BE248)),"")=0,"",IFERROR(INDEX($A$9:$X$304,$AS249,COLUMNS($AV$9:BE248)),""))</f>
        <v>{expend}: Remove another target champion from combat. (It remains expended or flipped.)</v>
      </c>
      <c r="BF249" s="1" t="str">
        <f>IF(IFERROR(INDEX($A$9:$X$304,$AS249,COLUMNS($AV$9:BF248)),"")=0,"",IFERROR(INDEX($A$9:$X$304,$AS249,COLUMNS($AV$9:BF248)),""))</f>
        <v/>
      </c>
      <c r="BG249" s="1" t="str">
        <f>IF(IFERROR(INDEX($A$9:$X$304,$AS249,COLUMNS($AV$9:BG248)),"")=0,"",IFERROR(INDEX($A$9:$X$304,$AS249,COLUMNS($AV$9:BG248)),""))</f>
        <v/>
      </c>
      <c r="BH249" s="1" t="str">
        <f>IF(IFERROR(INDEX($A$9:$X$304,$AS249,COLUMNS($AV$9:BH248)),"")=0,"",IFERROR(INDEX($A$9:$X$304,$AS249,COLUMNS($AV$9:BH248)),""))</f>
        <v/>
      </c>
      <c r="BI249" s="1" t="str">
        <f>IF(IFERROR(INDEX($A$9:$X$304,$AS249,COLUMNS($AV$9:BI248)),"")=0,"",IFERROR(INDEX($A$9:$X$304,$AS249,COLUMNS($AV$9:BI248)),""))</f>
        <v/>
      </c>
      <c r="BJ249" s="1" t="str">
        <f>IF(IFERROR(INDEX($A$9:$X$304,$AS249,COLUMNS($AV$9:BJ248)),"")=0,"",IFERROR(INDEX($A$9:$X$304,$AS249,COLUMNS($AV$9:BJ248)),""))</f>
        <v>PLANT</v>
      </c>
      <c r="BK249" s="1" t="str">
        <f>IF(IFERROR(INDEX($A$9:$X$304,$AS249,COLUMNS($AV$9:BK248)),"")=0,"",IFERROR(INDEX($A$9:$X$304,$AS249,COLUMNS($AV$9:BK248)),""))</f>
        <v>Rare</v>
      </c>
      <c r="BL249" s="1" t="str">
        <f>IF(IFERROR(INDEX($A$9:$X$304,$AS249,COLUMNS($AV$9:BL248)),"")=0,"",IFERROR(INDEX($A$9:$X$304,$AS249,COLUMNS($AV$9:BL248)),""))</f>
        <v>Jaime Tayag</v>
      </c>
      <c r="BM249" s="1" t="str">
        <f>IF(IFERROR(INDEX($A$9:$X$304,$AS249,COLUMNS($AV$9:BM248)),"")=0,"",IFERROR(INDEX($A$9:$X$304,$AS249,COLUMNS($AV$9:BM248)),""))</f>
        <v>Uprising: Kark's Edict</v>
      </c>
      <c r="BN249" s="3" t="b">
        <f>IF(IFERROR(INDEX($A$9:$X$304,$AS249,COLUMNS($AV$9:BN248)),"")=0,"",IFERROR(INDEX($A$9:$X$304,$AS249,COLUMNS($AV$9:BN248)),""))</f>
        <v>0</v>
      </c>
      <c r="BO249" s="3" t="b">
        <f>IF(IFERROR(INDEX($A$9:$X$304,$AS249,COLUMNS($AV$9:BO248)),"")=0,"",IFERROR(INDEX($A$9:$X$304,$AS249,COLUMNS($AV$9:BO248)),""))</f>
        <v>0</v>
      </c>
      <c r="BP249" s="3" t="b">
        <f>IF(IFERROR(INDEX($A$9:$X$304,$AS249,COLUMNS($AV$9:BP248)),"")=0,"",IFERROR(INDEX($A$9:$X$304,$AS249,COLUMNS($AV$9:BP248)),""))</f>
        <v>0</v>
      </c>
      <c r="BQ249" s="3" t="b">
        <f>IF(IFERROR(INDEX($A$9:$X$304,$AS249,COLUMNS($AV$9:BQ248)),"")=0,"",IFERROR(INDEX($A$9:$X$304,$AS249,COLUMNS($AV$9:BQ248)),""))</f>
        <v>0</v>
      </c>
      <c r="BR249" s="3" t="str">
        <f>IF(IFERROR(INDEX($A$9:$X$304,$AS249,COLUMNS($AV$9:BR248)),"")=0,"",IFERROR(INDEX($A$9:$X$304,$AS249,COLUMNS($AV$9:BR248)),""))</f>
        <v>https://www.epiccardgame.com/wp-content/uploads/2017/11/UPK-EN-spore-beast.jpg</v>
      </c>
      <c r="BS249" s="3" t="str">
        <f>IF(IFERROR(INDEX($A$9:$X$304,$AS249,COLUMNS($AV$9:BS248)),"")=0,"",IFERROR(INDEX($A$9:$X$304,$AS249,COLUMNS($AV$9:BS248)),""))</f>
        <v/>
      </c>
      <c r="BT249" s="3"/>
      <c r="BU249" s="15"/>
      <c r="BV249" t="s">
        <v>270</v>
      </c>
    </row>
    <row r="250" spans="1:74" ht="225.2" customHeight="1" x14ac:dyDescent="0.25">
      <c r="A250" t="s">
        <v>561</v>
      </c>
      <c r="B250">
        <v>1</v>
      </c>
      <c r="C250" t="s">
        <v>615</v>
      </c>
      <c r="E250" t="s">
        <v>620</v>
      </c>
      <c r="F250">
        <v>11</v>
      </c>
      <c r="G250">
        <v>11</v>
      </c>
      <c r="H250" t="s">
        <v>685</v>
      </c>
      <c r="I250" t="s">
        <v>934</v>
      </c>
      <c r="O250" t="s">
        <v>1066</v>
      </c>
      <c r="P250" t="s">
        <v>1112</v>
      </c>
      <c r="Q250" t="s">
        <v>1124</v>
      </c>
      <c r="R250" t="s">
        <v>1173</v>
      </c>
      <c r="S250" t="b">
        <v>1</v>
      </c>
      <c r="T250" t="b">
        <v>0</v>
      </c>
      <c r="U250" t="b">
        <v>0</v>
      </c>
      <c r="V250" t="b">
        <v>0</v>
      </c>
      <c r="W250" s="2" t="s">
        <v>1425</v>
      </c>
      <c r="X250" s="2"/>
      <c r="Y250" s="24">
        <v>242</v>
      </c>
      <c r="Z250">
        <f t="shared" si="60"/>
        <v>242</v>
      </c>
      <c r="AA250">
        <f t="shared" si="61"/>
        <v>242</v>
      </c>
      <c r="AB250">
        <f t="shared" si="62"/>
        <v>242</v>
      </c>
      <c r="AC250">
        <f t="shared" si="63"/>
        <v>0</v>
      </c>
      <c r="AD250">
        <f t="shared" si="64"/>
        <v>242</v>
      </c>
      <c r="AE250">
        <f t="shared" si="65"/>
        <v>242</v>
      </c>
      <c r="AF250">
        <f t="shared" si="66"/>
        <v>242</v>
      </c>
      <c r="AG250">
        <f t="shared" si="67"/>
        <v>242</v>
      </c>
      <c r="AH250">
        <f t="shared" si="68"/>
        <v>242</v>
      </c>
      <c r="AI250">
        <f t="shared" si="69"/>
        <v>0</v>
      </c>
      <c r="AJ250">
        <f t="shared" si="70"/>
        <v>0</v>
      </c>
      <c r="AK250">
        <f t="shared" si="71"/>
        <v>0</v>
      </c>
      <c r="AL250">
        <f t="shared" si="72"/>
        <v>0</v>
      </c>
      <c r="AM250">
        <f t="shared" si="73"/>
        <v>0</v>
      </c>
      <c r="AN250">
        <f t="shared" si="74"/>
        <v>242</v>
      </c>
      <c r="AO250">
        <f t="shared" si="75"/>
        <v>242</v>
      </c>
      <c r="AP250">
        <f t="shared" si="76"/>
        <v>242</v>
      </c>
      <c r="AQ250">
        <f t="shared" si="77"/>
        <v>242</v>
      </c>
      <c r="AR250" s="6">
        <f t="shared" si="78"/>
        <v>242</v>
      </c>
      <c r="AS250">
        <f t="shared" si="79"/>
        <v>242</v>
      </c>
      <c r="AV250" s="1" t="str">
        <f>IF(IFERROR(INDEX($A$9:$W$304,$AS250,COLUMNS($AV$9:AV249)),"")=0,"",IFERROR(INDEX($A$9:$W$304,$AS250,COLUMNS($AV$9:AV249)),""))</f>
        <v>Stampeding Einiosaurus</v>
      </c>
      <c r="AW250" s="1">
        <f>IFERROR(INDEX($A$9:$W$304,$AS250,COLUMNS($AV$9:AW249)),"")</f>
        <v>1</v>
      </c>
      <c r="AX250" s="1" t="str">
        <f>IF(IFERROR(INDEX($A$9:$X$304,$AS250,COLUMNS($AV$9:AX249)),"")=0,"",IFERROR(INDEX($A$9:$X$304,$AS250,COLUMNS($AV$9:AX249)),""))</f>
        <v>WILD</v>
      </c>
      <c r="AY250" s="1" t="str">
        <f>IF(IFERROR(INDEX($A$9:$X$304,$AS250,COLUMNS($AV$9:AY249)),"")=0,"",IFERROR(INDEX($A$9:$X$304,$AS250,COLUMNS($AV$9:AY249)),""))</f>
        <v/>
      </c>
      <c r="AZ250" s="1" t="str">
        <f>IF(IFERROR(INDEX($A$9:$X$304,$AS250,COLUMNS($AV$9:AZ249)),"")=0,"",IFERROR(INDEX($A$9:$X$304,$AS250,COLUMNS($AV$9:AZ249)),""))</f>
        <v>CHAMPION</v>
      </c>
      <c r="BA250" s="1">
        <f>IF(IFERROR(INDEX($A$9:$X$304,$AS250,COLUMNS($AV$9:BA249)),"")=0,"",IFERROR(INDEX($A$9:$X$304,$AS250,COLUMNS($AV$9:BA249)),""))</f>
        <v>11</v>
      </c>
      <c r="BB250" s="1">
        <f>IF(IFERROR(INDEX($A$9:$X$304,$AS250,COLUMNS($AV$9:BB249)),"")=0,"",IFERROR(INDEX($A$9:$X$304,$AS250,COLUMNS($AV$9:BB249)),""))</f>
        <v>11</v>
      </c>
      <c r="BC250" s="1" t="str">
        <f>IF(IFERROR(INDEX($A$9:$X$304,$AS250,COLUMNS($AV$9:BC249)),"")=0,"",IFERROR(INDEX($A$9:$X$304,$AS250,COLUMNS($AV$9:BC249)),""))</f>
        <v>Blitz ◆ Breakthrough</v>
      </c>
      <c r="BD250" s="1" t="str">
        <f>IF(IFERROR(INDEX($A$9:$X$304,$AS250,COLUMNS($AV$9:BD249)),"")=0,"",IFERROR(INDEX($A$9:$X$304,$AS250,COLUMNS($AV$9:BD249)),""))</f>
        <v>“I’d get out of the way if I were you!”</v>
      </c>
      <c r="BE250" s="1" t="str">
        <f>IF(IFERROR(INDEX($A$9:$X$304,$AS250,COLUMNS($AV$9:BE249)),"")=0,"",IFERROR(INDEX($A$9:$X$304,$AS250,COLUMNS($AV$9:BE249)),""))</f>
        <v/>
      </c>
      <c r="BF250" s="1" t="str">
        <f>IF(IFERROR(INDEX($A$9:$X$304,$AS250,COLUMNS($AV$9:BF249)),"")=0,"",IFERROR(INDEX($A$9:$X$304,$AS250,COLUMNS($AV$9:BF249)),""))</f>
        <v/>
      </c>
      <c r="BG250" s="1" t="str">
        <f>IF(IFERROR(INDEX($A$9:$X$304,$AS250,COLUMNS($AV$9:BG249)),"")=0,"",IFERROR(INDEX($A$9:$X$304,$AS250,COLUMNS($AV$9:BG249)),""))</f>
        <v/>
      </c>
      <c r="BH250" s="1" t="str">
        <f>IF(IFERROR(INDEX($A$9:$X$304,$AS250,COLUMNS($AV$9:BH249)),"")=0,"",IFERROR(INDEX($A$9:$X$304,$AS250,COLUMNS($AV$9:BH249)),""))</f>
        <v/>
      </c>
      <c r="BI250" s="1" t="str">
        <f>IF(IFERROR(INDEX($A$9:$X$304,$AS250,COLUMNS($AV$9:BI249)),"")=0,"",IFERROR(INDEX($A$9:$X$304,$AS250,COLUMNS($AV$9:BI249)),""))</f>
        <v/>
      </c>
      <c r="BJ250" s="1" t="str">
        <f>IF(IFERROR(INDEX($A$9:$X$304,$AS250,COLUMNS($AV$9:BJ249)),"")=0,"",IFERROR(INDEX($A$9:$X$304,$AS250,COLUMNS($AV$9:BJ249)),""))</f>
        <v>DINOSAUR</v>
      </c>
      <c r="BK250" s="1" t="str">
        <f>IF(IFERROR(INDEX($A$9:$X$304,$AS250,COLUMNS($AV$9:BK249)),"")=0,"",IFERROR(INDEX($A$9:$X$304,$AS250,COLUMNS($AV$9:BK249)),""))</f>
        <v>Common</v>
      </c>
      <c r="BL250" s="1" t="str">
        <f>IF(IFERROR(INDEX($A$9:$X$304,$AS250,COLUMNS($AV$9:BL249)),"")=0,"",IFERROR(INDEX($A$9:$X$304,$AS250,COLUMNS($AV$9:BL249)),""))</f>
        <v>Souveraine</v>
      </c>
      <c r="BM250" s="1" t="str">
        <f>IF(IFERROR(INDEX($A$9:$X$304,$AS250,COLUMNS($AV$9:BM249)),"")=0,"",IFERROR(INDEX($A$9:$X$304,$AS250,COLUMNS($AV$9:BM249)),""))</f>
        <v>Pantheon: Angeline vs Scara</v>
      </c>
      <c r="BN250" s="3" t="b">
        <f>IF(IFERROR(INDEX($A$9:$X$304,$AS250,COLUMNS($AV$9:BN249)),"")=0,"",IFERROR(INDEX($A$9:$X$304,$AS250,COLUMNS($AV$9:BN249)),""))</f>
        <v>1</v>
      </c>
      <c r="BO250" s="3" t="b">
        <f>IF(IFERROR(INDEX($A$9:$X$304,$AS250,COLUMNS($AV$9:BO249)),"")=0,"",IFERROR(INDEX($A$9:$X$304,$AS250,COLUMNS($AV$9:BO249)),""))</f>
        <v>0</v>
      </c>
      <c r="BP250" s="3" t="b">
        <f>IF(IFERROR(INDEX($A$9:$X$304,$AS250,COLUMNS($AV$9:BP249)),"")=0,"",IFERROR(INDEX($A$9:$X$304,$AS250,COLUMNS($AV$9:BP249)),""))</f>
        <v>0</v>
      </c>
      <c r="BQ250" s="3" t="b">
        <f>IF(IFERROR(INDEX($A$9:$X$304,$AS250,COLUMNS($AV$9:BQ249)),"")=0,"",IFERROR(INDEX($A$9:$X$304,$AS250,COLUMNS($AV$9:BQ249)),""))</f>
        <v>0</v>
      </c>
      <c r="BR250" s="3" t="str">
        <f>IF(IFERROR(INDEX($A$9:$X$304,$AS250,COLUMNS($AV$9:BR249)),"")=0,"",IFERROR(INDEX($A$9:$X$304,$AS250,COLUMNS($AV$9:BR249)),""))</f>
        <v>https://www.epiccardgame.com/wp-content/uploads/2017/11/PNA-EN-16-stampeding-einiosaurus.jpg</v>
      </c>
      <c r="BS250" s="3" t="str">
        <f>IF(IFERROR(INDEX($A$9:$X$304,$AS250,COLUMNS($AV$9:BS249)),"")=0,"",IFERROR(INDEX($A$9:$X$304,$AS250,COLUMNS($AV$9:BS249)),""))</f>
        <v/>
      </c>
      <c r="BT250" s="3"/>
      <c r="BU250" s="15"/>
      <c r="BV250" t="s">
        <v>271</v>
      </c>
    </row>
    <row r="251" spans="1:74" ht="225" customHeight="1" x14ac:dyDescent="0.25">
      <c r="A251" t="s">
        <v>562</v>
      </c>
      <c r="B251">
        <v>1</v>
      </c>
      <c r="C251" t="s">
        <v>616</v>
      </c>
      <c r="E251" t="s">
        <v>619</v>
      </c>
      <c r="H251" t="s">
        <v>627</v>
      </c>
      <c r="I251" t="s">
        <v>935</v>
      </c>
      <c r="O251" t="s">
        <v>1062</v>
      </c>
      <c r="P251" t="s">
        <v>1112</v>
      </c>
      <c r="Q251" t="s">
        <v>1118</v>
      </c>
      <c r="R251" t="s">
        <v>1171</v>
      </c>
      <c r="S251" t="b">
        <v>1</v>
      </c>
      <c r="T251" t="b">
        <v>1</v>
      </c>
      <c r="U251" t="b">
        <v>0</v>
      </c>
      <c r="V251" t="b">
        <v>0</v>
      </c>
      <c r="W251" s="2" t="s">
        <v>1426</v>
      </c>
      <c r="X251" s="2"/>
      <c r="Y251" s="24">
        <v>243</v>
      </c>
      <c r="Z251">
        <f t="shared" si="60"/>
        <v>243</v>
      </c>
      <c r="AA251">
        <f t="shared" si="61"/>
        <v>243</v>
      </c>
      <c r="AB251">
        <f t="shared" si="62"/>
        <v>243</v>
      </c>
      <c r="AC251">
        <f t="shared" si="63"/>
        <v>0</v>
      </c>
      <c r="AD251">
        <f t="shared" si="64"/>
        <v>243</v>
      </c>
      <c r="AE251">
        <f t="shared" si="65"/>
        <v>0</v>
      </c>
      <c r="AF251">
        <f t="shared" si="66"/>
        <v>0</v>
      </c>
      <c r="AG251">
        <f t="shared" si="67"/>
        <v>243</v>
      </c>
      <c r="AH251">
        <f t="shared" si="68"/>
        <v>243</v>
      </c>
      <c r="AI251">
        <f t="shared" si="69"/>
        <v>0</v>
      </c>
      <c r="AJ251">
        <f t="shared" si="70"/>
        <v>0</v>
      </c>
      <c r="AK251">
        <f t="shared" si="71"/>
        <v>0</v>
      </c>
      <c r="AL251">
        <f t="shared" si="72"/>
        <v>0</v>
      </c>
      <c r="AM251">
        <f t="shared" si="73"/>
        <v>0</v>
      </c>
      <c r="AN251">
        <f t="shared" si="74"/>
        <v>243</v>
      </c>
      <c r="AO251">
        <f t="shared" si="75"/>
        <v>243</v>
      </c>
      <c r="AP251">
        <f t="shared" si="76"/>
        <v>243</v>
      </c>
      <c r="AQ251">
        <f t="shared" si="77"/>
        <v>243</v>
      </c>
      <c r="AR251" s="6">
        <f t="shared" si="78"/>
        <v>243</v>
      </c>
      <c r="AS251">
        <f t="shared" si="79"/>
        <v>243</v>
      </c>
      <c r="AV251" s="1" t="str">
        <f>IF(IFERROR(INDEX($A$9:$W$304,$AS251,COLUMNS($AV$9:AV250)),"")=0,"",IFERROR(INDEX($A$9:$W$304,$AS251,COLUMNS($AV$9:AV250)),""))</f>
        <v>Stand Alone</v>
      </c>
      <c r="AW251" s="1">
        <f>IFERROR(INDEX($A$9:$W$304,$AS251,COLUMNS($AV$9:AW250)),"")</f>
        <v>1</v>
      </c>
      <c r="AX251" s="1" t="str">
        <f>IF(IFERROR(INDEX($A$9:$X$304,$AS251,COLUMNS($AV$9:AX250)),"")=0,"",IFERROR(INDEX($A$9:$X$304,$AS251,COLUMNS($AV$9:AX250)),""))</f>
        <v>SAGE</v>
      </c>
      <c r="AY251" s="1" t="str">
        <f>IF(IFERROR(INDEX($A$9:$X$304,$AS251,COLUMNS($AV$9:AY250)),"")=0,"",IFERROR(INDEX($A$9:$X$304,$AS251,COLUMNS($AV$9:AY250)),""))</f>
        <v/>
      </c>
      <c r="AZ251" s="1" t="str">
        <f>IF(IFERROR(INDEX($A$9:$X$304,$AS251,COLUMNS($AV$9:AZ250)),"")=0,"",IFERROR(INDEX($A$9:$X$304,$AS251,COLUMNS($AV$9:AZ250)),""))</f>
        <v>EVENT</v>
      </c>
      <c r="BA251" s="1" t="str">
        <f>IF(IFERROR(INDEX($A$9:$X$304,$AS251,COLUMNS($AV$9:BA250)),"")=0,"",IFERROR(INDEX($A$9:$X$304,$AS251,COLUMNS($AV$9:BA250)),""))</f>
        <v/>
      </c>
      <c r="BB251" s="1" t="str">
        <f>IF(IFERROR(INDEX($A$9:$X$304,$AS251,COLUMNS($AV$9:BB250)),"")=0,"",IFERROR(INDEX($A$9:$X$304,$AS251,COLUMNS($AV$9:BB250)),""))</f>
        <v/>
      </c>
      <c r="BC251" s="1" t="str">
        <f>IF(IFERROR(INDEX($A$9:$X$304,$AS251,COLUMNS($AV$9:BC250)),"")=0,"",IFERROR(INDEX($A$9:$X$304,$AS251,COLUMNS($AV$9:BC250)),""))</f>
        <v>Draw two cards.</v>
      </c>
      <c r="BD251" s="1" t="str">
        <f>IF(IFERROR(INDEX($A$9:$X$304,$AS251,COLUMNS($AV$9:BD250)),"")=0,"",IFERROR(INDEX($A$9:$X$304,$AS251,COLUMNS($AV$9:BD250)),""))</f>
        <v>Starting with you, each player chooses a champion they control. Break all other champions.</v>
      </c>
      <c r="BE251" s="1" t="str">
        <f>IF(IFERROR(INDEX($A$9:$X$304,$AS251,COLUMNS($AV$9:BE250)),"")=0,"",IFERROR(INDEX($A$9:$X$304,$AS251,COLUMNS($AV$9:BE250)),""))</f>
        <v/>
      </c>
      <c r="BF251" s="1" t="str">
        <f>IF(IFERROR(INDEX($A$9:$X$304,$AS251,COLUMNS($AV$9:BF250)),"")=0,"",IFERROR(INDEX($A$9:$X$304,$AS251,COLUMNS($AV$9:BF250)),""))</f>
        <v/>
      </c>
      <c r="BG251" s="1" t="str">
        <f>IF(IFERROR(INDEX($A$9:$X$304,$AS251,COLUMNS($AV$9:BG250)),"")=0,"",IFERROR(INDEX($A$9:$X$304,$AS251,COLUMNS($AV$9:BG250)),""))</f>
        <v/>
      </c>
      <c r="BH251" s="1" t="str">
        <f>IF(IFERROR(INDEX($A$9:$X$304,$AS251,COLUMNS($AV$9:BH250)),"")=0,"",IFERROR(INDEX($A$9:$X$304,$AS251,COLUMNS($AV$9:BH250)),""))</f>
        <v/>
      </c>
      <c r="BI251" s="1" t="str">
        <f>IF(IFERROR(INDEX($A$9:$X$304,$AS251,COLUMNS($AV$9:BI250)),"")=0,"",IFERROR(INDEX($A$9:$X$304,$AS251,COLUMNS($AV$9:BI250)),""))</f>
        <v/>
      </c>
      <c r="BJ251" s="1" t="str">
        <f>IF(IFERROR(INDEX($A$9:$X$304,$AS251,COLUMNS($AV$9:BJ250)),"")=0,"",IFERROR(INDEX($A$9:$X$304,$AS251,COLUMNS($AV$9:BJ250)),""))</f>
        <v>None</v>
      </c>
      <c r="BK251" s="1" t="str">
        <f>IF(IFERROR(INDEX($A$9:$X$304,$AS251,COLUMNS($AV$9:BK250)),"")=0,"",IFERROR(INDEX($A$9:$X$304,$AS251,COLUMNS($AV$9:BK250)),""))</f>
        <v>Common</v>
      </c>
      <c r="BL251" s="1" t="str">
        <f>IF(IFERROR(INDEX($A$9:$X$304,$AS251,COLUMNS($AV$9:BL250)),"")=0,"",IFERROR(INDEX($A$9:$X$304,$AS251,COLUMNS($AV$9:BL250)),""))</f>
        <v>L.Sean</v>
      </c>
      <c r="BM251" s="1" t="str">
        <f>IF(IFERROR(INDEX($A$9:$X$304,$AS251,COLUMNS($AV$9:BM250)),"")=0,"",IFERROR(INDEX($A$9:$X$304,$AS251,COLUMNS($AV$9:BM250)),""))</f>
        <v>Base Set</v>
      </c>
      <c r="BN251" s="3" t="b">
        <f>IF(IFERROR(INDEX($A$9:$X$304,$AS251,COLUMNS($AV$9:BN250)),"")=0,"",IFERROR(INDEX($A$9:$X$304,$AS251,COLUMNS($AV$9:BN250)),""))</f>
        <v>1</v>
      </c>
      <c r="BO251" s="3" t="b">
        <f>IF(IFERROR(INDEX($A$9:$X$304,$AS251,COLUMNS($AV$9:BO250)),"")=0,"",IFERROR(INDEX($A$9:$X$304,$AS251,COLUMNS($AV$9:BO250)),""))</f>
        <v>1</v>
      </c>
      <c r="BP251" s="3" t="b">
        <f>IF(IFERROR(INDEX($A$9:$X$304,$AS251,COLUMNS($AV$9:BP250)),"")=0,"",IFERROR(INDEX($A$9:$X$304,$AS251,COLUMNS($AV$9:BP250)),""))</f>
        <v>0</v>
      </c>
      <c r="BQ251" s="3" t="b">
        <f>IF(IFERROR(INDEX($A$9:$X$304,$AS251,COLUMNS($AV$9:BQ250)),"")=0,"",IFERROR(INDEX($A$9:$X$304,$AS251,COLUMNS($AV$9:BQ250)),""))</f>
        <v>0</v>
      </c>
      <c r="BR251" s="3" t="str">
        <f>IF(IFERROR(INDEX($A$9:$X$304,$AS251,COLUMNS($AV$9:BR250)),"")=0,"",IFERROR(INDEX($A$9:$X$304,$AS251,COLUMNS($AV$9:BR250)),""))</f>
        <v>http://www.epiccardgame.com/wp-content/uploads/2015/09/stand_alone-215x300.jpg</v>
      </c>
      <c r="BS251" s="3" t="str">
        <f>IF(IFERROR(INDEX($A$9:$X$304,$AS251,COLUMNS($AV$9:BS250)),"")=0,"",IFERROR(INDEX($A$9:$X$304,$AS251,COLUMNS($AV$9:BS250)),""))</f>
        <v/>
      </c>
      <c r="BT251" s="3"/>
      <c r="BU251" s="15"/>
      <c r="BV251" t="s">
        <v>272</v>
      </c>
    </row>
    <row r="252" spans="1:74" ht="225.2" customHeight="1" x14ac:dyDescent="0.25">
      <c r="A252" t="s">
        <v>563</v>
      </c>
      <c r="B252">
        <v>1</v>
      </c>
      <c r="C252" t="s">
        <v>617</v>
      </c>
      <c r="E252" t="s">
        <v>620</v>
      </c>
      <c r="F252">
        <v>2</v>
      </c>
      <c r="G252">
        <v>5</v>
      </c>
      <c r="H252" t="s">
        <v>21</v>
      </c>
      <c r="I252" t="s">
        <v>936</v>
      </c>
      <c r="J252" t="s">
        <v>993</v>
      </c>
      <c r="O252" t="s">
        <v>1063</v>
      </c>
      <c r="P252" t="s">
        <v>1112</v>
      </c>
      <c r="Q252" t="s">
        <v>1114</v>
      </c>
      <c r="R252" t="s">
        <v>1171</v>
      </c>
      <c r="S252" t="b">
        <v>1</v>
      </c>
      <c r="T252" t="b">
        <v>0</v>
      </c>
      <c r="U252" t="b">
        <v>0</v>
      </c>
      <c r="V252" t="b">
        <v>0</v>
      </c>
      <c r="W252" s="2" t="s">
        <v>1427</v>
      </c>
      <c r="X252" s="2"/>
      <c r="Y252" s="24">
        <v>244</v>
      </c>
      <c r="Z252">
        <f t="shared" si="60"/>
        <v>244</v>
      </c>
      <c r="AA252">
        <f t="shared" si="61"/>
        <v>244</v>
      </c>
      <c r="AB252">
        <f t="shared" si="62"/>
        <v>244</v>
      </c>
      <c r="AC252">
        <f t="shared" si="63"/>
        <v>0</v>
      </c>
      <c r="AD252">
        <f t="shared" si="64"/>
        <v>244</v>
      </c>
      <c r="AE252">
        <f t="shared" si="65"/>
        <v>244</v>
      </c>
      <c r="AF252">
        <f t="shared" si="66"/>
        <v>244</v>
      </c>
      <c r="AG252">
        <f t="shared" si="67"/>
        <v>244</v>
      </c>
      <c r="AH252">
        <f t="shared" si="68"/>
        <v>244</v>
      </c>
      <c r="AI252">
        <f t="shared" si="69"/>
        <v>244</v>
      </c>
      <c r="AJ252">
        <f t="shared" si="70"/>
        <v>0</v>
      </c>
      <c r="AK252">
        <f t="shared" si="71"/>
        <v>0</v>
      </c>
      <c r="AL252">
        <f t="shared" si="72"/>
        <v>0</v>
      </c>
      <c r="AM252">
        <f t="shared" si="73"/>
        <v>0</v>
      </c>
      <c r="AN252">
        <f t="shared" si="74"/>
        <v>244</v>
      </c>
      <c r="AO252">
        <f t="shared" si="75"/>
        <v>244</v>
      </c>
      <c r="AP252">
        <f t="shared" si="76"/>
        <v>244</v>
      </c>
      <c r="AQ252">
        <f t="shared" si="77"/>
        <v>244</v>
      </c>
      <c r="AR252" s="6">
        <f t="shared" si="78"/>
        <v>244</v>
      </c>
      <c r="AS252">
        <f t="shared" si="79"/>
        <v>244</v>
      </c>
      <c r="AV252" s="1" t="str">
        <f>IF(IFERROR(INDEX($A$9:$W$304,$AS252,COLUMNS($AV$9:AV251)),"")=0,"",IFERROR(INDEX($A$9:$W$304,$AS252,COLUMNS($AV$9:AV251)),""))</f>
        <v>Standard Bearer</v>
      </c>
      <c r="AW252" s="1">
        <f>IFERROR(INDEX($A$9:$W$304,$AS252,COLUMNS($AV$9:AW251)),"")</f>
        <v>1</v>
      </c>
      <c r="AX252" s="1" t="str">
        <f>IF(IFERROR(INDEX($A$9:$X$304,$AS252,COLUMNS($AV$9:AX251)),"")=0,"",IFERROR(INDEX($A$9:$X$304,$AS252,COLUMNS($AV$9:AX251)),""))</f>
        <v>GOOD</v>
      </c>
      <c r="AY252" s="1" t="str">
        <f>IF(IFERROR(INDEX($A$9:$X$304,$AS252,COLUMNS($AV$9:AY251)),"")=0,"",IFERROR(INDEX($A$9:$X$304,$AS252,COLUMNS($AV$9:AY251)),""))</f>
        <v/>
      </c>
      <c r="AZ252" s="1" t="str">
        <f>IF(IFERROR(INDEX($A$9:$X$304,$AS252,COLUMNS($AV$9:AZ251)),"")=0,"",IFERROR(INDEX($A$9:$X$304,$AS252,COLUMNS($AV$9:AZ251)),""))</f>
        <v>CHAMPION</v>
      </c>
      <c r="BA252" s="1">
        <f>IF(IFERROR(INDEX($A$9:$X$304,$AS252,COLUMNS($AV$9:BA251)),"")=0,"",IFERROR(INDEX($A$9:$X$304,$AS252,COLUMNS($AV$9:BA251)),""))</f>
        <v>2</v>
      </c>
      <c r="BB252" s="1">
        <f>IF(IFERROR(INDEX($A$9:$X$304,$AS252,COLUMNS($AV$9:BB251)),"")=0,"",IFERROR(INDEX($A$9:$X$304,$AS252,COLUMNS($AV$9:BB251)),""))</f>
        <v>5</v>
      </c>
      <c r="BC252" s="1" t="str">
        <f>IF(IFERROR(INDEX($A$9:$X$304,$AS252,COLUMNS($AV$9:BC251)),"")=0,"",IFERROR(INDEX($A$9:$X$304,$AS252,COLUMNS($AV$9:BC251)),""))</f>
        <v>Ambush</v>
      </c>
      <c r="BD252" s="1" t="str">
        <f>IF(IFERROR(INDEX($A$9:$X$304,$AS252,COLUMNS($AV$9:BD251)),"")=0,"",IFERROR(INDEX($A$9:$X$304,$AS252,COLUMNS($AV$9:BD251)),""))</f>
        <v>Tribute → Put 2 human tokens into play.</v>
      </c>
      <c r="BE252" s="1" t="str">
        <f>IF(IFERROR(INDEX($A$9:$X$304,$AS252,COLUMNS($AV$9:BE251)),"")=0,"",IFERROR(INDEX($A$9:$X$304,$AS252,COLUMNS($AV$9:BE251)),""))</f>
        <v>Your other good champions have +2 {offense}.</v>
      </c>
      <c r="BF252" s="1" t="str">
        <f>IF(IFERROR(INDEX($A$9:$X$304,$AS252,COLUMNS($AV$9:BF251)),"")=0,"",IFERROR(INDEX($A$9:$X$304,$AS252,COLUMNS($AV$9:BF251)),""))</f>
        <v/>
      </c>
      <c r="BG252" s="1" t="str">
        <f>IF(IFERROR(INDEX($A$9:$X$304,$AS252,COLUMNS($AV$9:BG251)),"")=0,"",IFERROR(INDEX($A$9:$X$304,$AS252,COLUMNS($AV$9:BG251)),""))</f>
        <v/>
      </c>
      <c r="BH252" s="1" t="str">
        <f>IF(IFERROR(INDEX($A$9:$X$304,$AS252,COLUMNS($AV$9:BH251)),"")=0,"",IFERROR(INDEX($A$9:$X$304,$AS252,COLUMNS($AV$9:BH251)),""))</f>
        <v/>
      </c>
      <c r="BI252" s="1" t="str">
        <f>IF(IFERROR(INDEX($A$9:$X$304,$AS252,COLUMNS($AV$9:BI251)),"")=0,"",IFERROR(INDEX($A$9:$X$304,$AS252,COLUMNS($AV$9:BI251)),""))</f>
        <v/>
      </c>
      <c r="BJ252" s="1" t="str">
        <f>IF(IFERROR(INDEX($A$9:$X$304,$AS252,COLUMNS($AV$9:BJ251)),"")=0,"",IFERROR(INDEX($A$9:$X$304,$AS252,COLUMNS($AV$9:BJ251)),""))</f>
        <v>HUMAN</v>
      </c>
      <c r="BK252" s="1" t="str">
        <f>IF(IFERROR(INDEX($A$9:$X$304,$AS252,COLUMNS($AV$9:BK251)),"")=0,"",IFERROR(INDEX($A$9:$X$304,$AS252,COLUMNS($AV$9:BK251)),""))</f>
        <v>Common</v>
      </c>
      <c r="BL252" s="1" t="str">
        <f>IF(IFERROR(INDEX($A$9:$X$304,$AS252,COLUMNS($AV$9:BL251)),"")=0,"",IFERROR(INDEX($A$9:$X$304,$AS252,COLUMNS($AV$9:BL251)),""))</f>
        <v>Jaan-Paul van Eeden</v>
      </c>
      <c r="BM252" s="1" t="str">
        <f>IF(IFERROR(INDEX($A$9:$X$304,$AS252,COLUMNS($AV$9:BM251)),"")=0,"",IFERROR(INDEX($A$9:$X$304,$AS252,COLUMNS($AV$9:BM251)),""))</f>
        <v>Base Set</v>
      </c>
      <c r="BN252" s="3" t="b">
        <f>IF(IFERROR(INDEX($A$9:$X$304,$AS252,COLUMNS($AV$9:BN251)),"")=0,"",IFERROR(INDEX($A$9:$X$304,$AS252,COLUMNS($AV$9:BN251)),""))</f>
        <v>1</v>
      </c>
      <c r="BO252" s="3" t="b">
        <f>IF(IFERROR(INDEX($A$9:$X$304,$AS252,COLUMNS($AV$9:BO251)),"")=0,"",IFERROR(INDEX($A$9:$X$304,$AS252,COLUMNS($AV$9:BO251)),""))</f>
        <v>0</v>
      </c>
      <c r="BP252" s="3" t="b">
        <f>IF(IFERROR(INDEX($A$9:$X$304,$AS252,COLUMNS($AV$9:BP251)),"")=0,"",IFERROR(INDEX($A$9:$X$304,$AS252,COLUMNS($AV$9:BP251)),""))</f>
        <v>0</v>
      </c>
      <c r="BQ252" s="3" t="b">
        <f>IF(IFERROR(INDEX($A$9:$X$304,$AS252,COLUMNS($AV$9:BQ251)),"")=0,"",IFERROR(INDEX($A$9:$X$304,$AS252,COLUMNS($AV$9:BQ251)),""))</f>
        <v>0</v>
      </c>
      <c r="BR252" s="3" t="str">
        <f>IF(IFERROR(INDEX($A$9:$X$304,$AS252,COLUMNS($AV$9:BR251)),"")=0,"",IFERROR(INDEX($A$9:$X$304,$AS252,COLUMNS($AV$9:BR251)),""))</f>
        <v>http://www.epiccardgame.com/wp-content/uploads/2015/09/standard_bearer-215x300.jpg</v>
      </c>
      <c r="BS252" s="3" t="str">
        <f>IF(IFERROR(INDEX($A$9:$X$304,$AS252,COLUMNS($AV$9:BS251)),"")=0,"",IFERROR(INDEX($A$9:$X$304,$AS252,COLUMNS($AV$9:BS251)),""))</f>
        <v/>
      </c>
      <c r="BT252" s="3"/>
      <c r="BU252" s="15"/>
      <c r="BV252" t="s">
        <v>273</v>
      </c>
    </row>
    <row r="253" spans="1:74" ht="225.2" customHeight="1" x14ac:dyDescent="0.25">
      <c r="A253" t="s">
        <v>564</v>
      </c>
      <c r="B253">
        <v>1</v>
      </c>
      <c r="C253" t="s">
        <v>618</v>
      </c>
      <c r="E253" t="s">
        <v>620</v>
      </c>
      <c r="F253">
        <v>6</v>
      </c>
      <c r="G253">
        <v>7</v>
      </c>
      <c r="H253" t="s">
        <v>676</v>
      </c>
      <c r="I253" t="s">
        <v>937</v>
      </c>
      <c r="J253" t="s">
        <v>1021</v>
      </c>
      <c r="O253" t="s">
        <v>1078</v>
      </c>
      <c r="P253" t="s">
        <v>1113</v>
      </c>
      <c r="Q253" t="s">
        <v>1165</v>
      </c>
      <c r="R253" t="s">
        <v>1170</v>
      </c>
      <c r="S253" t="b">
        <v>1</v>
      </c>
      <c r="T253" t="b">
        <v>0</v>
      </c>
      <c r="U253" t="b">
        <v>0</v>
      </c>
      <c r="V253" t="b">
        <v>0</v>
      </c>
      <c r="W253" s="2" t="s">
        <v>1428</v>
      </c>
      <c r="X253" s="2"/>
      <c r="Y253" s="24">
        <v>245</v>
      </c>
      <c r="Z253">
        <f t="shared" si="60"/>
        <v>245</v>
      </c>
      <c r="AA253">
        <f t="shared" si="61"/>
        <v>245</v>
      </c>
      <c r="AB253">
        <f t="shared" si="62"/>
        <v>245</v>
      </c>
      <c r="AC253">
        <f t="shared" si="63"/>
        <v>0</v>
      </c>
      <c r="AD253">
        <f t="shared" si="64"/>
        <v>245</v>
      </c>
      <c r="AE253">
        <f t="shared" si="65"/>
        <v>245</v>
      </c>
      <c r="AF253">
        <f t="shared" si="66"/>
        <v>245</v>
      </c>
      <c r="AG253">
        <f t="shared" si="67"/>
        <v>245</v>
      </c>
      <c r="AH253">
        <f t="shared" si="68"/>
        <v>245</v>
      </c>
      <c r="AI253">
        <f t="shared" si="69"/>
        <v>245</v>
      </c>
      <c r="AJ253">
        <f t="shared" si="70"/>
        <v>0</v>
      </c>
      <c r="AK253">
        <f t="shared" si="71"/>
        <v>0</v>
      </c>
      <c r="AL253">
        <f t="shared" si="72"/>
        <v>0</v>
      </c>
      <c r="AM253">
        <f t="shared" si="73"/>
        <v>0</v>
      </c>
      <c r="AN253">
        <f t="shared" si="74"/>
        <v>245</v>
      </c>
      <c r="AO253">
        <f t="shared" si="75"/>
        <v>245</v>
      </c>
      <c r="AP253">
        <f t="shared" si="76"/>
        <v>245</v>
      </c>
      <c r="AQ253">
        <f t="shared" si="77"/>
        <v>245</v>
      </c>
      <c r="AR253" s="6">
        <f t="shared" si="78"/>
        <v>245</v>
      </c>
      <c r="AS253">
        <f t="shared" si="79"/>
        <v>245</v>
      </c>
      <c r="AV253" s="1" t="str">
        <f>IF(IFERROR(INDEX($A$9:$W$304,$AS253,COLUMNS($AV$9:AV252)),"")=0,"",IFERROR(INDEX($A$9:$W$304,$AS253,COLUMNS($AV$9:AV252)),""))</f>
        <v>Steed of Zaltessa</v>
      </c>
      <c r="AW253" s="1">
        <f>IFERROR(INDEX($A$9:$W$304,$AS253,COLUMNS($AV$9:AW252)),"")</f>
        <v>1</v>
      </c>
      <c r="AX253" s="1" t="str">
        <f>IF(IFERROR(INDEX($A$9:$X$304,$AS253,COLUMNS($AV$9:AX252)),"")=0,"",IFERROR(INDEX($A$9:$X$304,$AS253,COLUMNS($AV$9:AX252)),""))</f>
        <v>EVIL</v>
      </c>
      <c r="AY253" s="1" t="str">
        <f>IF(IFERROR(INDEX($A$9:$X$304,$AS253,COLUMNS($AV$9:AY252)),"")=0,"",IFERROR(INDEX($A$9:$X$304,$AS253,COLUMNS($AV$9:AY252)),""))</f>
        <v/>
      </c>
      <c r="AZ253" s="1" t="str">
        <f>IF(IFERROR(INDEX($A$9:$X$304,$AS253,COLUMNS($AV$9:AZ252)),"")=0,"",IFERROR(INDEX($A$9:$X$304,$AS253,COLUMNS($AV$9:AZ252)),""))</f>
        <v>CHAMPION</v>
      </c>
      <c r="BA253" s="1">
        <f>IF(IFERROR(INDEX($A$9:$X$304,$AS253,COLUMNS($AV$9:BA252)),"")=0,"",IFERROR(INDEX($A$9:$X$304,$AS253,COLUMNS($AV$9:BA252)),""))</f>
        <v>6</v>
      </c>
      <c r="BB253" s="1">
        <f>IF(IFERROR(INDEX($A$9:$X$304,$AS253,COLUMNS($AV$9:BB252)),"")=0,"",IFERROR(INDEX($A$9:$X$304,$AS253,COLUMNS($AV$9:BB252)),""))</f>
        <v>7</v>
      </c>
      <c r="BC253" s="1" t="str">
        <f>IF(IFERROR(INDEX($A$9:$X$304,$AS253,COLUMNS($AV$9:BC252)),"")=0,"",IFERROR(INDEX($A$9:$X$304,$AS253,COLUMNS($AV$9:BC252)),""))</f>
        <v>Airborne ◆ Blitz</v>
      </c>
      <c r="BD253" s="1" t="str">
        <f>IF(IFERROR(INDEX($A$9:$X$304,$AS253,COLUMNS($AV$9:BD252)),"")=0,"",IFERROR(INDEX($A$9:$X$304,$AS253,COLUMNS($AV$9:BD252)),""))</f>
        <v>Loyalty 2 → Deal 5 damage to target player.</v>
      </c>
      <c r="BE253" s="1" t="str">
        <f>IF(IFERROR(INDEX($A$9:$X$304,$AS253,COLUMNS($AV$9:BE252)),"")=0,"",IFERROR(INDEX($A$9:$X$304,$AS253,COLUMNS($AV$9:BE252)),""))</f>
        <v>When this card deals damage to a player → They cannot gain health this turn.</v>
      </c>
      <c r="BF253" s="1" t="str">
        <f>IF(IFERROR(INDEX($A$9:$X$304,$AS253,COLUMNS($AV$9:BF252)),"")=0,"",IFERROR(INDEX($A$9:$X$304,$AS253,COLUMNS($AV$9:BF252)),""))</f>
        <v/>
      </c>
      <c r="BG253" s="1" t="str">
        <f>IF(IFERROR(INDEX($A$9:$X$304,$AS253,COLUMNS($AV$9:BG252)),"")=0,"",IFERROR(INDEX($A$9:$X$304,$AS253,COLUMNS($AV$9:BG252)),""))</f>
        <v/>
      </c>
      <c r="BH253" s="1" t="str">
        <f>IF(IFERROR(INDEX($A$9:$X$304,$AS253,COLUMNS($AV$9:BH252)),"")=0,"",IFERROR(INDEX($A$9:$X$304,$AS253,COLUMNS($AV$9:BH252)),""))</f>
        <v/>
      </c>
      <c r="BI253" s="1" t="str">
        <f>IF(IFERROR(INDEX($A$9:$X$304,$AS253,COLUMNS($AV$9:BI252)),"")=0,"",IFERROR(INDEX($A$9:$X$304,$AS253,COLUMNS($AV$9:BI252)),""))</f>
        <v/>
      </c>
      <c r="BJ253" s="1" t="str">
        <f>IF(IFERROR(INDEX($A$9:$X$304,$AS253,COLUMNS($AV$9:BJ252)),"")=0,"",IFERROR(INDEX($A$9:$X$304,$AS253,COLUMNS($AV$9:BJ252)),""))</f>
        <v>DEMON</v>
      </c>
      <c r="BK253" s="1" t="str">
        <f>IF(IFERROR(INDEX($A$9:$X$304,$AS253,COLUMNS($AV$9:BK252)),"")=0,"",IFERROR(INDEX($A$9:$X$304,$AS253,COLUMNS($AV$9:BK252)),""))</f>
        <v>Rare</v>
      </c>
      <c r="BL253" s="1" t="str">
        <f>IF(IFERROR(INDEX($A$9:$X$304,$AS253,COLUMNS($AV$9:BL252)),"")=0,"",IFERROR(INDEX($A$9:$X$304,$AS253,COLUMNS($AV$9:BL252)),""))</f>
        <v>Andres Agostini</v>
      </c>
      <c r="BM253" s="1" t="str">
        <f>IF(IFERROR(INDEX($A$9:$X$304,$AS253,COLUMNS($AV$9:BM252)),"")=0,"",IFERROR(INDEX($A$9:$X$304,$AS253,COLUMNS($AV$9:BM252)),""))</f>
        <v>Pantheon: Helena vs Zaltessa</v>
      </c>
      <c r="BN253" s="3" t="b">
        <f>IF(IFERROR(INDEX($A$9:$X$304,$AS253,COLUMNS($AV$9:BN252)),"")=0,"",IFERROR(INDEX($A$9:$X$304,$AS253,COLUMNS($AV$9:BN252)),""))</f>
        <v>1</v>
      </c>
      <c r="BO253" s="3" t="b">
        <f>IF(IFERROR(INDEX($A$9:$X$304,$AS253,COLUMNS($AV$9:BO252)),"")=0,"",IFERROR(INDEX($A$9:$X$304,$AS253,COLUMNS($AV$9:BO252)),""))</f>
        <v>0</v>
      </c>
      <c r="BP253" s="3" t="b">
        <f>IF(IFERROR(INDEX($A$9:$X$304,$AS253,COLUMNS($AV$9:BP252)),"")=0,"",IFERROR(INDEX($A$9:$X$304,$AS253,COLUMNS($AV$9:BP252)),""))</f>
        <v>0</v>
      </c>
      <c r="BQ253" s="3" t="b">
        <f>IF(IFERROR(INDEX($A$9:$X$304,$AS253,COLUMNS($AV$9:BQ252)),"")=0,"",IFERROR(INDEX($A$9:$X$304,$AS253,COLUMNS($AV$9:BQ252)),""))</f>
        <v>0</v>
      </c>
      <c r="BR253" s="3" t="str">
        <f>IF(IFERROR(INDEX($A$9:$X$304,$AS253,COLUMNS($AV$9:BR252)),"")=0,"",IFERROR(INDEX($A$9:$X$304,$AS253,COLUMNS($AV$9:BR252)),""))</f>
        <v>https://www.epiccardgame.com/wp-content/uploads/2017/11/PNH-EN-16-steed-of-zaltessa.jpg</v>
      </c>
      <c r="BS253" s="3" t="str">
        <f>IF(IFERROR(INDEX($A$9:$X$304,$AS253,COLUMNS($AV$9:BS252)),"")=0,"",IFERROR(INDEX($A$9:$X$304,$AS253,COLUMNS($AV$9:BS252)),""))</f>
        <v/>
      </c>
      <c r="BT253" s="3"/>
      <c r="BU253" s="15"/>
      <c r="BV253" t="s">
        <v>274</v>
      </c>
    </row>
    <row r="254" spans="1:74" ht="225" customHeight="1" x14ac:dyDescent="0.25">
      <c r="A254" t="s">
        <v>565</v>
      </c>
      <c r="B254">
        <v>1</v>
      </c>
      <c r="C254" t="s">
        <v>616</v>
      </c>
      <c r="E254" t="s">
        <v>620</v>
      </c>
      <c r="F254">
        <v>13</v>
      </c>
      <c r="G254">
        <v>13</v>
      </c>
      <c r="H254" t="s">
        <v>27</v>
      </c>
      <c r="I254" t="s">
        <v>674</v>
      </c>
      <c r="J254" t="s">
        <v>1022</v>
      </c>
      <c r="O254" t="s">
        <v>1075</v>
      </c>
      <c r="P254" t="s">
        <v>1112</v>
      </c>
      <c r="Q254" t="s">
        <v>1124</v>
      </c>
      <c r="R254" t="s">
        <v>1171</v>
      </c>
      <c r="S254" t="b">
        <v>1</v>
      </c>
      <c r="T254" t="b">
        <v>0</v>
      </c>
      <c r="U254" t="b">
        <v>0</v>
      </c>
      <c r="V254" t="b">
        <v>0</v>
      </c>
      <c r="W254" s="2" t="s">
        <v>1429</v>
      </c>
      <c r="X254" s="2"/>
      <c r="Y254" s="24">
        <v>246</v>
      </c>
      <c r="Z254">
        <f t="shared" si="60"/>
        <v>246</v>
      </c>
      <c r="AA254">
        <f t="shared" si="61"/>
        <v>246</v>
      </c>
      <c r="AB254">
        <f t="shared" si="62"/>
        <v>246</v>
      </c>
      <c r="AC254">
        <f t="shared" si="63"/>
        <v>0</v>
      </c>
      <c r="AD254">
        <f t="shared" si="64"/>
        <v>246</v>
      </c>
      <c r="AE254">
        <f t="shared" si="65"/>
        <v>246</v>
      </c>
      <c r="AF254">
        <f t="shared" si="66"/>
        <v>246</v>
      </c>
      <c r="AG254">
        <f t="shared" si="67"/>
        <v>246</v>
      </c>
      <c r="AH254">
        <f t="shared" si="68"/>
        <v>246</v>
      </c>
      <c r="AI254">
        <f t="shared" si="69"/>
        <v>246</v>
      </c>
      <c r="AJ254">
        <f t="shared" si="70"/>
        <v>0</v>
      </c>
      <c r="AK254">
        <f t="shared" si="71"/>
        <v>0</v>
      </c>
      <c r="AL254">
        <f t="shared" si="72"/>
        <v>0</v>
      </c>
      <c r="AM254">
        <f t="shared" si="73"/>
        <v>0</v>
      </c>
      <c r="AN254">
        <f t="shared" si="74"/>
        <v>246</v>
      </c>
      <c r="AO254">
        <f t="shared" si="75"/>
        <v>246</v>
      </c>
      <c r="AP254">
        <f t="shared" si="76"/>
        <v>246</v>
      </c>
      <c r="AQ254">
        <f t="shared" si="77"/>
        <v>246</v>
      </c>
      <c r="AR254" s="6">
        <f t="shared" si="78"/>
        <v>246</v>
      </c>
      <c r="AS254">
        <f t="shared" si="79"/>
        <v>246</v>
      </c>
      <c r="AV254" s="1" t="str">
        <f>IF(IFERROR(INDEX($A$9:$W$304,$AS254,COLUMNS($AV$9:AV253)),"")=0,"",IFERROR(INDEX($A$9:$W$304,$AS254,COLUMNS($AV$9:AV253)),""))</f>
        <v>Steel Golem</v>
      </c>
      <c r="AW254" s="1">
        <f>IFERROR(INDEX($A$9:$W$304,$AS254,COLUMNS($AV$9:AW253)),"")</f>
        <v>1</v>
      </c>
      <c r="AX254" s="1" t="str">
        <f>IF(IFERROR(INDEX($A$9:$X$304,$AS254,COLUMNS($AV$9:AX253)),"")=0,"",IFERROR(INDEX($A$9:$X$304,$AS254,COLUMNS($AV$9:AX253)),""))</f>
        <v>SAGE</v>
      </c>
      <c r="AY254" s="1" t="str">
        <f>IF(IFERROR(INDEX($A$9:$X$304,$AS254,COLUMNS($AV$9:AY253)),"")=0,"",IFERROR(INDEX($A$9:$X$304,$AS254,COLUMNS($AV$9:AY253)),""))</f>
        <v/>
      </c>
      <c r="AZ254" s="1" t="str">
        <f>IF(IFERROR(INDEX($A$9:$X$304,$AS254,COLUMNS($AV$9:AZ253)),"")=0,"",IFERROR(INDEX($A$9:$X$304,$AS254,COLUMNS($AV$9:AZ253)),""))</f>
        <v>CHAMPION</v>
      </c>
      <c r="BA254" s="1">
        <f>IF(IFERROR(INDEX($A$9:$X$304,$AS254,COLUMNS($AV$9:BA253)),"")=0,"",IFERROR(INDEX($A$9:$X$304,$AS254,COLUMNS($AV$9:BA253)),""))</f>
        <v>13</v>
      </c>
      <c r="BB254" s="1">
        <f>IF(IFERROR(INDEX($A$9:$X$304,$AS254,COLUMNS($AV$9:BB253)),"")=0,"",IFERROR(INDEX($A$9:$X$304,$AS254,COLUMNS($AV$9:BB253)),""))</f>
        <v>13</v>
      </c>
      <c r="BC254" s="1" t="str">
        <f>IF(IFERROR(INDEX($A$9:$X$304,$AS254,COLUMNS($AV$9:BC253)),"")=0,"",IFERROR(INDEX($A$9:$X$304,$AS254,COLUMNS($AV$9:BC253)),""))</f>
        <v>Untargetable</v>
      </c>
      <c r="BD254" s="1" t="str">
        <f>IF(IFERROR(INDEX($A$9:$X$304,$AS254,COLUMNS($AV$9:BD253)),"")=0,"",IFERROR(INDEX($A$9:$X$304,$AS254,COLUMNS($AV$9:BD253)),""))</f>
        <v>Loyalty 2 → Blitz</v>
      </c>
      <c r="BE254" s="1" t="str">
        <f>IF(IFERROR(INDEX($A$9:$X$304,$AS254,COLUMNS($AV$9:BE253)),"")=0,"",IFERROR(INDEX($A$9:$X$304,$AS254,COLUMNS($AV$9:BE253)),""))</f>
        <v>(While in play, untargetable cards cannot be selected as a "target" by any player.)</v>
      </c>
      <c r="BF254" s="1" t="str">
        <f>IF(IFERROR(INDEX($A$9:$X$304,$AS254,COLUMNS($AV$9:BF253)),"")=0,"",IFERROR(INDEX($A$9:$X$304,$AS254,COLUMNS($AV$9:BF253)),""))</f>
        <v/>
      </c>
      <c r="BG254" s="1" t="str">
        <f>IF(IFERROR(INDEX($A$9:$X$304,$AS254,COLUMNS($AV$9:BG253)),"")=0,"",IFERROR(INDEX($A$9:$X$304,$AS254,COLUMNS($AV$9:BG253)),""))</f>
        <v/>
      </c>
      <c r="BH254" s="1" t="str">
        <f>IF(IFERROR(INDEX($A$9:$X$304,$AS254,COLUMNS($AV$9:BH253)),"")=0,"",IFERROR(INDEX($A$9:$X$304,$AS254,COLUMNS($AV$9:BH253)),""))</f>
        <v/>
      </c>
      <c r="BI254" s="1" t="str">
        <f>IF(IFERROR(INDEX($A$9:$X$304,$AS254,COLUMNS($AV$9:BI253)),"")=0,"",IFERROR(INDEX($A$9:$X$304,$AS254,COLUMNS($AV$9:BI253)),""))</f>
        <v/>
      </c>
      <c r="BJ254" s="1" t="str">
        <f>IF(IFERROR(INDEX($A$9:$X$304,$AS254,COLUMNS($AV$9:BJ253)),"")=0,"",IFERROR(INDEX($A$9:$X$304,$AS254,COLUMNS($AV$9:BJ253)),""))</f>
        <v>CONSTRUCT</v>
      </c>
      <c r="BK254" s="1" t="str">
        <f>IF(IFERROR(INDEX($A$9:$X$304,$AS254,COLUMNS($AV$9:BK253)),"")=0,"",IFERROR(INDEX($A$9:$X$304,$AS254,COLUMNS($AV$9:BK253)),""))</f>
        <v>Common</v>
      </c>
      <c r="BL254" s="1" t="str">
        <f>IF(IFERROR(INDEX($A$9:$X$304,$AS254,COLUMNS($AV$9:BL253)),"")=0,"",IFERROR(INDEX($A$9:$X$304,$AS254,COLUMNS($AV$9:BL253)),""))</f>
        <v>Souveraine</v>
      </c>
      <c r="BM254" s="1" t="str">
        <f>IF(IFERROR(INDEX($A$9:$X$304,$AS254,COLUMNS($AV$9:BM253)),"")=0,"",IFERROR(INDEX($A$9:$X$304,$AS254,COLUMNS($AV$9:BM253)),""))</f>
        <v>Base Set</v>
      </c>
      <c r="BN254" s="3" t="b">
        <f>IF(IFERROR(INDEX($A$9:$X$304,$AS254,COLUMNS($AV$9:BN253)),"")=0,"",IFERROR(INDEX($A$9:$X$304,$AS254,COLUMNS($AV$9:BN253)),""))</f>
        <v>1</v>
      </c>
      <c r="BO254" s="3" t="b">
        <f>IF(IFERROR(INDEX($A$9:$X$304,$AS254,COLUMNS($AV$9:BO253)),"")=0,"",IFERROR(INDEX($A$9:$X$304,$AS254,COLUMNS($AV$9:BO253)),""))</f>
        <v>0</v>
      </c>
      <c r="BP254" s="3" t="b">
        <f>IF(IFERROR(INDEX($A$9:$X$304,$AS254,COLUMNS($AV$9:BP253)),"")=0,"",IFERROR(INDEX($A$9:$X$304,$AS254,COLUMNS($AV$9:BP253)),""))</f>
        <v>0</v>
      </c>
      <c r="BQ254" s="3" t="b">
        <f>IF(IFERROR(INDEX($A$9:$X$304,$AS254,COLUMNS($AV$9:BQ253)),"")=0,"",IFERROR(INDEX($A$9:$X$304,$AS254,COLUMNS($AV$9:BQ253)),""))</f>
        <v>0</v>
      </c>
      <c r="BR254" s="3" t="str">
        <f>IF(IFERROR(INDEX($A$9:$X$304,$AS254,COLUMNS($AV$9:BR253)),"")=0,"",IFERROR(INDEX($A$9:$X$304,$AS254,COLUMNS($AV$9:BR253)),""))</f>
        <v>http://www.epiccardgame.com/wp-content/uploads/2015/09/steel_golem-215x300.jpg</v>
      </c>
      <c r="BS254" s="3" t="str">
        <f>IF(IFERROR(INDEX($A$9:$X$304,$AS254,COLUMNS($AV$9:BS253)),"")=0,"",IFERROR(INDEX($A$9:$X$304,$AS254,COLUMNS($AV$9:BS253)),""))</f>
        <v/>
      </c>
      <c r="BT254" s="3"/>
      <c r="BU254" s="15"/>
      <c r="BV254" t="s">
        <v>275</v>
      </c>
    </row>
    <row r="255" spans="1:74" ht="225" customHeight="1" x14ac:dyDescent="0.25">
      <c r="A255" t="s">
        <v>566</v>
      </c>
      <c r="B255">
        <v>1</v>
      </c>
      <c r="C255" t="s">
        <v>616</v>
      </c>
      <c r="E255" t="s">
        <v>620</v>
      </c>
      <c r="F255">
        <v>13</v>
      </c>
      <c r="G255">
        <v>9</v>
      </c>
      <c r="H255" t="s">
        <v>27</v>
      </c>
      <c r="I255" t="s">
        <v>931</v>
      </c>
      <c r="O255" t="s">
        <v>1075</v>
      </c>
      <c r="P255" t="s">
        <v>1112</v>
      </c>
      <c r="Q255" t="s">
        <v>1124</v>
      </c>
      <c r="R255" t="s">
        <v>1173</v>
      </c>
      <c r="S255" t="b">
        <v>1</v>
      </c>
      <c r="T255" t="b">
        <v>0</v>
      </c>
      <c r="U255" t="b">
        <v>0</v>
      </c>
      <c r="V255" t="b">
        <v>0</v>
      </c>
      <c r="W255" s="2" t="s">
        <v>1430</v>
      </c>
      <c r="X255" s="2"/>
      <c r="Y255" s="24">
        <v>247</v>
      </c>
      <c r="Z255">
        <f t="shared" si="60"/>
        <v>247</v>
      </c>
      <c r="AA255">
        <f t="shared" si="61"/>
        <v>247</v>
      </c>
      <c r="AB255">
        <f t="shared" si="62"/>
        <v>247</v>
      </c>
      <c r="AC255">
        <f t="shared" si="63"/>
        <v>0</v>
      </c>
      <c r="AD255">
        <f t="shared" si="64"/>
        <v>247</v>
      </c>
      <c r="AE255">
        <f t="shared" si="65"/>
        <v>247</v>
      </c>
      <c r="AF255">
        <f t="shared" si="66"/>
        <v>247</v>
      </c>
      <c r="AG255">
        <f t="shared" si="67"/>
        <v>247</v>
      </c>
      <c r="AH255">
        <f t="shared" si="68"/>
        <v>247</v>
      </c>
      <c r="AI255">
        <f t="shared" si="69"/>
        <v>0</v>
      </c>
      <c r="AJ255">
        <f t="shared" si="70"/>
        <v>0</v>
      </c>
      <c r="AK255">
        <f t="shared" si="71"/>
        <v>0</v>
      </c>
      <c r="AL255">
        <f t="shared" si="72"/>
        <v>0</v>
      </c>
      <c r="AM255">
        <f t="shared" si="73"/>
        <v>0</v>
      </c>
      <c r="AN255">
        <f t="shared" si="74"/>
        <v>247</v>
      </c>
      <c r="AO255">
        <f t="shared" si="75"/>
        <v>247</v>
      </c>
      <c r="AP255">
        <f t="shared" si="76"/>
        <v>247</v>
      </c>
      <c r="AQ255">
        <f t="shared" si="77"/>
        <v>247</v>
      </c>
      <c r="AR255" s="6">
        <f t="shared" si="78"/>
        <v>247</v>
      </c>
      <c r="AS255">
        <f t="shared" si="79"/>
        <v>247</v>
      </c>
      <c r="AV255" s="1" t="str">
        <f>IF(IFERROR(INDEX($A$9:$W$304,$AS255,COLUMNS($AV$9:AV254)),"")=0,"",IFERROR(INDEX($A$9:$W$304,$AS255,COLUMNS($AV$9:AV254)),""))</f>
        <v>Steel Titan</v>
      </c>
      <c r="AW255" s="1">
        <f>IFERROR(INDEX($A$9:$W$304,$AS255,COLUMNS($AV$9:AW254)),"")</f>
        <v>1</v>
      </c>
      <c r="AX255" s="1" t="str">
        <f>IF(IFERROR(INDEX($A$9:$X$304,$AS255,COLUMNS($AV$9:AX254)),"")=0,"",IFERROR(INDEX($A$9:$X$304,$AS255,COLUMNS($AV$9:AX254)),""))</f>
        <v>SAGE</v>
      </c>
      <c r="AY255" s="1" t="str">
        <f>IF(IFERROR(INDEX($A$9:$X$304,$AS255,COLUMNS($AV$9:AY254)),"")=0,"",IFERROR(INDEX($A$9:$X$304,$AS255,COLUMNS($AV$9:AY254)),""))</f>
        <v/>
      </c>
      <c r="AZ255" s="1" t="str">
        <f>IF(IFERROR(INDEX($A$9:$X$304,$AS255,COLUMNS($AV$9:AZ254)),"")=0,"",IFERROR(INDEX($A$9:$X$304,$AS255,COLUMNS($AV$9:AZ254)),""))</f>
        <v>CHAMPION</v>
      </c>
      <c r="BA255" s="1">
        <f>IF(IFERROR(INDEX($A$9:$X$304,$AS255,COLUMNS($AV$9:BA254)),"")=0,"",IFERROR(INDEX($A$9:$X$304,$AS255,COLUMNS($AV$9:BA254)),""))</f>
        <v>13</v>
      </c>
      <c r="BB255" s="1">
        <f>IF(IFERROR(INDEX($A$9:$X$304,$AS255,COLUMNS($AV$9:BB254)),"")=0,"",IFERROR(INDEX($A$9:$X$304,$AS255,COLUMNS($AV$9:BB254)),""))</f>
        <v>9</v>
      </c>
      <c r="BC255" s="1" t="str">
        <f>IF(IFERROR(INDEX($A$9:$X$304,$AS255,COLUMNS($AV$9:BC254)),"")=0,"",IFERROR(INDEX($A$9:$X$304,$AS255,COLUMNS($AV$9:BC254)),""))</f>
        <v>Untargetable</v>
      </c>
      <c r="BD255" s="1" t="str">
        <f>IF(IFERROR(INDEX($A$9:$X$304,$AS255,COLUMNS($AV$9:BD254)),"")=0,"",IFERROR(INDEX($A$9:$X$304,$AS255,COLUMNS($AV$9:BD254)),""))</f>
        <v>Unblockable by champions with {offense} less than this card’s {offense}.</v>
      </c>
      <c r="BE255" s="1" t="str">
        <f>IF(IFERROR(INDEX($A$9:$X$304,$AS255,COLUMNS($AV$9:BE254)),"")=0,"",IFERROR(INDEX($A$9:$X$304,$AS255,COLUMNS($AV$9:BE254)),""))</f>
        <v/>
      </c>
      <c r="BF255" s="1" t="str">
        <f>IF(IFERROR(INDEX($A$9:$X$304,$AS255,COLUMNS($AV$9:BF254)),"")=0,"",IFERROR(INDEX($A$9:$X$304,$AS255,COLUMNS($AV$9:BF254)),""))</f>
        <v/>
      </c>
      <c r="BG255" s="1" t="str">
        <f>IF(IFERROR(INDEX($A$9:$X$304,$AS255,COLUMNS($AV$9:BG254)),"")=0,"",IFERROR(INDEX($A$9:$X$304,$AS255,COLUMNS($AV$9:BG254)),""))</f>
        <v/>
      </c>
      <c r="BH255" s="1" t="str">
        <f>IF(IFERROR(INDEX($A$9:$X$304,$AS255,COLUMNS($AV$9:BH254)),"")=0,"",IFERROR(INDEX($A$9:$X$304,$AS255,COLUMNS($AV$9:BH254)),""))</f>
        <v/>
      </c>
      <c r="BI255" s="1" t="str">
        <f>IF(IFERROR(INDEX($A$9:$X$304,$AS255,COLUMNS($AV$9:BI254)),"")=0,"",IFERROR(INDEX($A$9:$X$304,$AS255,COLUMNS($AV$9:BI254)),""))</f>
        <v/>
      </c>
      <c r="BJ255" s="1" t="str">
        <f>IF(IFERROR(INDEX($A$9:$X$304,$AS255,COLUMNS($AV$9:BJ254)),"")=0,"",IFERROR(INDEX($A$9:$X$304,$AS255,COLUMNS($AV$9:BJ254)),""))</f>
        <v>CONSTRUCT</v>
      </c>
      <c r="BK255" s="1" t="str">
        <f>IF(IFERROR(INDEX($A$9:$X$304,$AS255,COLUMNS($AV$9:BK254)),"")=0,"",IFERROR(INDEX($A$9:$X$304,$AS255,COLUMNS($AV$9:BK254)),""))</f>
        <v>Common</v>
      </c>
      <c r="BL255" s="1" t="str">
        <f>IF(IFERROR(INDEX($A$9:$X$304,$AS255,COLUMNS($AV$9:BL254)),"")=0,"",IFERROR(INDEX($A$9:$X$304,$AS255,COLUMNS($AV$9:BL254)),""))</f>
        <v>Souveraine</v>
      </c>
      <c r="BM255" s="1" t="str">
        <f>IF(IFERROR(INDEX($A$9:$X$304,$AS255,COLUMNS($AV$9:BM254)),"")=0,"",IFERROR(INDEX($A$9:$X$304,$AS255,COLUMNS($AV$9:BM254)),""))</f>
        <v>Pantheon: Angeline vs Scara</v>
      </c>
      <c r="BN255" s="3" t="b">
        <f>IF(IFERROR(INDEX($A$9:$X$304,$AS255,COLUMNS($AV$9:BN254)),"")=0,"",IFERROR(INDEX($A$9:$X$304,$AS255,COLUMNS($AV$9:BN254)),""))</f>
        <v>1</v>
      </c>
      <c r="BO255" s="3" t="b">
        <f>IF(IFERROR(INDEX($A$9:$X$304,$AS255,COLUMNS($AV$9:BO254)),"")=0,"",IFERROR(INDEX($A$9:$X$304,$AS255,COLUMNS($AV$9:BO254)),""))</f>
        <v>0</v>
      </c>
      <c r="BP255" s="3" t="b">
        <f>IF(IFERROR(INDEX($A$9:$X$304,$AS255,COLUMNS($AV$9:BP254)),"")=0,"",IFERROR(INDEX($A$9:$X$304,$AS255,COLUMNS($AV$9:BP254)),""))</f>
        <v>0</v>
      </c>
      <c r="BQ255" s="3" t="b">
        <f>IF(IFERROR(INDEX($A$9:$X$304,$AS255,COLUMNS($AV$9:BQ254)),"")=0,"",IFERROR(INDEX($A$9:$X$304,$AS255,COLUMNS($AV$9:BQ254)),""))</f>
        <v>0</v>
      </c>
      <c r="BR255" s="3" t="str">
        <f>IF(IFERROR(INDEX($A$9:$X$304,$AS255,COLUMNS($AV$9:BR254)),"")=0,"",IFERROR(INDEX($A$9:$X$304,$AS255,COLUMNS($AV$9:BR254)),""))</f>
        <v>https://www.epiccardgame.com/wp-content/uploads/2017/11/PNA-EN-07-steel-titan.jpg</v>
      </c>
      <c r="BS255" s="3" t="str">
        <f>IF(IFERROR(INDEX($A$9:$X$304,$AS255,COLUMNS($AV$9:BS254)),"")=0,"",IFERROR(INDEX($A$9:$X$304,$AS255,COLUMNS($AV$9:BS254)),""))</f>
        <v/>
      </c>
      <c r="BT255" s="3"/>
      <c r="BU255" s="15"/>
      <c r="BV255" t="s">
        <v>276</v>
      </c>
    </row>
    <row r="256" spans="1:74" ht="225.2" customHeight="1" x14ac:dyDescent="0.25">
      <c r="A256" t="s">
        <v>567</v>
      </c>
      <c r="B256">
        <v>1</v>
      </c>
      <c r="C256" t="s">
        <v>615</v>
      </c>
      <c r="E256" t="s">
        <v>620</v>
      </c>
      <c r="F256">
        <v>6</v>
      </c>
      <c r="G256">
        <v>6</v>
      </c>
      <c r="H256" t="s">
        <v>678</v>
      </c>
      <c r="I256" t="s">
        <v>938</v>
      </c>
      <c r="O256" t="s">
        <v>1069</v>
      </c>
      <c r="P256" t="s">
        <v>1112</v>
      </c>
      <c r="Q256" t="s">
        <v>1116</v>
      </c>
      <c r="R256" t="s">
        <v>1171</v>
      </c>
      <c r="S256" t="b">
        <v>1</v>
      </c>
      <c r="T256" t="b">
        <v>0</v>
      </c>
      <c r="U256" t="b">
        <v>0</v>
      </c>
      <c r="V256" t="b">
        <v>0</v>
      </c>
      <c r="W256" s="2" t="s">
        <v>1431</v>
      </c>
      <c r="X256" s="2"/>
      <c r="Y256" s="24">
        <v>248</v>
      </c>
      <c r="Z256">
        <f t="shared" si="60"/>
        <v>248</v>
      </c>
      <c r="AA256">
        <f t="shared" si="61"/>
        <v>248</v>
      </c>
      <c r="AB256">
        <f t="shared" si="62"/>
        <v>248</v>
      </c>
      <c r="AC256">
        <f t="shared" si="63"/>
        <v>0</v>
      </c>
      <c r="AD256">
        <f t="shared" si="64"/>
        <v>248</v>
      </c>
      <c r="AE256">
        <f t="shared" si="65"/>
        <v>248</v>
      </c>
      <c r="AF256">
        <f t="shared" si="66"/>
        <v>248</v>
      </c>
      <c r="AG256">
        <f t="shared" si="67"/>
        <v>248</v>
      </c>
      <c r="AH256">
        <f t="shared" si="68"/>
        <v>248</v>
      </c>
      <c r="AI256">
        <f t="shared" si="69"/>
        <v>0</v>
      </c>
      <c r="AJ256">
        <f t="shared" si="70"/>
        <v>0</v>
      </c>
      <c r="AK256">
        <f t="shared" si="71"/>
        <v>0</v>
      </c>
      <c r="AL256">
        <f t="shared" si="72"/>
        <v>0</v>
      </c>
      <c r="AM256">
        <f t="shared" si="73"/>
        <v>0</v>
      </c>
      <c r="AN256">
        <f t="shared" si="74"/>
        <v>248</v>
      </c>
      <c r="AO256">
        <f t="shared" si="75"/>
        <v>248</v>
      </c>
      <c r="AP256">
        <f t="shared" si="76"/>
        <v>248</v>
      </c>
      <c r="AQ256">
        <f t="shared" si="77"/>
        <v>248</v>
      </c>
      <c r="AR256" s="6">
        <f t="shared" si="78"/>
        <v>248</v>
      </c>
      <c r="AS256">
        <f t="shared" si="79"/>
        <v>248</v>
      </c>
      <c r="AV256" s="1" t="str">
        <f>IF(IFERROR(INDEX($A$9:$W$304,$AS256,COLUMNS($AV$9:AV255)),"")=0,"",IFERROR(INDEX($A$9:$W$304,$AS256,COLUMNS($AV$9:AV255)),""))</f>
        <v>Strafing Dragon</v>
      </c>
      <c r="AW256" s="1">
        <f>IFERROR(INDEX($A$9:$W$304,$AS256,COLUMNS($AV$9:AW255)),"")</f>
        <v>1</v>
      </c>
      <c r="AX256" s="1" t="str">
        <f>IF(IFERROR(INDEX($A$9:$X$304,$AS256,COLUMNS($AV$9:AX255)),"")=0,"",IFERROR(INDEX($A$9:$X$304,$AS256,COLUMNS($AV$9:AX255)),""))</f>
        <v>WILD</v>
      </c>
      <c r="AY256" s="1" t="str">
        <f>IF(IFERROR(INDEX($A$9:$X$304,$AS256,COLUMNS($AV$9:AY255)),"")=0,"",IFERROR(INDEX($A$9:$X$304,$AS256,COLUMNS($AV$9:AY255)),""))</f>
        <v/>
      </c>
      <c r="AZ256" s="1" t="str">
        <f>IF(IFERROR(INDEX($A$9:$X$304,$AS256,COLUMNS($AV$9:AZ255)),"")=0,"",IFERROR(INDEX($A$9:$X$304,$AS256,COLUMNS($AV$9:AZ255)),""))</f>
        <v>CHAMPION</v>
      </c>
      <c r="BA256" s="1">
        <f>IF(IFERROR(INDEX($A$9:$X$304,$AS256,COLUMNS($AV$9:BA255)),"")=0,"",IFERROR(INDEX($A$9:$X$304,$AS256,COLUMNS($AV$9:BA255)),""))</f>
        <v>6</v>
      </c>
      <c r="BB256" s="1">
        <f>IF(IFERROR(INDEX($A$9:$X$304,$AS256,COLUMNS($AV$9:BB255)),"")=0,"",IFERROR(INDEX($A$9:$X$304,$AS256,COLUMNS($AV$9:BB255)),""))</f>
        <v>6</v>
      </c>
      <c r="BC256" s="1" t="str">
        <f>IF(IFERROR(INDEX($A$9:$X$304,$AS256,COLUMNS($AV$9:BC255)),"")=0,"",IFERROR(INDEX($A$9:$X$304,$AS256,COLUMNS($AV$9:BC255)),""))</f>
        <v>Airborne ◆ Ambush ◆ Blitz</v>
      </c>
      <c r="BD256" s="1" t="str">
        <f>IF(IFERROR(INDEX($A$9:$X$304,$AS256,COLUMNS($AV$9:BD255)),"")=0,"",IFERROR(INDEX($A$9:$X$304,$AS256,COLUMNS($AV$9:BD255)),""))</f>
        <v>Loyalty 2 → Deal 5 damage to a target.</v>
      </c>
      <c r="BE256" s="1" t="str">
        <f>IF(IFERROR(INDEX($A$9:$X$304,$AS256,COLUMNS($AV$9:BE255)),"")=0,"",IFERROR(INDEX($A$9:$X$304,$AS256,COLUMNS($AV$9:BE255)),""))</f>
        <v/>
      </c>
      <c r="BF256" s="1" t="str">
        <f>IF(IFERROR(INDEX($A$9:$X$304,$AS256,COLUMNS($AV$9:BF255)),"")=0,"",IFERROR(INDEX($A$9:$X$304,$AS256,COLUMNS($AV$9:BF255)),""))</f>
        <v/>
      </c>
      <c r="BG256" s="1" t="str">
        <f>IF(IFERROR(INDEX($A$9:$X$304,$AS256,COLUMNS($AV$9:BG255)),"")=0,"",IFERROR(INDEX($A$9:$X$304,$AS256,COLUMNS($AV$9:BG255)),""))</f>
        <v/>
      </c>
      <c r="BH256" s="1" t="str">
        <f>IF(IFERROR(INDEX($A$9:$X$304,$AS256,COLUMNS($AV$9:BH255)),"")=0,"",IFERROR(INDEX($A$9:$X$304,$AS256,COLUMNS($AV$9:BH255)),""))</f>
        <v/>
      </c>
      <c r="BI256" s="1" t="str">
        <f>IF(IFERROR(INDEX($A$9:$X$304,$AS256,COLUMNS($AV$9:BI255)),"")=0,"",IFERROR(INDEX($A$9:$X$304,$AS256,COLUMNS($AV$9:BI255)),""))</f>
        <v/>
      </c>
      <c r="BJ256" s="1" t="str">
        <f>IF(IFERROR(INDEX($A$9:$X$304,$AS256,COLUMNS($AV$9:BJ255)),"")=0,"",IFERROR(INDEX($A$9:$X$304,$AS256,COLUMNS($AV$9:BJ255)),""))</f>
        <v>DRAGON</v>
      </c>
      <c r="BK256" s="1" t="str">
        <f>IF(IFERROR(INDEX($A$9:$X$304,$AS256,COLUMNS($AV$9:BK255)),"")=0,"",IFERROR(INDEX($A$9:$X$304,$AS256,COLUMNS($AV$9:BK255)),""))</f>
        <v>Common</v>
      </c>
      <c r="BL256" s="1" t="str">
        <f>IF(IFERROR(INDEX($A$9:$X$304,$AS256,COLUMNS($AV$9:BL255)),"")=0,"",IFERROR(INDEX($A$9:$X$304,$AS256,COLUMNS($AV$9:BL255)),""))</f>
        <v>Apsara</v>
      </c>
      <c r="BM256" s="1" t="str">
        <f>IF(IFERROR(INDEX($A$9:$X$304,$AS256,COLUMNS($AV$9:BM255)),"")=0,"",IFERROR(INDEX($A$9:$X$304,$AS256,COLUMNS($AV$9:BM255)),""))</f>
        <v>Base Set</v>
      </c>
      <c r="BN256" s="3" t="b">
        <f>IF(IFERROR(INDEX($A$9:$X$304,$AS256,COLUMNS($AV$9:BN255)),"")=0,"",IFERROR(INDEX($A$9:$X$304,$AS256,COLUMNS($AV$9:BN255)),""))</f>
        <v>1</v>
      </c>
      <c r="BO256" s="3" t="b">
        <f>IF(IFERROR(INDEX($A$9:$X$304,$AS256,COLUMNS($AV$9:BO255)),"")=0,"",IFERROR(INDEX($A$9:$X$304,$AS256,COLUMNS($AV$9:BO255)),""))</f>
        <v>0</v>
      </c>
      <c r="BP256" s="3" t="b">
        <f>IF(IFERROR(INDEX($A$9:$X$304,$AS256,COLUMNS($AV$9:BP255)),"")=0,"",IFERROR(INDEX($A$9:$X$304,$AS256,COLUMNS($AV$9:BP255)),""))</f>
        <v>0</v>
      </c>
      <c r="BQ256" s="3" t="b">
        <f>IF(IFERROR(INDEX($A$9:$X$304,$AS256,COLUMNS($AV$9:BQ255)),"")=0,"",IFERROR(INDEX($A$9:$X$304,$AS256,COLUMNS($AV$9:BQ255)),""))</f>
        <v>0</v>
      </c>
      <c r="BR256" s="3" t="str">
        <f>IF(IFERROR(INDEX($A$9:$X$304,$AS256,COLUMNS($AV$9:BR255)),"")=0,"",IFERROR(INDEX($A$9:$X$304,$AS256,COLUMNS($AV$9:BR255)),""))</f>
        <v>http://www.epiccardgame.com/wp-content/uploads/2015/09/strafing_dragon-215x300.jpg</v>
      </c>
      <c r="BS256" s="3" t="str">
        <f>IF(IFERROR(INDEX($A$9:$X$304,$AS256,COLUMNS($AV$9:BS255)),"")=0,"",IFERROR(INDEX($A$9:$X$304,$AS256,COLUMNS($AV$9:BS255)),""))</f>
        <v/>
      </c>
      <c r="BT256" s="3"/>
      <c r="BU256" s="15"/>
      <c r="BV256" t="s">
        <v>277</v>
      </c>
    </row>
    <row r="257" spans="1:74" ht="225.2" customHeight="1" x14ac:dyDescent="0.25">
      <c r="A257" t="s">
        <v>568</v>
      </c>
      <c r="B257">
        <v>1</v>
      </c>
      <c r="C257" t="s">
        <v>618</v>
      </c>
      <c r="E257" t="s">
        <v>620</v>
      </c>
      <c r="F257">
        <v>6</v>
      </c>
      <c r="G257">
        <v>5</v>
      </c>
      <c r="H257" t="s">
        <v>25</v>
      </c>
      <c r="I257" t="s">
        <v>682</v>
      </c>
      <c r="J257" t="s">
        <v>674</v>
      </c>
      <c r="K257" t="s">
        <v>1040</v>
      </c>
      <c r="O257" t="s">
        <v>1078</v>
      </c>
      <c r="P257" t="s">
        <v>1112</v>
      </c>
      <c r="Q257" t="s">
        <v>1116</v>
      </c>
      <c r="R257" t="s">
        <v>1171</v>
      </c>
      <c r="S257" t="b">
        <v>1</v>
      </c>
      <c r="T257" t="b">
        <v>0</v>
      </c>
      <c r="U257" t="b">
        <v>0</v>
      </c>
      <c r="V257" t="b">
        <v>0</v>
      </c>
      <c r="W257" s="2" t="s">
        <v>1432</v>
      </c>
      <c r="X257" s="2"/>
      <c r="Y257" s="24">
        <v>249</v>
      </c>
      <c r="Z257">
        <f t="shared" si="60"/>
        <v>249</v>
      </c>
      <c r="AA257">
        <f t="shared" si="61"/>
        <v>249</v>
      </c>
      <c r="AB257">
        <f t="shared" si="62"/>
        <v>249</v>
      </c>
      <c r="AC257">
        <f t="shared" si="63"/>
        <v>0</v>
      </c>
      <c r="AD257">
        <f t="shared" si="64"/>
        <v>249</v>
      </c>
      <c r="AE257">
        <f t="shared" si="65"/>
        <v>249</v>
      </c>
      <c r="AF257">
        <f t="shared" si="66"/>
        <v>249</v>
      </c>
      <c r="AG257">
        <f t="shared" si="67"/>
        <v>249</v>
      </c>
      <c r="AH257">
        <f t="shared" si="68"/>
        <v>249</v>
      </c>
      <c r="AI257">
        <f t="shared" si="69"/>
        <v>249</v>
      </c>
      <c r="AJ257">
        <f t="shared" si="70"/>
        <v>249</v>
      </c>
      <c r="AK257">
        <f t="shared" si="71"/>
        <v>0</v>
      </c>
      <c r="AL257">
        <f t="shared" si="72"/>
        <v>0</v>
      </c>
      <c r="AM257">
        <f t="shared" si="73"/>
        <v>0</v>
      </c>
      <c r="AN257">
        <f t="shared" si="74"/>
        <v>249</v>
      </c>
      <c r="AO257">
        <f t="shared" si="75"/>
        <v>249</v>
      </c>
      <c r="AP257">
        <f t="shared" si="76"/>
        <v>249</v>
      </c>
      <c r="AQ257">
        <f t="shared" si="77"/>
        <v>249</v>
      </c>
      <c r="AR257" s="6">
        <f t="shared" si="78"/>
        <v>249</v>
      </c>
      <c r="AS257">
        <f t="shared" si="79"/>
        <v>249</v>
      </c>
      <c r="AV257" s="1" t="str">
        <f>IF(IFERROR(INDEX($A$9:$W$304,$AS257,COLUMNS($AV$9:AV256)),"")=0,"",IFERROR(INDEX($A$9:$W$304,$AS257,COLUMNS($AV$9:AV256)),""))</f>
        <v>Succubus</v>
      </c>
      <c r="AW257" s="1">
        <f>IFERROR(INDEX($A$9:$W$304,$AS257,COLUMNS($AV$9:AW256)),"")</f>
        <v>1</v>
      </c>
      <c r="AX257" s="1" t="str">
        <f>IF(IFERROR(INDEX($A$9:$X$304,$AS257,COLUMNS($AV$9:AX256)),"")=0,"",IFERROR(INDEX($A$9:$X$304,$AS257,COLUMNS($AV$9:AX256)),""))</f>
        <v>EVIL</v>
      </c>
      <c r="AY257" s="1" t="str">
        <f>IF(IFERROR(INDEX($A$9:$X$304,$AS257,COLUMNS($AV$9:AY256)),"")=0,"",IFERROR(INDEX($A$9:$X$304,$AS257,COLUMNS($AV$9:AY256)),""))</f>
        <v/>
      </c>
      <c r="AZ257" s="1" t="str">
        <f>IF(IFERROR(INDEX($A$9:$X$304,$AS257,COLUMNS($AV$9:AZ256)),"")=0,"",IFERROR(INDEX($A$9:$X$304,$AS257,COLUMNS($AV$9:AZ256)),""))</f>
        <v>CHAMPION</v>
      </c>
      <c r="BA257" s="1">
        <f>IF(IFERROR(INDEX($A$9:$X$304,$AS257,COLUMNS($AV$9:BA256)),"")=0,"",IFERROR(INDEX($A$9:$X$304,$AS257,COLUMNS($AV$9:BA256)),""))</f>
        <v>6</v>
      </c>
      <c r="BB257" s="1">
        <f>IF(IFERROR(INDEX($A$9:$X$304,$AS257,COLUMNS($AV$9:BB256)),"")=0,"",IFERROR(INDEX($A$9:$X$304,$AS257,COLUMNS($AV$9:BB256)),""))</f>
        <v>5</v>
      </c>
      <c r="BC257" s="1" t="str">
        <f>IF(IFERROR(INDEX($A$9:$X$304,$AS257,COLUMNS($AV$9:BC256)),"")=0,"",IFERROR(INDEX($A$9:$X$304,$AS257,COLUMNS($AV$9:BC256)),""))</f>
        <v>Airborne</v>
      </c>
      <c r="BD257" s="1" t="str">
        <f>IF(IFERROR(INDEX($A$9:$X$304,$AS257,COLUMNS($AV$9:BD256)),"")=0,"",IFERROR(INDEX($A$9:$X$304,$AS257,COLUMNS($AV$9:BD256)),""))</f>
        <v>Tribute → Draw a card.</v>
      </c>
      <c r="BE257" s="1" t="str">
        <f>IF(IFERROR(INDEX($A$9:$X$304,$AS257,COLUMNS($AV$9:BE256)),"")=0,"",IFERROR(INDEX($A$9:$X$304,$AS257,COLUMNS($AV$9:BE256)),""))</f>
        <v>Loyalty 2 → Blitz</v>
      </c>
      <c r="BF257" s="1" t="str">
        <f>IF(IFERROR(INDEX($A$9:$X$304,$AS257,COLUMNS($AV$9:BF256)),"")=0,"",IFERROR(INDEX($A$9:$X$304,$AS257,COLUMNS($AV$9:BF256)),""))</f>
        <v>{expend}: Banish target good champion.</v>
      </c>
      <c r="BG257" s="1" t="str">
        <f>IF(IFERROR(INDEX($A$9:$X$304,$AS257,COLUMNS($AV$9:BG256)),"")=0,"",IFERROR(INDEX($A$9:$X$304,$AS257,COLUMNS($AV$9:BG256)),""))</f>
        <v/>
      </c>
      <c r="BH257" s="1" t="str">
        <f>IF(IFERROR(INDEX($A$9:$X$304,$AS257,COLUMNS($AV$9:BH256)),"")=0,"",IFERROR(INDEX($A$9:$X$304,$AS257,COLUMNS($AV$9:BH256)),""))</f>
        <v/>
      </c>
      <c r="BI257" s="1" t="str">
        <f>IF(IFERROR(INDEX($A$9:$X$304,$AS257,COLUMNS($AV$9:BI256)),"")=0,"",IFERROR(INDEX($A$9:$X$304,$AS257,COLUMNS($AV$9:BI256)),""))</f>
        <v/>
      </c>
      <c r="BJ257" s="1" t="str">
        <f>IF(IFERROR(INDEX($A$9:$X$304,$AS257,COLUMNS($AV$9:BJ256)),"")=0,"",IFERROR(INDEX($A$9:$X$304,$AS257,COLUMNS($AV$9:BJ256)),""))</f>
        <v>DEMON</v>
      </c>
      <c r="BK257" s="1" t="str">
        <f>IF(IFERROR(INDEX($A$9:$X$304,$AS257,COLUMNS($AV$9:BK256)),"")=0,"",IFERROR(INDEX($A$9:$X$304,$AS257,COLUMNS($AV$9:BK256)),""))</f>
        <v>Common</v>
      </c>
      <c r="BL257" s="1" t="str">
        <f>IF(IFERROR(INDEX($A$9:$X$304,$AS257,COLUMNS($AV$9:BL256)),"")=0,"",IFERROR(INDEX($A$9:$X$304,$AS257,COLUMNS($AV$9:BL256)),""))</f>
        <v>Apsara</v>
      </c>
      <c r="BM257" s="1" t="str">
        <f>IF(IFERROR(INDEX($A$9:$X$304,$AS257,COLUMNS($AV$9:BM256)),"")=0,"",IFERROR(INDEX($A$9:$X$304,$AS257,COLUMNS($AV$9:BM256)),""))</f>
        <v>Base Set</v>
      </c>
      <c r="BN257" s="3" t="b">
        <f>IF(IFERROR(INDEX($A$9:$X$304,$AS257,COLUMNS($AV$9:BN256)),"")=0,"",IFERROR(INDEX($A$9:$X$304,$AS257,COLUMNS($AV$9:BN256)),""))</f>
        <v>1</v>
      </c>
      <c r="BO257" s="3" t="b">
        <f>IF(IFERROR(INDEX($A$9:$X$304,$AS257,COLUMNS($AV$9:BO256)),"")=0,"",IFERROR(INDEX($A$9:$X$304,$AS257,COLUMNS($AV$9:BO256)),""))</f>
        <v>0</v>
      </c>
      <c r="BP257" s="3" t="b">
        <f>IF(IFERROR(INDEX($A$9:$X$304,$AS257,COLUMNS($AV$9:BP256)),"")=0,"",IFERROR(INDEX($A$9:$X$304,$AS257,COLUMNS($AV$9:BP256)),""))</f>
        <v>0</v>
      </c>
      <c r="BQ257" s="3" t="b">
        <f>IF(IFERROR(INDEX($A$9:$X$304,$AS257,COLUMNS($AV$9:BQ256)),"")=0,"",IFERROR(INDEX($A$9:$X$304,$AS257,COLUMNS($AV$9:BQ256)),""))</f>
        <v>0</v>
      </c>
      <c r="BR257" s="3" t="str">
        <f>IF(IFERROR(INDEX($A$9:$X$304,$AS257,COLUMNS($AV$9:BR256)),"")=0,"",IFERROR(INDEX($A$9:$X$304,$AS257,COLUMNS($AV$9:BR256)),""))</f>
        <v>http://www.epiccardgame.com/wp-content/uploads/2015/09/succubus-215x300.jpg</v>
      </c>
      <c r="BS257" s="3" t="str">
        <f>IF(IFERROR(INDEX($A$9:$X$304,$AS257,COLUMNS($AV$9:BS256)),"")=0,"",IFERROR(INDEX($A$9:$X$304,$AS257,COLUMNS($AV$9:BS256)),""))</f>
        <v/>
      </c>
      <c r="BT257" s="3"/>
      <c r="BU257" s="15"/>
      <c r="BV257" t="s">
        <v>278</v>
      </c>
    </row>
    <row r="258" spans="1:74" ht="225.2" customHeight="1" x14ac:dyDescent="0.25">
      <c r="A258" t="s">
        <v>569</v>
      </c>
      <c r="B258">
        <v>1</v>
      </c>
      <c r="C258" t="s">
        <v>615</v>
      </c>
      <c r="E258" t="s">
        <v>619</v>
      </c>
      <c r="H258" t="s">
        <v>741</v>
      </c>
      <c r="I258" t="s">
        <v>939</v>
      </c>
      <c r="O258" t="s">
        <v>1062</v>
      </c>
      <c r="P258" t="s">
        <v>1113</v>
      </c>
      <c r="Q258" t="s">
        <v>1117</v>
      </c>
      <c r="R258" t="s">
        <v>1171</v>
      </c>
      <c r="S258" t="b">
        <v>1</v>
      </c>
      <c r="T258" t="b">
        <v>0</v>
      </c>
      <c r="U258" t="b">
        <v>0</v>
      </c>
      <c r="V258" t="b">
        <v>0</v>
      </c>
      <c r="W258" s="2" t="s">
        <v>1433</v>
      </c>
      <c r="X258" s="2"/>
      <c r="Y258" s="24">
        <v>250</v>
      </c>
      <c r="Z258">
        <f t="shared" si="60"/>
        <v>250</v>
      </c>
      <c r="AA258">
        <f t="shared" si="61"/>
        <v>250</v>
      </c>
      <c r="AB258">
        <f t="shared" si="62"/>
        <v>250</v>
      </c>
      <c r="AC258">
        <f t="shared" si="63"/>
        <v>0</v>
      </c>
      <c r="AD258">
        <f t="shared" si="64"/>
        <v>250</v>
      </c>
      <c r="AE258">
        <f t="shared" si="65"/>
        <v>0</v>
      </c>
      <c r="AF258">
        <f t="shared" si="66"/>
        <v>0</v>
      </c>
      <c r="AG258">
        <f t="shared" si="67"/>
        <v>250</v>
      </c>
      <c r="AH258">
        <f t="shared" si="68"/>
        <v>250</v>
      </c>
      <c r="AI258">
        <f t="shared" si="69"/>
        <v>0</v>
      </c>
      <c r="AJ258">
        <f t="shared" si="70"/>
        <v>0</v>
      </c>
      <c r="AK258">
        <f t="shared" si="71"/>
        <v>0</v>
      </c>
      <c r="AL258">
        <f t="shared" si="72"/>
        <v>0</v>
      </c>
      <c r="AM258">
        <f t="shared" si="73"/>
        <v>0</v>
      </c>
      <c r="AN258">
        <f t="shared" si="74"/>
        <v>250</v>
      </c>
      <c r="AO258">
        <f t="shared" si="75"/>
        <v>250</v>
      </c>
      <c r="AP258">
        <f t="shared" si="76"/>
        <v>250</v>
      </c>
      <c r="AQ258">
        <f t="shared" si="77"/>
        <v>250</v>
      </c>
      <c r="AR258" s="6">
        <f t="shared" si="78"/>
        <v>250</v>
      </c>
      <c r="AS258">
        <f t="shared" si="79"/>
        <v>250</v>
      </c>
      <c r="AV258" s="1" t="str">
        <f>IF(IFERROR(INDEX($A$9:$W$304,$AS258,COLUMNS($AV$9:AV257)),"")=0,"",IFERROR(INDEX($A$9:$W$304,$AS258,COLUMNS($AV$9:AV257)),""))</f>
        <v>Surprise Attack</v>
      </c>
      <c r="AW258" s="1">
        <f>IFERROR(INDEX($A$9:$W$304,$AS258,COLUMNS($AV$9:AW257)),"")</f>
        <v>1</v>
      </c>
      <c r="AX258" s="1" t="str">
        <f>IF(IFERROR(INDEX($A$9:$X$304,$AS258,COLUMNS($AV$9:AX257)),"")=0,"",IFERROR(INDEX($A$9:$X$304,$AS258,COLUMNS($AV$9:AX257)),""))</f>
        <v>WILD</v>
      </c>
      <c r="AY258" s="1" t="str">
        <f>IF(IFERROR(INDEX($A$9:$X$304,$AS258,COLUMNS($AV$9:AY257)),"")=0,"",IFERROR(INDEX($A$9:$X$304,$AS258,COLUMNS($AV$9:AY257)),""))</f>
        <v/>
      </c>
      <c r="AZ258" s="1" t="str">
        <f>IF(IFERROR(INDEX($A$9:$X$304,$AS258,COLUMNS($AV$9:AZ257)),"")=0,"",IFERROR(INDEX($A$9:$X$304,$AS258,COLUMNS($AV$9:AZ257)),""))</f>
        <v>EVENT</v>
      </c>
      <c r="BA258" s="1" t="str">
        <f>IF(IFERROR(INDEX($A$9:$X$304,$AS258,COLUMNS($AV$9:BA257)),"")=0,"",IFERROR(INDEX($A$9:$X$304,$AS258,COLUMNS($AV$9:BA257)),""))</f>
        <v/>
      </c>
      <c r="BB258" s="1" t="str">
        <f>IF(IFERROR(INDEX($A$9:$X$304,$AS258,COLUMNS($AV$9:BB257)),"")=0,"",IFERROR(INDEX($A$9:$X$304,$AS258,COLUMNS($AV$9:BB257)),""))</f>
        <v/>
      </c>
      <c r="BC258" s="1" t="str">
        <f>IF(IFERROR(INDEX($A$9:$X$304,$AS258,COLUMNS($AV$9:BC257)),"")=0,"",IFERROR(INDEX($A$9:$X$304,$AS258,COLUMNS($AV$9:BC257)),""))</f>
        <v>Draw a card.</v>
      </c>
      <c r="BD258" s="1" t="str">
        <f>IF(IFERROR(INDEX($A$9:$X$304,$AS258,COLUMNS($AV$9:BD257)),"")=0,"",IFERROR(INDEX($A$9:$X$304,$AS258,COLUMNS($AV$9:BD257)),""))</f>
        <v>You may put a champion from your hand into play.</v>
      </c>
      <c r="BE258" s="1" t="str">
        <f>IF(IFERROR(INDEX($A$9:$X$304,$AS258,COLUMNS($AV$9:BE257)),"")=0,"",IFERROR(INDEX($A$9:$X$304,$AS258,COLUMNS($AV$9:BE257)),""))</f>
        <v/>
      </c>
      <c r="BF258" s="1" t="str">
        <f>IF(IFERROR(INDEX($A$9:$X$304,$AS258,COLUMNS($AV$9:BF257)),"")=0,"",IFERROR(INDEX($A$9:$X$304,$AS258,COLUMNS($AV$9:BF257)),""))</f>
        <v/>
      </c>
      <c r="BG258" s="1" t="str">
        <f>IF(IFERROR(INDEX($A$9:$X$304,$AS258,COLUMNS($AV$9:BG257)),"")=0,"",IFERROR(INDEX($A$9:$X$304,$AS258,COLUMNS($AV$9:BG257)),""))</f>
        <v/>
      </c>
      <c r="BH258" s="1" t="str">
        <f>IF(IFERROR(INDEX($A$9:$X$304,$AS258,COLUMNS($AV$9:BH257)),"")=0,"",IFERROR(INDEX($A$9:$X$304,$AS258,COLUMNS($AV$9:BH257)),""))</f>
        <v/>
      </c>
      <c r="BI258" s="1" t="str">
        <f>IF(IFERROR(INDEX($A$9:$X$304,$AS258,COLUMNS($AV$9:BI257)),"")=0,"",IFERROR(INDEX($A$9:$X$304,$AS258,COLUMNS($AV$9:BI257)),""))</f>
        <v/>
      </c>
      <c r="BJ258" s="1" t="str">
        <f>IF(IFERROR(INDEX($A$9:$X$304,$AS258,COLUMNS($AV$9:BJ257)),"")=0,"",IFERROR(INDEX($A$9:$X$304,$AS258,COLUMNS($AV$9:BJ257)),""))</f>
        <v>None</v>
      </c>
      <c r="BK258" s="1" t="str">
        <f>IF(IFERROR(INDEX($A$9:$X$304,$AS258,COLUMNS($AV$9:BK257)),"")=0,"",IFERROR(INDEX($A$9:$X$304,$AS258,COLUMNS($AV$9:BK257)),""))</f>
        <v>Rare</v>
      </c>
      <c r="BL258" s="1" t="str">
        <f>IF(IFERROR(INDEX($A$9:$X$304,$AS258,COLUMNS($AV$9:BL257)),"")=0,"",IFERROR(INDEX($A$9:$X$304,$AS258,COLUMNS($AV$9:BL257)),""))</f>
        <v>Antonis Papantoniou</v>
      </c>
      <c r="BM258" s="1" t="str">
        <f>IF(IFERROR(INDEX($A$9:$X$304,$AS258,COLUMNS($AV$9:BM257)),"")=0,"",IFERROR(INDEX($A$9:$X$304,$AS258,COLUMNS($AV$9:BM257)),""))</f>
        <v>Base Set</v>
      </c>
      <c r="BN258" s="3" t="b">
        <f>IF(IFERROR(INDEX($A$9:$X$304,$AS258,COLUMNS($AV$9:BN257)),"")=0,"",IFERROR(INDEX($A$9:$X$304,$AS258,COLUMNS($AV$9:BN257)),""))</f>
        <v>1</v>
      </c>
      <c r="BO258" s="3" t="b">
        <f>IF(IFERROR(INDEX($A$9:$X$304,$AS258,COLUMNS($AV$9:BO257)),"")=0,"",IFERROR(INDEX($A$9:$X$304,$AS258,COLUMNS($AV$9:BO257)),""))</f>
        <v>0</v>
      </c>
      <c r="BP258" s="3" t="b">
        <f>IF(IFERROR(INDEX($A$9:$X$304,$AS258,COLUMNS($AV$9:BP257)),"")=0,"",IFERROR(INDEX($A$9:$X$304,$AS258,COLUMNS($AV$9:BP257)),""))</f>
        <v>0</v>
      </c>
      <c r="BQ258" s="3" t="b">
        <f>IF(IFERROR(INDEX($A$9:$X$304,$AS258,COLUMNS($AV$9:BQ257)),"")=0,"",IFERROR(INDEX($A$9:$X$304,$AS258,COLUMNS($AV$9:BQ257)),""))</f>
        <v>0</v>
      </c>
      <c r="BR258" s="3" t="str">
        <f>IF(IFERROR(INDEX($A$9:$X$304,$AS258,COLUMNS($AV$9:BR257)),"")=0,"",IFERROR(INDEX($A$9:$X$304,$AS258,COLUMNS($AV$9:BR257)),""))</f>
        <v>http://www.epiccardgame.com/wp-content/uploads/2015/09/surprise_attack-215x300.jpg</v>
      </c>
      <c r="BS258" s="3" t="str">
        <f>IF(IFERROR(INDEX($A$9:$X$304,$AS258,COLUMNS($AV$9:BS257)),"")=0,"",IFERROR(INDEX($A$9:$X$304,$AS258,COLUMNS($AV$9:BS257)),""))</f>
        <v/>
      </c>
      <c r="BT258" s="3"/>
      <c r="BU258" s="15"/>
      <c r="BV258" t="s">
        <v>279</v>
      </c>
    </row>
    <row r="259" spans="1:74" ht="225" customHeight="1" x14ac:dyDescent="0.25">
      <c r="A259" t="s">
        <v>570</v>
      </c>
      <c r="B259">
        <v>1</v>
      </c>
      <c r="C259" t="s">
        <v>616</v>
      </c>
      <c r="E259" t="s">
        <v>619</v>
      </c>
      <c r="H259" t="s">
        <v>742</v>
      </c>
      <c r="I259" t="s">
        <v>741</v>
      </c>
      <c r="O259" t="s">
        <v>1062</v>
      </c>
      <c r="P259" t="s">
        <v>1112</v>
      </c>
      <c r="Q259" t="s">
        <v>1124</v>
      </c>
      <c r="R259" t="s">
        <v>1182</v>
      </c>
      <c r="S259" t="b">
        <v>1</v>
      </c>
      <c r="T259" t="b">
        <v>0</v>
      </c>
      <c r="U259" t="b">
        <v>0</v>
      </c>
      <c r="V259" t="b">
        <v>0</v>
      </c>
      <c r="W259" s="2" t="s">
        <v>1434</v>
      </c>
      <c r="X259" s="2"/>
      <c r="Y259" s="24">
        <v>251</v>
      </c>
      <c r="Z259">
        <f t="shared" si="60"/>
        <v>251</v>
      </c>
      <c r="AA259">
        <f t="shared" si="61"/>
        <v>251</v>
      </c>
      <c r="AB259">
        <f t="shared" si="62"/>
        <v>251</v>
      </c>
      <c r="AC259">
        <f t="shared" si="63"/>
        <v>0</v>
      </c>
      <c r="AD259">
        <f t="shared" si="64"/>
        <v>251</v>
      </c>
      <c r="AE259">
        <f t="shared" si="65"/>
        <v>0</v>
      </c>
      <c r="AF259">
        <f t="shared" si="66"/>
        <v>0</v>
      </c>
      <c r="AG259">
        <f t="shared" si="67"/>
        <v>251</v>
      </c>
      <c r="AH259">
        <f t="shared" si="68"/>
        <v>251</v>
      </c>
      <c r="AI259">
        <f t="shared" si="69"/>
        <v>0</v>
      </c>
      <c r="AJ259">
        <f t="shared" si="70"/>
        <v>0</v>
      </c>
      <c r="AK259">
        <f t="shared" si="71"/>
        <v>0</v>
      </c>
      <c r="AL259">
        <f t="shared" si="72"/>
        <v>0</v>
      </c>
      <c r="AM259">
        <f t="shared" si="73"/>
        <v>0</v>
      </c>
      <c r="AN259">
        <f t="shared" si="74"/>
        <v>251</v>
      </c>
      <c r="AO259">
        <f t="shared" si="75"/>
        <v>251</v>
      </c>
      <c r="AP259">
        <f t="shared" si="76"/>
        <v>251</v>
      </c>
      <c r="AQ259">
        <f t="shared" si="77"/>
        <v>251</v>
      </c>
      <c r="AR259" s="6">
        <f t="shared" si="78"/>
        <v>251</v>
      </c>
      <c r="AS259">
        <f t="shared" si="79"/>
        <v>251</v>
      </c>
      <c r="AV259" s="1" t="str">
        <f>IF(IFERROR(INDEX($A$9:$W$304,$AS259,COLUMNS($AV$9:AV258)),"")=0,"",IFERROR(INDEX($A$9:$W$304,$AS259,COLUMNS($AV$9:AV258)),""))</f>
        <v>Teleport</v>
      </c>
      <c r="AW259" s="1">
        <f>IFERROR(INDEX($A$9:$W$304,$AS259,COLUMNS($AV$9:AW258)),"")</f>
        <v>1</v>
      </c>
      <c r="AX259" s="1" t="str">
        <f>IF(IFERROR(INDEX($A$9:$X$304,$AS259,COLUMNS($AV$9:AX258)),"")=0,"",IFERROR(INDEX($A$9:$X$304,$AS259,COLUMNS($AV$9:AX258)),""))</f>
        <v>SAGE</v>
      </c>
      <c r="AY259" s="1" t="str">
        <f>IF(IFERROR(INDEX($A$9:$X$304,$AS259,COLUMNS($AV$9:AY258)),"")=0,"",IFERROR(INDEX($A$9:$X$304,$AS259,COLUMNS($AV$9:AY258)),""))</f>
        <v/>
      </c>
      <c r="AZ259" s="1" t="str">
        <f>IF(IFERROR(INDEX($A$9:$X$304,$AS259,COLUMNS($AV$9:AZ258)),"")=0,"",IFERROR(INDEX($A$9:$X$304,$AS259,COLUMNS($AV$9:AZ258)),""))</f>
        <v>EVENT</v>
      </c>
      <c r="BA259" s="1" t="str">
        <f>IF(IFERROR(INDEX($A$9:$X$304,$AS259,COLUMNS($AV$9:BA258)),"")=0,"",IFERROR(INDEX($A$9:$X$304,$AS259,COLUMNS($AV$9:BA258)),""))</f>
        <v/>
      </c>
      <c r="BB259" s="1" t="str">
        <f>IF(IFERROR(INDEX($A$9:$X$304,$AS259,COLUMNS($AV$9:BB258)),"")=0,"",IFERROR(INDEX($A$9:$X$304,$AS259,COLUMNS($AV$9:BB258)),""))</f>
        <v/>
      </c>
      <c r="BC259" s="1" t="str">
        <f>IF(IFERROR(INDEX($A$9:$X$304,$AS259,COLUMNS($AV$9:BC258)),"")=0,"",IFERROR(INDEX($A$9:$X$304,$AS259,COLUMNS($AV$9:BC258)),""))</f>
        <v>Remove target champion from play, then return it to play (as a new champion) under its owner's control, either expended or prepared with blitz.</v>
      </c>
      <c r="BD259" s="1" t="str">
        <f>IF(IFERROR(INDEX($A$9:$X$304,$AS259,COLUMNS($AV$9:BD258)),"")=0,"",IFERROR(INDEX($A$9:$X$304,$AS259,COLUMNS($AV$9:BD258)),""))</f>
        <v>Draw a card.</v>
      </c>
      <c r="BE259" s="1" t="str">
        <f>IF(IFERROR(INDEX($A$9:$X$304,$AS259,COLUMNS($AV$9:BE258)),"")=0,"",IFERROR(INDEX($A$9:$X$304,$AS259,COLUMNS($AV$9:BE258)),""))</f>
        <v/>
      </c>
      <c r="BF259" s="1" t="str">
        <f>IF(IFERROR(INDEX($A$9:$X$304,$AS259,COLUMNS($AV$9:BF258)),"")=0,"",IFERROR(INDEX($A$9:$X$304,$AS259,COLUMNS($AV$9:BF258)),""))</f>
        <v/>
      </c>
      <c r="BG259" s="1" t="str">
        <f>IF(IFERROR(INDEX($A$9:$X$304,$AS259,COLUMNS($AV$9:BG258)),"")=0,"",IFERROR(INDEX($A$9:$X$304,$AS259,COLUMNS($AV$9:BG258)),""))</f>
        <v/>
      </c>
      <c r="BH259" s="1" t="str">
        <f>IF(IFERROR(INDEX($A$9:$X$304,$AS259,COLUMNS($AV$9:BH258)),"")=0,"",IFERROR(INDEX($A$9:$X$304,$AS259,COLUMNS($AV$9:BH258)),""))</f>
        <v/>
      </c>
      <c r="BI259" s="1" t="str">
        <f>IF(IFERROR(INDEX($A$9:$X$304,$AS259,COLUMNS($AV$9:BI258)),"")=0,"",IFERROR(INDEX($A$9:$X$304,$AS259,COLUMNS($AV$9:BI258)),""))</f>
        <v/>
      </c>
      <c r="BJ259" s="1" t="str">
        <f>IF(IFERROR(INDEX($A$9:$X$304,$AS259,COLUMNS($AV$9:BJ258)),"")=0,"",IFERROR(INDEX($A$9:$X$304,$AS259,COLUMNS($AV$9:BJ258)),""))</f>
        <v>None</v>
      </c>
      <c r="BK259" s="1" t="str">
        <f>IF(IFERROR(INDEX($A$9:$X$304,$AS259,COLUMNS($AV$9:BK258)),"")=0,"",IFERROR(INDEX($A$9:$X$304,$AS259,COLUMNS($AV$9:BK258)),""))</f>
        <v>Common</v>
      </c>
      <c r="BL259" s="1" t="str">
        <f>IF(IFERROR(INDEX($A$9:$X$304,$AS259,COLUMNS($AV$9:BL258)),"")=0,"",IFERROR(INDEX($A$9:$X$304,$AS259,COLUMNS($AV$9:BL258)),""))</f>
        <v>Souveraine</v>
      </c>
      <c r="BM259" s="1" t="str">
        <f>IF(IFERROR(INDEX($A$9:$X$304,$AS259,COLUMNS($AV$9:BM258)),"")=0,"",IFERROR(INDEX($A$9:$X$304,$AS259,COLUMNS($AV$9:BM258)),""))</f>
        <v>Season 1 Promo</v>
      </c>
      <c r="BN259" s="3" t="b">
        <f>IF(IFERROR(INDEX($A$9:$X$304,$AS259,COLUMNS($AV$9:BN258)),"")=0,"",IFERROR(INDEX($A$9:$X$304,$AS259,COLUMNS($AV$9:BN258)),""))</f>
        <v>1</v>
      </c>
      <c r="BO259" s="3" t="b">
        <f>IF(IFERROR(INDEX($A$9:$X$304,$AS259,COLUMNS($AV$9:BO258)),"")=0,"",IFERROR(INDEX($A$9:$X$304,$AS259,COLUMNS($AV$9:BO258)),""))</f>
        <v>0</v>
      </c>
      <c r="BP259" s="3" t="b">
        <f>IF(IFERROR(INDEX($A$9:$X$304,$AS259,COLUMNS($AV$9:BP258)),"")=0,"",IFERROR(INDEX($A$9:$X$304,$AS259,COLUMNS($AV$9:BP258)),""))</f>
        <v>0</v>
      </c>
      <c r="BQ259" s="3" t="b">
        <f>IF(IFERROR(INDEX($A$9:$X$304,$AS259,COLUMNS($AV$9:BQ258)),"")=0,"",IFERROR(INDEX($A$9:$X$304,$AS259,COLUMNS($AV$9:BQ258)),""))</f>
        <v>0</v>
      </c>
      <c r="BR259" s="3" t="str">
        <f>IF(IFERROR(INDEX($A$9:$X$304,$AS259,COLUMNS($AV$9:BR258)),"")=0,"",IFERROR(INDEX($A$9:$X$304,$AS259,COLUMNS($AV$9:BR258)),""))</f>
        <v>http://www.epiccardgame.com/wp-content/uploads/2015/09/teleport-215x300.jpg</v>
      </c>
      <c r="BS259" s="3" t="str">
        <f>IF(IFERROR(INDEX($A$9:$X$304,$AS259,COLUMNS($AV$9:BS258)),"")=0,"",IFERROR(INDEX($A$9:$X$304,$AS259,COLUMNS($AV$9:BS258)),""))</f>
        <v/>
      </c>
      <c r="BT259" s="3"/>
      <c r="BU259" s="15"/>
      <c r="BV259" t="s">
        <v>280</v>
      </c>
    </row>
    <row r="260" spans="1:74" ht="225" customHeight="1" x14ac:dyDescent="0.25">
      <c r="A260" t="s">
        <v>570</v>
      </c>
      <c r="B260">
        <v>1</v>
      </c>
      <c r="C260" t="s">
        <v>616</v>
      </c>
      <c r="E260" t="s">
        <v>619</v>
      </c>
      <c r="H260" t="s">
        <v>743</v>
      </c>
      <c r="O260" t="s">
        <v>1062</v>
      </c>
      <c r="P260" t="s">
        <v>1113</v>
      </c>
      <c r="Q260" t="s">
        <v>1166</v>
      </c>
      <c r="R260" t="s">
        <v>1173</v>
      </c>
      <c r="S260" t="b">
        <v>1</v>
      </c>
      <c r="T260" t="b">
        <v>0</v>
      </c>
      <c r="U260" t="b">
        <v>0</v>
      </c>
      <c r="V260" t="b">
        <v>0</v>
      </c>
      <c r="W260" s="2" t="s">
        <v>1435</v>
      </c>
      <c r="X260" s="2"/>
      <c r="Y260" s="24">
        <v>252</v>
      </c>
      <c r="Z260">
        <f t="shared" si="60"/>
        <v>252</v>
      </c>
      <c r="AA260">
        <f t="shared" si="61"/>
        <v>252</v>
      </c>
      <c r="AB260">
        <f t="shared" si="62"/>
        <v>252</v>
      </c>
      <c r="AC260">
        <f t="shared" si="63"/>
        <v>0</v>
      </c>
      <c r="AD260">
        <f t="shared" si="64"/>
        <v>252</v>
      </c>
      <c r="AE260">
        <f t="shared" si="65"/>
        <v>0</v>
      </c>
      <c r="AF260">
        <f t="shared" si="66"/>
        <v>0</v>
      </c>
      <c r="AG260">
        <f t="shared" si="67"/>
        <v>252</v>
      </c>
      <c r="AH260">
        <f t="shared" si="68"/>
        <v>0</v>
      </c>
      <c r="AI260">
        <f t="shared" si="69"/>
        <v>0</v>
      </c>
      <c r="AJ260">
        <f t="shared" si="70"/>
        <v>0</v>
      </c>
      <c r="AK260">
        <f t="shared" si="71"/>
        <v>0</v>
      </c>
      <c r="AL260">
        <f t="shared" si="72"/>
        <v>0</v>
      </c>
      <c r="AM260">
        <f t="shared" si="73"/>
        <v>0</v>
      </c>
      <c r="AN260">
        <f t="shared" si="74"/>
        <v>252</v>
      </c>
      <c r="AO260">
        <f t="shared" si="75"/>
        <v>252</v>
      </c>
      <c r="AP260">
        <f t="shared" si="76"/>
        <v>252</v>
      </c>
      <c r="AQ260">
        <f t="shared" si="77"/>
        <v>252</v>
      </c>
      <c r="AR260" s="6">
        <f t="shared" si="78"/>
        <v>252</v>
      </c>
      <c r="AS260">
        <f t="shared" si="79"/>
        <v>252</v>
      </c>
      <c r="AV260" s="1" t="str">
        <f>IF(IFERROR(INDEX($A$9:$W$304,$AS260,COLUMNS($AV$9:AV259)),"")=0,"",IFERROR(INDEX($A$9:$W$304,$AS260,COLUMNS($AV$9:AV259)),""))</f>
        <v>Teleport</v>
      </c>
      <c r="AW260" s="1">
        <f>IFERROR(INDEX($A$9:$W$304,$AS260,COLUMNS($AV$9:AW259)),"")</f>
        <v>1</v>
      </c>
      <c r="AX260" s="1" t="str">
        <f>IF(IFERROR(INDEX($A$9:$X$304,$AS260,COLUMNS($AV$9:AX259)),"")=0,"",IFERROR(INDEX($A$9:$X$304,$AS260,COLUMNS($AV$9:AX259)),""))</f>
        <v>SAGE</v>
      </c>
      <c r="AY260" s="1" t="str">
        <f>IF(IFERROR(INDEX($A$9:$X$304,$AS260,COLUMNS($AV$9:AY259)),"")=0,"",IFERROR(INDEX($A$9:$X$304,$AS260,COLUMNS($AV$9:AY259)),""))</f>
        <v/>
      </c>
      <c r="AZ260" s="1" t="str">
        <f>IF(IFERROR(INDEX($A$9:$X$304,$AS260,COLUMNS($AV$9:AZ259)),"")=0,"",IFERROR(INDEX($A$9:$X$304,$AS260,COLUMNS($AV$9:AZ259)),""))</f>
        <v>EVENT</v>
      </c>
      <c r="BA260" s="1" t="str">
        <f>IF(IFERROR(INDEX($A$9:$X$304,$AS260,COLUMNS($AV$9:BA259)),"")=0,"",IFERROR(INDEX($A$9:$X$304,$AS260,COLUMNS($AV$9:BA259)),""))</f>
        <v/>
      </c>
      <c r="BB260" s="1" t="str">
        <f>IF(IFERROR(INDEX($A$9:$X$304,$AS260,COLUMNS($AV$9:BB259)),"")=0,"",IFERROR(INDEX($A$9:$X$304,$AS260,COLUMNS($AV$9:BB259)),""))</f>
        <v/>
      </c>
      <c r="BC260" s="1" t="str">
        <f>IF(IFERROR(INDEX($A$9:$X$304,$AS260,COLUMNS($AV$9:BC259)),"")=0,"",IFERROR(INDEX($A$9:$X$304,$AS260,COLUMNS($AV$9:BC259)),""))</f>
        <v>Remove target champion from play, then return it to play prepared (as a new champion) under its owner’s control. It gains blitz this turn. You may expend that champion. If you do, draw a card.</v>
      </c>
      <c r="BD260" s="1" t="str">
        <f>IF(IFERROR(INDEX($A$9:$X$304,$AS260,COLUMNS($AV$9:BD259)),"")=0,"",IFERROR(INDEX($A$9:$X$304,$AS260,COLUMNS($AV$9:BD259)),""))</f>
        <v/>
      </c>
      <c r="BE260" s="1" t="str">
        <f>IF(IFERROR(INDEX($A$9:$X$304,$AS260,COLUMNS($AV$9:BE259)),"")=0,"",IFERROR(INDEX($A$9:$X$304,$AS260,COLUMNS($AV$9:BE259)),""))</f>
        <v/>
      </c>
      <c r="BF260" s="1" t="str">
        <f>IF(IFERROR(INDEX($A$9:$X$304,$AS260,COLUMNS($AV$9:BF259)),"")=0,"",IFERROR(INDEX($A$9:$X$304,$AS260,COLUMNS($AV$9:BF259)),""))</f>
        <v/>
      </c>
      <c r="BG260" s="1" t="str">
        <f>IF(IFERROR(INDEX($A$9:$X$304,$AS260,COLUMNS($AV$9:BG259)),"")=0,"",IFERROR(INDEX($A$9:$X$304,$AS260,COLUMNS($AV$9:BG259)),""))</f>
        <v/>
      </c>
      <c r="BH260" s="1" t="str">
        <f>IF(IFERROR(INDEX($A$9:$X$304,$AS260,COLUMNS($AV$9:BH259)),"")=0,"",IFERROR(INDEX($A$9:$X$304,$AS260,COLUMNS($AV$9:BH259)),""))</f>
        <v/>
      </c>
      <c r="BI260" s="1" t="str">
        <f>IF(IFERROR(INDEX($A$9:$X$304,$AS260,COLUMNS($AV$9:BI259)),"")=0,"",IFERROR(INDEX($A$9:$X$304,$AS260,COLUMNS($AV$9:BI259)),""))</f>
        <v/>
      </c>
      <c r="BJ260" s="1" t="str">
        <f>IF(IFERROR(INDEX($A$9:$X$304,$AS260,COLUMNS($AV$9:BJ259)),"")=0,"",IFERROR(INDEX($A$9:$X$304,$AS260,COLUMNS($AV$9:BJ259)),""))</f>
        <v>None</v>
      </c>
      <c r="BK260" s="1" t="str">
        <f>IF(IFERROR(INDEX($A$9:$X$304,$AS260,COLUMNS($AV$9:BK259)),"")=0,"",IFERROR(INDEX($A$9:$X$304,$AS260,COLUMNS($AV$9:BK259)),""))</f>
        <v>Rare</v>
      </c>
      <c r="BL260" s="1" t="str">
        <f>IF(IFERROR(INDEX($A$9:$X$304,$AS260,COLUMNS($AV$9:BL259)),"")=0,"",IFERROR(INDEX($A$9:$X$304,$AS260,COLUMNS($AV$9:BL259)),""))</f>
        <v>Lordigan Pedro Sena</v>
      </c>
      <c r="BM260" s="1" t="str">
        <f>IF(IFERROR(INDEX($A$9:$X$304,$AS260,COLUMNS($AV$9:BM259)),"")=0,"",IFERROR(INDEX($A$9:$X$304,$AS260,COLUMNS($AV$9:BM259)),""))</f>
        <v>Pantheon: Angeline vs Scara</v>
      </c>
      <c r="BN260" s="3" t="b">
        <f>IF(IFERROR(INDEX($A$9:$X$304,$AS260,COLUMNS($AV$9:BN259)),"")=0,"",IFERROR(INDEX($A$9:$X$304,$AS260,COLUMNS($AV$9:BN259)),""))</f>
        <v>1</v>
      </c>
      <c r="BO260" s="3" t="b">
        <f>IF(IFERROR(INDEX($A$9:$X$304,$AS260,COLUMNS($AV$9:BO259)),"")=0,"",IFERROR(INDEX($A$9:$X$304,$AS260,COLUMNS($AV$9:BO259)),""))</f>
        <v>0</v>
      </c>
      <c r="BP260" s="3" t="b">
        <f>IF(IFERROR(INDEX($A$9:$X$304,$AS260,COLUMNS($AV$9:BP259)),"")=0,"",IFERROR(INDEX($A$9:$X$304,$AS260,COLUMNS($AV$9:BP259)),""))</f>
        <v>0</v>
      </c>
      <c r="BQ260" s="3" t="b">
        <f>IF(IFERROR(INDEX($A$9:$X$304,$AS260,COLUMNS($AV$9:BQ259)),"")=0,"",IFERROR(INDEX($A$9:$X$304,$AS260,COLUMNS($AV$9:BQ259)),""))</f>
        <v>0</v>
      </c>
      <c r="BR260" s="3" t="str">
        <f>IF(IFERROR(INDEX($A$9:$X$304,$AS260,COLUMNS($AV$9:BR259)),"")=0,"",IFERROR(INDEX($A$9:$X$304,$AS260,COLUMNS($AV$9:BR259)),""))</f>
        <v>https://www.epiccardgame.com/wp-content/uploads/2017/11/PNA-EN-08-teleport.jpg</v>
      </c>
      <c r="BS260" s="3" t="str">
        <f>IF(IFERROR(INDEX($A$9:$X$304,$AS260,COLUMNS($AV$9:BS259)),"")=0,"",IFERROR(INDEX($A$9:$X$304,$AS260,COLUMNS($AV$9:BS259)),""))</f>
        <v/>
      </c>
      <c r="BT260" s="3"/>
      <c r="BU260" s="15"/>
      <c r="BV260" t="s">
        <v>281</v>
      </c>
    </row>
    <row r="261" spans="1:74" ht="225" customHeight="1" x14ac:dyDescent="0.25">
      <c r="A261" t="s">
        <v>571</v>
      </c>
      <c r="B261">
        <v>1</v>
      </c>
      <c r="C261" t="s">
        <v>616</v>
      </c>
      <c r="E261" t="s">
        <v>620</v>
      </c>
      <c r="F261">
        <v>6</v>
      </c>
      <c r="G261">
        <v>4</v>
      </c>
      <c r="H261" t="s">
        <v>744</v>
      </c>
      <c r="I261" t="s">
        <v>940</v>
      </c>
      <c r="J261" t="s">
        <v>1023</v>
      </c>
      <c r="O261" t="s">
        <v>1074</v>
      </c>
      <c r="P261" t="s">
        <v>1112</v>
      </c>
      <c r="Q261" t="s">
        <v>1152</v>
      </c>
      <c r="R261" t="s">
        <v>1183</v>
      </c>
      <c r="S261" t="b">
        <v>1</v>
      </c>
      <c r="T261" t="b">
        <v>0</v>
      </c>
      <c r="U261" t="b">
        <v>0</v>
      </c>
      <c r="V261" t="b">
        <v>0</v>
      </c>
      <c r="W261" s="2" t="s">
        <v>1436</v>
      </c>
      <c r="X261" s="2"/>
      <c r="Y261" s="24">
        <v>253</v>
      </c>
      <c r="Z261">
        <f t="shared" si="60"/>
        <v>253</v>
      </c>
      <c r="AA261">
        <f t="shared" si="61"/>
        <v>253</v>
      </c>
      <c r="AB261">
        <f t="shared" si="62"/>
        <v>253</v>
      </c>
      <c r="AC261">
        <f t="shared" si="63"/>
        <v>0</v>
      </c>
      <c r="AD261">
        <f t="shared" si="64"/>
        <v>253</v>
      </c>
      <c r="AE261">
        <f t="shared" si="65"/>
        <v>253</v>
      </c>
      <c r="AF261">
        <f t="shared" si="66"/>
        <v>253</v>
      </c>
      <c r="AG261">
        <f t="shared" si="67"/>
        <v>253</v>
      </c>
      <c r="AH261">
        <f t="shared" si="68"/>
        <v>253</v>
      </c>
      <c r="AI261">
        <f t="shared" si="69"/>
        <v>253</v>
      </c>
      <c r="AJ261">
        <f t="shared" si="70"/>
        <v>0</v>
      </c>
      <c r="AK261">
        <f t="shared" si="71"/>
        <v>0</v>
      </c>
      <c r="AL261">
        <f t="shared" si="72"/>
        <v>0</v>
      </c>
      <c r="AM261">
        <f t="shared" si="73"/>
        <v>0</v>
      </c>
      <c r="AN261">
        <f t="shared" si="74"/>
        <v>253</v>
      </c>
      <c r="AO261">
        <f t="shared" si="75"/>
        <v>253</v>
      </c>
      <c r="AP261">
        <f t="shared" si="76"/>
        <v>253</v>
      </c>
      <c r="AQ261">
        <f t="shared" si="77"/>
        <v>253</v>
      </c>
      <c r="AR261" s="6">
        <f t="shared" si="78"/>
        <v>253</v>
      </c>
      <c r="AS261">
        <f t="shared" si="79"/>
        <v>253</v>
      </c>
      <c r="AV261" s="1" t="str">
        <f>IF(IFERROR(INDEX($A$9:$W$304,$AS261,COLUMNS($AV$9:AV260)),"")=0,"",IFERROR(INDEX($A$9:$W$304,$AS261,COLUMNS($AV$9:AV260)),""))</f>
        <v>Temporal Enforcer</v>
      </c>
      <c r="AW261" s="1">
        <f>IFERROR(INDEX($A$9:$W$304,$AS261,COLUMNS($AV$9:AW260)),"")</f>
        <v>1</v>
      </c>
      <c r="AX261" s="1" t="str">
        <f>IF(IFERROR(INDEX($A$9:$X$304,$AS261,COLUMNS($AV$9:AX260)),"")=0,"",IFERROR(INDEX($A$9:$X$304,$AS261,COLUMNS($AV$9:AX260)),""))</f>
        <v>SAGE</v>
      </c>
      <c r="AY261" s="1" t="str">
        <f>IF(IFERROR(INDEX($A$9:$X$304,$AS261,COLUMNS($AV$9:AY260)),"")=0,"",IFERROR(INDEX($A$9:$X$304,$AS261,COLUMNS($AV$9:AY260)),""))</f>
        <v/>
      </c>
      <c r="AZ261" s="1" t="str">
        <f>IF(IFERROR(INDEX($A$9:$X$304,$AS261,COLUMNS($AV$9:AZ260)),"")=0,"",IFERROR(INDEX($A$9:$X$304,$AS261,COLUMNS($AV$9:AZ260)),""))</f>
        <v>CHAMPION</v>
      </c>
      <c r="BA261" s="1">
        <f>IF(IFERROR(INDEX($A$9:$X$304,$AS261,COLUMNS($AV$9:BA260)),"")=0,"",IFERROR(INDEX($A$9:$X$304,$AS261,COLUMNS($AV$9:BA260)),""))</f>
        <v>6</v>
      </c>
      <c r="BB261" s="1">
        <f>IF(IFERROR(INDEX($A$9:$X$304,$AS261,COLUMNS($AV$9:BB260)),"")=0,"",IFERROR(INDEX($A$9:$X$304,$AS261,COLUMNS($AV$9:BB260)),""))</f>
        <v>4</v>
      </c>
      <c r="BC261" s="1" t="str">
        <f>IF(IFERROR(INDEX($A$9:$X$304,$AS261,COLUMNS($AV$9:BC260)),"")=0,"",IFERROR(INDEX($A$9:$X$304,$AS261,COLUMNS($AV$9:BC260)),""))</f>
        <v>Ambush ◆ Unblockable</v>
      </c>
      <c r="BD261" s="1" t="str">
        <f>IF(IFERROR(INDEX($A$9:$X$304,$AS261,COLUMNS($AV$9:BD260)),"")=0,"",IFERROR(INDEX($A$9:$X$304,$AS261,COLUMNS($AV$9:BD260)),""))</f>
        <v>Loyalty 2 → You may return target champion to its owner's hand.</v>
      </c>
      <c r="BE261" s="1" t="str">
        <f>IF(IFERROR(INDEX($A$9:$X$304,$AS261,COLUMNS($AV$9:BE260)),"")=0,"",IFERROR(INDEX($A$9:$X$304,$AS261,COLUMNS($AV$9:BE260)),""))</f>
        <v>{sage} → You may return target {0} champion to its owner's hand.</v>
      </c>
      <c r="BF261" s="1" t="str">
        <f>IF(IFERROR(INDEX($A$9:$X$304,$AS261,COLUMNS($AV$9:BF260)),"")=0,"",IFERROR(INDEX($A$9:$X$304,$AS261,COLUMNS($AV$9:BF260)),""))</f>
        <v/>
      </c>
      <c r="BG261" s="1" t="str">
        <f>IF(IFERROR(INDEX($A$9:$X$304,$AS261,COLUMNS($AV$9:BG260)),"")=0,"",IFERROR(INDEX($A$9:$X$304,$AS261,COLUMNS($AV$9:BG260)),""))</f>
        <v/>
      </c>
      <c r="BH261" s="1" t="str">
        <f>IF(IFERROR(INDEX($A$9:$X$304,$AS261,COLUMNS($AV$9:BH260)),"")=0,"",IFERROR(INDEX($A$9:$X$304,$AS261,COLUMNS($AV$9:BH260)),""))</f>
        <v/>
      </c>
      <c r="BI261" s="1" t="str">
        <f>IF(IFERROR(INDEX($A$9:$X$304,$AS261,COLUMNS($AV$9:BI260)),"")=0,"",IFERROR(INDEX($A$9:$X$304,$AS261,COLUMNS($AV$9:BI260)),""))</f>
        <v/>
      </c>
      <c r="BJ261" s="1" t="str">
        <f>IF(IFERROR(INDEX($A$9:$X$304,$AS261,COLUMNS($AV$9:BJ260)),"")=0,"",IFERROR(INDEX($A$9:$X$304,$AS261,COLUMNS($AV$9:BJ260)),""))</f>
        <v>HUMAN MAGE</v>
      </c>
      <c r="BK261" s="1" t="str">
        <f>IF(IFERROR(INDEX($A$9:$X$304,$AS261,COLUMNS($AV$9:BK260)),"")=0,"",IFERROR(INDEX($A$9:$X$304,$AS261,COLUMNS($AV$9:BK260)),""))</f>
        <v>Common</v>
      </c>
      <c r="BL261" s="1" t="str">
        <f>IF(IFERROR(INDEX($A$9:$X$304,$AS261,COLUMNS($AV$9:BL260)),"")=0,"",IFERROR(INDEX($A$9:$X$304,$AS261,COLUMNS($AV$9:BL260)),""))</f>
        <v>Gialer Liew</v>
      </c>
      <c r="BM261" s="1" t="str">
        <f>IF(IFERROR(INDEX($A$9:$X$304,$AS261,COLUMNS($AV$9:BM260)),"")=0,"",IFERROR(INDEX($A$9:$X$304,$AS261,COLUMNS($AV$9:BM260)),""))</f>
        <v>Tyrants: Raxxa's Revenge</v>
      </c>
      <c r="BN261" s="3" t="b">
        <f>IF(IFERROR(INDEX($A$9:$X$304,$AS261,COLUMNS($AV$9:BN260)),"")=0,"",IFERROR(INDEX($A$9:$X$304,$AS261,COLUMNS($AV$9:BN260)),""))</f>
        <v>1</v>
      </c>
      <c r="BO261" s="3" t="b">
        <f>IF(IFERROR(INDEX($A$9:$X$304,$AS261,COLUMNS($AV$9:BO260)),"")=0,"",IFERROR(INDEX($A$9:$X$304,$AS261,COLUMNS($AV$9:BO260)),""))</f>
        <v>0</v>
      </c>
      <c r="BP261" s="3" t="b">
        <f>IF(IFERROR(INDEX($A$9:$X$304,$AS261,COLUMNS($AV$9:BP260)),"")=0,"",IFERROR(INDEX($A$9:$X$304,$AS261,COLUMNS($AV$9:BP260)),""))</f>
        <v>0</v>
      </c>
      <c r="BQ261" s="3" t="b">
        <f>IF(IFERROR(INDEX($A$9:$X$304,$AS261,COLUMNS($AV$9:BQ260)),"")=0,"",IFERROR(INDEX($A$9:$X$304,$AS261,COLUMNS($AV$9:BQ260)),""))</f>
        <v>0</v>
      </c>
      <c r="BR261" s="3" t="str">
        <f>IF(IFERROR(INDEX($A$9:$X$304,$AS261,COLUMNS($AV$9:BR260)),"")=0,"",IFERROR(INDEX($A$9:$X$304,$AS261,COLUMNS($AV$9:BR260)),""))</f>
        <v>http://www.epiccardgame.com/wp-content/uploads/2016/03/temporal_enforcer-214x300.jpg</v>
      </c>
      <c r="BS261" s="3" t="str">
        <f>IF(IFERROR(INDEX($A$9:$X$304,$AS261,COLUMNS($AV$9:BS260)),"")=0,"",IFERROR(INDEX($A$9:$X$304,$AS261,COLUMNS($AV$9:BS260)),""))</f>
        <v/>
      </c>
      <c r="BT261" s="3"/>
      <c r="BU261" s="15"/>
      <c r="BV261" t="s">
        <v>282</v>
      </c>
    </row>
    <row r="262" spans="1:74" ht="225" customHeight="1" x14ac:dyDescent="0.25">
      <c r="A262" t="s">
        <v>572</v>
      </c>
      <c r="B262">
        <v>1</v>
      </c>
      <c r="C262" t="s">
        <v>616</v>
      </c>
      <c r="E262" t="s">
        <v>619</v>
      </c>
      <c r="H262" t="s">
        <v>745</v>
      </c>
      <c r="I262" t="s">
        <v>741</v>
      </c>
      <c r="J262" t="s">
        <v>1024</v>
      </c>
      <c r="O262" t="s">
        <v>1062</v>
      </c>
      <c r="P262" t="s">
        <v>1112</v>
      </c>
      <c r="Q262" t="s">
        <v>1119</v>
      </c>
      <c r="R262" t="s">
        <v>1176</v>
      </c>
      <c r="S262" t="b">
        <v>1</v>
      </c>
      <c r="T262" t="b">
        <v>0</v>
      </c>
      <c r="U262" t="b">
        <v>0</v>
      </c>
      <c r="V262" t="b">
        <v>0</v>
      </c>
      <c r="W262" s="2" t="s">
        <v>1437</v>
      </c>
      <c r="X262" s="2"/>
      <c r="Y262" s="24">
        <v>254</v>
      </c>
      <c r="Z262">
        <f t="shared" si="60"/>
        <v>254</v>
      </c>
      <c r="AA262">
        <f t="shared" si="61"/>
        <v>254</v>
      </c>
      <c r="AB262">
        <f t="shared" si="62"/>
        <v>254</v>
      </c>
      <c r="AC262">
        <f t="shared" si="63"/>
        <v>0</v>
      </c>
      <c r="AD262">
        <f t="shared" si="64"/>
        <v>254</v>
      </c>
      <c r="AE262">
        <f t="shared" si="65"/>
        <v>0</v>
      </c>
      <c r="AF262">
        <f t="shared" si="66"/>
        <v>0</v>
      </c>
      <c r="AG262">
        <f t="shared" si="67"/>
        <v>254</v>
      </c>
      <c r="AH262">
        <f t="shared" si="68"/>
        <v>254</v>
      </c>
      <c r="AI262">
        <f t="shared" si="69"/>
        <v>254</v>
      </c>
      <c r="AJ262">
        <f t="shared" si="70"/>
        <v>0</v>
      </c>
      <c r="AK262">
        <f t="shared" si="71"/>
        <v>0</v>
      </c>
      <c r="AL262">
        <f t="shared" si="72"/>
        <v>0</v>
      </c>
      <c r="AM262">
        <f t="shared" si="73"/>
        <v>0</v>
      </c>
      <c r="AN262">
        <f t="shared" si="74"/>
        <v>254</v>
      </c>
      <c r="AO262">
        <f t="shared" si="75"/>
        <v>254</v>
      </c>
      <c r="AP262">
        <f t="shared" si="76"/>
        <v>254</v>
      </c>
      <c r="AQ262">
        <f t="shared" si="77"/>
        <v>254</v>
      </c>
      <c r="AR262" s="6">
        <f t="shared" si="78"/>
        <v>254</v>
      </c>
      <c r="AS262">
        <f t="shared" si="79"/>
        <v>254</v>
      </c>
      <c r="AV262" s="1" t="str">
        <f>IF(IFERROR(INDEX($A$9:$W$304,$AS262,COLUMNS($AV$9:AV261)),"")=0,"",IFERROR(INDEX($A$9:$W$304,$AS262,COLUMNS($AV$9:AV261)),""))</f>
        <v>Temporal Shift</v>
      </c>
      <c r="AW262" s="1">
        <f>IFERROR(INDEX($A$9:$W$304,$AS262,COLUMNS($AV$9:AW261)),"")</f>
        <v>1</v>
      </c>
      <c r="AX262" s="1" t="str">
        <f>IF(IFERROR(INDEX($A$9:$X$304,$AS262,COLUMNS($AV$9:AX261)),"")=0,"",IFERROR(INDEX($A$9:$X$304,$AS262,COLUMNS($AV$9:AX261)),""))</f>
        <v>SAGE</v>
      </c>
      <c r="AY262" s="1" t="str">
        <f>IF(IFERROR(INDEX($A$9:$X$304,$AS262,COLUMNS($AV$9:AY261)),"")=0,"",IFERROR(INDEX($A$9:$X$304,$AS262,COLUMNS($AV$9:AY261)),""))</f>
        <v/>
      </c>
      <c r="AZ262" s="1" t="str">
        <f>IF(IFERROR(INDEX($A$9:$X$304,$AS262,COLUMNS($AV$9:AZ261)),"")=0,"",IFERROR(INDEX($A$9:$X$304,$AS262,COLUMNS($AV$9:AZ261)),""))</f>
        <v>EVENT</v>
      </c>
      <c r="BA262" s="1" t="str">
        <f>IF(IFERROR(INDEX($A$9:$X$304,$AS262,COLUMNS($AV$9:BA261)),"")=0,"",IFERROR(INDEX($A$9:$X$304,$AS262,COLUMNS($AV$9:BA261)),""))</f>
        <v/>
      </c>
      <c r="BB262" s="1" t="str">
        <f>IF(IFERROR(INDEX($A$9:$X$304,$AS262,COLUMNS($AV$9:BB261)),"")=0,"",IFERROR(INDEX($A$9:$X$304,$AS262,COLUMNS($AV$9:BB261)),""))</f>
        <v/>
      </c>
      <c r="BC262" s="1" t="str">
        <f>IF(IFERROR(INDEX($A$9:$X$304,$AS262,COLUMNS($AV$9:BC261)),"")=0,"",IFERROR(INDEX($A$9:$X$304,$AS262,COLUMNS($AV$9:BC261)),""))</f>
        <v>Return target champion to its owner's hand. That player banishes a card from their hand.</v>
      </c>
      <c r="BD262" s="1" t="str">
        <f>IF(IFERROR(INDEX($A$9:$X$304,$AS262,COLUMNS($AV$9:BD261)),"")=0,"",IFERROR(INDEX($A$9:$X$304,$AS262,COLUMNS($AV$9:BD261)),""))</f>
        <v>Draw a card.</v>
      </c>
      <c r="BE262" s="1" t="str">
        <f>IF(IFERROR(INDEX($A$9:$X$304,$AS262,COLUMNS($AV$9:BE261)),"")=0,"",IFERROR(INDEX($A$9:$X$304,$AS262,COLUMNS($AV$9:BE261)),""))</f>
        <v>Some doors should not be opened.</v>
      </c>
      <c r="BF262" s="1" t="str">
        <f>IF(IFERROR(INDEX($A$9:$X$304,$AS262,COLUMNS($AV$9:BF261)),"")=0,"",IFERROR(INDEX($A$9:$X$304,$AS262,COLUMNS($AV$9:BF261)),""))</f>
        <v/>
      </c>
      <c r="BG262" s="1" t="str">
        <f>IF(IFERROR(INDEX($A$9:$X$304,$AS262,COLUMNS($AV$9:BG261)),"")=0,"",IFERROR(INDEX($A$9:$X$304,$AS262,COLUMNS($AV$9:BG261)),""))</f>
        <v/>
      </c>
      <c r="BH262" s="1" t="str">
        <f>IF(IFERROR(INDEX($A$9:$X$304,$AS262,COLUMNS($AV$9:BH261)),"")=0,"",IFERROR(INDEX($A$9:$X$304,$AS262,COLUMNS($AV$9:BH261)),""))</f>
        <v/>
      </c>
      <c r="BI262" s="1" t="str">
        <f>IF(IFERROR(INDEX($A$9:$X$304,$AS262,COLUMNS($AV$9:BI261)),"")=0,"",IFERROR(INDEX($A$9:$X$304,$AS262,COLUMNS($AV$9:BI261)),""))</f>
        <v/>
      </c>
      <c r="BJ262" s="1" t="str">
        <f>IF(IFERROR(INDEX($A$9:$X$304,$AS262,COLUMNS($AV$9:BJ261)),"")=0,"",IFERROR(INDEX($A$9:$X$304,$AS262,COLUMNS($AV$9:BJ261)),""))</f>
        <v>None</v>
      </c>
      <c r="BK262" s="1" t="str">
        <f>IF(IFERROR(INDEX($A$9:$X$304,$AS262,COLUMNS($AV$9:BK261)),"")=0,"",IFERROR(INDEX($A$9:$X$304,$AS262,COLUMNS($AV$9:BK261)),""))</f>
        <v>Common</v>
      </c>
      <c r="BL262" s="1" t="str">
        <f>IF(IFERROR(INDEX($A$9:$X$304,$AS262,COLUMNS($AV$9:BL261)),"")=0,"",IFERROR(INDEX($A$9:$X$304,$AS262,COLUMNS($AV$9:BL261)),""))</f>
        <v>Sarah McCulloch</v>
      </c>
      <c r="BM262" s="1" t="str">
        <f>IF(IFERROR(INDEX($A$9:$X$304,$AS262,COLUMNS($AV$9:BM261)),"")=0,"",IFERROR(INDEX($A$9:$X$304,$AS262,COLUMNS($AV$9:BM261)),""))</f>
        <v>Tyrants: Markus' Command</v>
      </c>
      <c r="BN262" s="3" t="b">
        <f>IF(IFERROR(INDEX($A$9:$X$304,$AS262,COLUMNS($AV$9:BN261)),"")=0,"",IFERROR(INDEX($A$9:$X$304,$AS262,COLUMNS($AV$9:BN261)),""))</f>
        <v>1</v>
      </c>
      <c r="BO262" s="3" t="b">
        <f>IF(IFERROR(INDEX($A$9:$X$304,$AS262,COLUMNS($AV$9:BO261)),"")=0,"",IFERROR(INDEX($A$9:$X$304,$AS262,COLUMNS($AV$9:BO261)),""))</f>
        <v>0</v>
      </c>
      <c r="BP262" s="3" t="b">
        <f>IF(IFERROR(INDEX($A$9:$X$304,$AS262,COLUMNS($AV$9:BP261)),"")=0,"",IFERROR(INDEX($A$9:$X$304,$AS262,COLUMNS($AV$9:BP261)),""))</f>
        <v>0</v>
      </c>
      <c r="BQ262" s="3" t="b">
        <f>IF(IFERROR(INDEX($A$9:$X$304,$AS262,COLUMNS($AV$9:BQ261)),"")=0,"",IFERROR(INDEX($A$9:$X$304,$AS262,COLUMNS($AV$9:BQ261)),""))</f>
        <v>0</v>
      </c>
      <c r="BR262" s="3" t="str">
        <f>IF(IFERROR(INDEX($A$9:$X$304,$AS262,COLUMNS($AV$9:BR261)),"")=0,"",IFERROR(INDEX($A$9:$X$304,$AS262,COLUMNS($AV$9:BR261)),""))</f>
        <v>http://www.epiccardgame.com/wp-content/uploads/2016/03/temporal_shift-214x300.jpg</v>
      </c>
      <c r="BS262" s="3" t="str">
        <f>IF(IFERROR(INDEX($A$9:$X$304,$AS262,COLUMNS($AV$9:BS261)),"")=0,"",IFERROR(INDEX($A$9:$X$304,$AS262,COLUMNS($AV$9:BS261)),""))</f>
        <v/>
      </c>
      <c r="BT262" s="3"/>
      <c r="BU262" s="15"/>
      <c r="BV262" t="s">
        <v>283</v>
      </c>
    </row>
    <row r="263" spans="1:74" ht="225.2" customHeight="1" x14ac:dyDescent="0.25">
      <c r="A263" t="s">
        <v>573</v>
      </c>
      <c r="B263">
        <v>1</v>
      </c>
      <c r="C263" t="s">
        <v>618</v>
      </c>
      <c r="E263" t="s">
        <v>620</v>
      </c>
      <c r="F263">
        <v>2</v>
      </c>
      <c r="G263">
        <v>1</v>
      </c>
      <c r="H263" t="s">
        <v>26</v>
      </c>
      <c r="I263" t="s">
        <v>941</v>
      </c>
      <c r="J263" t="s">
        <v>1025</v>
      </c>
      <c r="O263" t="s">
        <v>1063</v>
      </c>
      <c r="P263" t="s">
        <v>1112</v>
      </c>
      <c r="Q263" t="s">
        <v>1143</v>
      </c>
      <c r="R263" t="s">
        <v>1176</v>
      </c>
      <c r="S263" t="b">
        <v>1</v>
      </c>
      <c r="T263" t="b">
        <v>0</v>
      </c>
      <c r="U263" t="b">
        <v>0</v>
      </c>
      <c r="V263" t="b">
        <v>0</v>
      </c>
      <c r="W263" s="2" t="s">
        <v>1438</v>
      </c>
      <c r="X263" s="2"/>
      <c r="Y263" s="24">
        <v>255</v>
      </c>
      <c r="Z263">
        <f t="shared" si="60"/>
        <v>255</v>
      </c>
      <c r="AA263">
        <f t="shared" si="61"/>
        <v>255</v>
      </c>
      <c r="AB263">
        <f t="shared" si="62"/>
        <v>255</v>
      </c>
      <c r="AC263">
        <f t="shared" si="63"/>
        <v>0</v>
      </c>
      <c r="AD263">
        <f t="shared" si="64"/>
        <v>255</v>
      </c>
      <c r="AE263">
        <f t="shared" si="65"/>
        <v>255</v>
      </c>
      <c r="AF263">
        <f t="shared" si="66"/>
        <v>255</v>
      </c>
      <c r="AG263">
        <f t="shared" si="67"/>
        <v>255</v>
      </c>
      <c r="AH263">
        <f t="shared" si="68"/>
        <v>255</v>
      </c>
      <c r="AI263">
        <f t="shared" si="69"/>
        <v>255</v>
      </c>
      <c r="AJ263">
        <f t="shared" si="70"/>
        <v>0</v>
      </c>
      <c r="AK263">
        <f t="shared" si="71"/>
        <v>0</v>
      </c>
      <c r="AL263">
        <f t="shared" si="72"/>
        <v>0</v>
      </c>
      <c r="AM263">
        <f t="shared" si="73"/>
        <v>0</v>
      </c>
      <c r="AN263">
        <f t="shared" si="74"/>
        <v>255</v>
      </c>
      <c r="AO263">
        <f t="shared" si="75"/>
        <v>255</v>
      </c>
      <c r="AP263">
        <f t="shared" si="76"/>
        <v>255</v>
      </c>
      <c r="AQ263">
        <f t="shared" si="77"/>
        <v>255</v>
      </c>
      <c r="AR263" s="6">
        <f t="shared" si="78"/>
        <v>255</v>
      </c>
      <c r="AS263">
        <f t="shared" si="79"/>
        <v>255</v>
      </c>
      <c r="AV263" s="1" t="str">
        <f>IF(IFERROR(INDEX($A$9:$W$304,$AS263,COLUMNS($AV$9:AV262)),"")=0,"",IFERROR(INDEX($A$9:$W$304,$AS263,COLUMNS($AV$9:AV262)),""))</f>
        <v>The Gudgeon</v>
      </c>
      <c r="AW263" s="1">
        <f>IFERROR(INDEX($A$9:$W$304,$AS263,COLUMNS($AV$9:AW262)),"")</f>
        <v>1</v>
      </c>
      <c r="AX263" s="1" t="str">
        <f>IF(IFERROR(INDEX($A$9:$X$304,$AS263,COLUMNS($AV$9:AX262)),"")=0,"",IFERROR(INDEX($A$9:$X$304,$AS263,COLUMNS($AV$9:AX262)),""))</f>
        <v>EVIL</v>
      </c>
      <c r="AY263" s="1" t="str">
        <f>IF(IFERROR(INDEX($A$9:$X$304,$AS263,COLUMNS($AV$9:AY262)),"")=0,"",IFERROR(INDEX($A$9:$X$304,$AS263,COLUMNS($AV$9:AY262)),""))</f>
        <v/>
      </c>
      <c r="AZ263" s="1" t="str">
        <f>IF(IFERROR(INDEX($A$9:$X$304,$AS263,COLUMNS($AV$9:AZ262)),"")=0,"",IFERROR(INDEX($A$9:$X$304,$AS263,COLUMNS($AV$9:AZ262)),""))</f>
        <v>CHAMPION</v>
      </c>
      <c r="BA263" s="1">
        <f>IF(IFERROR(INDEX($A$9:$X$304,$AS263,COLUMNS($AV$9:BA262)),"")=0,"",IFERROR(INDEX($A$9:$X$304,$AS263,COLUMNS($AV$9:BA262)),""))</f>
        <v>2</v>
      </c>
      <c r="BB263" s="1">
        <f>IF(IFERROR(INDEX($A$9:$X$304,$AS263,COLUMNS($AV$9:BB262)),"")=0,"",IFERROR(INDEX($A$9:$X$304,$AS263,COLUMNS($AV$9:BB262)),""))</f>
        <v>1</v>
      </c>
      <c r="BC263" s="1" t="str">
        <f>IF(IFERROR(INDEX($A$9:$X$304,$AS263,COLUMNS($AV$9:BC262)),"")=0,"",IFERROR(INDEX($A$9:$X$304,$AS263,COLUMNS($AV$9:BC262)),""))</f>
        <v>Unblockable</v>
      </c>
      <c r="BD263" s="1" t="str">
        <f>IF(IFERROR(INDEX($A$9:$X$304,$AS263,COLUMNS($AV$9:BD262)),"")=0,"",IFERROR(INDEX($A$9:$X$304,$AS263,COLUMNS($AV$9:BD262)),""))</f>
        <v>Tribute → Draw two cards.</v>
      </c>
      <c r="BE263" s="1" t="str">
        <f>IF(IFERROR(INDEX($A$9:$X$304,$AS263,COLUMNS($AV$9:BE262)),"")=0,"",IFERROR(INDEX($A$9:$X$304,$AS263,COLUMNS($AV$9:BE262)),""))</f>
        <v>You are untargetable.</v>
      </c>
      <c r="BF263" s="1" t="str">
        <f>IF(IFERROR(INDEX($A$9:$X$304,$AS263,COLUMNS($AV$9:BF262)),"")=0,"",IFERROR(INDEX($A$9:$X$304,$AS263,COLUMNS($AV$9:BF262)),""))</f>
        <v/>
      </c>
      <c r="BG263" s="1" t="str">
        <f>IF(IFERROR(INDEX($A$9:$X$304,$AS263,COLUMNS($AV$9:BG262)),"")=0,"",IFERROR(INDEX($A$9:$X$304,$AS263,COLUMNS($AV$9:BG262)),""))</f>
        <v/>
      </c>
      <c r="BH263" s="1" t="str">
        <f>IF(IFERROR(INDEX($A$9:$X$304,$AS263,COLUMNS($AV$9:BH262)),"")=0,"",IFERROR(INDEX($A$9:$X$304,$AS263,COLUMNS($AV$9:BH262)),""))</f>
        <v/>
      </c>
      <c r="BI263" s="1" t="str">
        <f>IF(IFERROR(INDEX($A$9:$X$304,$AS263,COLUMNS($AV$9:BI262)),"")=0,"",IFERROR(INDEX($A$9:$X$304,$AS263,COLUMNS($AV$9:BI262)),""))</f>
        <v/>
      </c>
      <c r="BJ263" s="1" t="str">
        <f>IF(IFERROR(INDEX($A$9:$X$304,$AS263,COLUMNS($AV$9:BJ262)),"")=0,"",IFERROR(INDEX($A$9:$X$304,$AS263,COLUMNS($AV$9:BJ262)),""))</f>
        <v>HUMAN</v>
      </c>
      <c r="BK263" s="1" t="str">
        <f>IF(IFERROR(INDEX($A$9:$X$304,$AS263,COLUMNS($AV$9:BK262)),"")=0,"",IFERROR(INDEX($A$9:$X$304,$AS263,COLUMNS($AV$9:BK262)),""))</f>
        <v>Common</v>
      </c>
      <c r="BL263" s="1" t="str">
        <f>IF(IFERROR(INDEX($A$9:$X$304,$AS263,COLUMNS($AV$9:BL262)),"")=0,"",IFERROR(INDEX($A$9:$X$304,$AS263,COLUMNS($AV$9:BL262)),""))</f>
        <v>Ina Wong</v>
      </c>
      <c r="BM263" s="1" t="str">
        <f>IF(IFERROR(INDEX($A$9:$X$304,$AS263,COLUMNS($AV$9:BM262)),"")=0,"",IFERROR(INDEX($A$9:$X$304,$AS263,COLUMNS($AV$9:BM262)),""))</f>
        <v>Tyrants: Markus' Command</v>
      </c>
      <c r="BN263" s="3" t="b">
        <f>IF(IFERROR(INDEX($A$9:$X$304,$AS263,COLUMNS($AV$9:BN262)),"")=0,"",IFERROR(INDEX($A$9:$X$304,$AS263,COLUMNS($AV$9:BN262)),""))</f>
        <v>1</v>
      </c>
      <c r="BO263" s="3" t="b">
        <f>IF(IFERROR(INDEX($A$9:$X$304,$AS263,COLUMNS($AV$9:BO262)),"")=0,"",IFERROR(INDEX($A$9:$X$304,$AS263,COLUMNS($AV$9:BO262)),""))</f>
        <v>0</v>
      </c>
      <c r="BP263" s="3" t="b">
        <f>IF(IFERROR(INDEX($A$9:$X$304,$AS263,COLUMNS($AV$9:BP262)),"")=0,"",IFERROR(INDEX($A$9:$X$304,$AS263,COLUMNS($AV$9:BP262)),""))</f>
        <v>0</v>
      </c>
      <c r="BQ263" s="3" t="b">
        <f>IF(IFERROR(INDEX($A$9:$X$304,$AS263,COLUMNS($AV$9:BQ262)),"")=0,"",IFERROR(INDEX($A$9:$X$304,$AS263,COLUMNS($AV$9:BQ262)),""))</f>
        <v>0</v>
      </c>
      <c r="BR263" s="3" t="str">
        <f>IF(IFERROR(INDEX($A$9:$X$304,$AS263,COLUMNS($AV$9:BR262)),"")=0,"",IFERROR(INDEX($A$9:$X$304,$AS263,COLUMNS($AV$9:BR262)),""))</f>
        <v>http://www.epiccardgame.com/wp-content/uploads/2016/03/the_gudgeon-214x300.jpg</v>
      </c>
      <c r="BS263" s="3" t="str">
        <f>IF(IFERROR(INDEX($A$9:$X$304,$AS263,COLUMNS($AV$9:BS262)),"")=0,"",IFERROR(INDEX($A$9:$X$304,$AS263,COLUMNS($AV$9:BS262)),""))</f>
        <v/>
      </c>
      <c r="BT263" s="3"/>
      <c r="BU263" s="15"/>
      <c r="BV263" t="s">
        <v>284</v>
      </c>
    </row>
    <row r="264" spans="1:74" ht="225.2" customHeight="1" x14ac:dyDescent="0.25">
      <c r="A264" t="s">
        <v>574</v>
      </c>
      <c r="B264">
        <v>1</v>
      </c>
      <c r="C264" t="s">
        <v>617</v>
      </c>
      <c r="E264" t="s">
        <v>620</v>
      </c>
      <c r="F264">
        <v>8</v>
      </c>
      <c r="G264">
        <v>7</v>
      </c>
      <c r="H264" t="s">
        <v>28</v>
      </c>
      <c r="I264" t="s">
        <v>942</v>
      </c>
      <c r="O264" t="s">
        <v>1063</v>
      </c>
      <c r="P264" t="s">
        <v>1112</v>
      </c>
      <c r="Q264" t="s">
        <v>1117</v>
      </c>
      <c r="R264" t="s">
        <v>1171</v>
      </c>
      <c r="S264" t="b">
        <v>1</v>
      </c>
      <c r="T264" t="b">
        <v>0</v>
      </c>
      <c r="U264" t="b">
        <v>0</v>
      </c>
      <c r="V264" t="b">
        <v>0</v>
      </c>
      <c r="W264" s="2" t="s">
        <v>1439</v>
      </c>
      <c r="X264" s="2"/>
      <c r="Y264" s="24">
        <v>256</v>
      </c>
      <c r="Z264">
        <f t="shared" si="60"/>
        <v>256</v>
      </c>
      <c r="AA264">
        <f t="shared" si="61"/>
        <v>256</v>
      </c>
      <c r="AB264">
        <f t="shared" si="62"/>
        <v>256</v>
      </c>
      <c r="AC264">
        <f t="shared" si="63"/>
        <v>0</v>
      </c>
      <c r="AD264">
        <f t="shared" si="64"/>
        <v>256</v>
      </c>
      <c r="AE264">
        <f t="shared" si="65"/>
        <v>256</v>
      </c>
      <c r="AF264">
        <f t="shared" si="66"/>
        <v>256</v>
      </c>
      <c r="AG264">
        <f t="shared" si="67"/>
        <v>256</v>
      </c>
      <c r="AH264">
        <f t="shared" si="68"/>
        <v>256</v>
      </c>
      <c r="AI264">
        <f t="shared" si="69"/>
        <v>0</v>
      </c>
      <c r="AJ264">
        <f t="shared" si="70"/>
        <v>0</v>
      </c>
      <c r="AK264">
        <f t="shared" si="71"/>
        <v>0</v>
      </c>
      <c r="AL264">
        <f t="shared" si="72"/>
        <v>0</v>
      </c>
      <c r="AM264">
        <f t="shared" si="73"/>
        <v>0</v>
      </c>
      <c r="AN264">
        <f t="shared" si="74"/>
        <v>256</v>
      </c>
      <c r="AO264">
        <f t="shared" si="75"/>
        <v>256</v>
      </c>
      <c r="AP264">
        <f t="shared" si="76"/>
        <v>256</v>
      </c>
      <c r="AQ264">
        <f t="shared" si="77"/>
        <v>256</v>
      </c>
      <c r="AR264" s="6">
        <f t="shared" si="78"/>
        <v>256</v>
      </c>
      <c r="AS264">
        <f t="shared" si="79"/>
        <v>256</v>
      </c>
      <c r="AV264" s="1" t="str">
        <f>IF(IFERROR(INDEX($A$9:$W$304,$AS264,COLUMNS($AV$9:AV263)),"")=0,"",IFERROR(INDEX($A$9:$W$304,$AS264,COLUMNS($AV$9:AV263)),""))</f>
        <v>The People's Champion</v>
      </c>
      <c r="AW264" s="1">
        <f>IFERROR(INDEX($A$9:$W$304,$AS264,COLUMNS($AV$9:AW263)),"")</f>
        <v>1</v>
      </c>
      <c r="AX264" s="1" t="str">
        <f>IF(IFERROR(INDEX($A$9:$X$304,$AS264,COLUMNS($AV$9:AX263)),"")=0,"",IFERROR(INDEX($A$9:$X$304,$AS264,COLUMNS($AV$9:AX263)),""))</f>
        <v>GOOD</v>
      </c>
      <c r="AY264" s="1" t="str">
        <f>IF(IFERROR(INDEX($A$9:$X$304,$AS264,COLUMNS($AV$9:AY263)),"")=0,"",IFERROR(INDEX($A$9:$X$304,$AS264,COLUMNS($AV$9:AY263)),""))</f>
        <v/>
      </c>
      <c r="AZ264" s="1" t="str">
        <f>IF(IFERROR(INDEX($A$9:$X$304,$AS264,COLUMNS($AV$9:AZ263)),"")=0,"",IFERROR(INDEX($A$9:$X$304,$AS264,COLUMNS($AV$9:AZ263)),""))</f>
        <v>CHAMPION</v>
      </c>
      <c r="BA264" s="1">
        <f>IF(IFERROR(INDEX($A$9:$X$304,$AS264,COLUMNS($AV$9:BA263)),"")=0,"",IFERROR(INDEX($A$9:$X$304,$AS264,COLUMNS($AV$9:BA263)),""))</f>
        <v>8</v>
      </c>
      <c r="BB264" s="1">
        <f>IF(IFERROR(INDEX($A$9:$X$304,$AS264,COLUMNS($AV$9:BB263)),"")=0,"",IFERROR(INDEX($A$9:$X$304,$AS264,COLUMNS($AV$9:BB263)),""))</f>
        <v>7</v>
      </c>
      <c r="BC264" s="1" t="str">
        <f>IF(IFERROR(INDEX($A$9:$X$304,$AS264,COLUMNS($AV$9:BC263)),"")=0,"",IFERROR(INDEX($A$9:$X$304,$AS264,COLUMNS($AV$9:BC263)),""))</f>
        <v>Unbanishable</v>
      </c>
      <c r="BD264" s="1" t="str">
        <f>IF(IFERROR(INDEX($A$9:$X$304,$AS264,COLUMNS($AV$9:BD263)),"")=0,"",IFERROR(INDEX($A$9:$X$304,$AS264,COLUMNS($AV$9:BD263)),""))</f>
        <v>Tribute and/or {good} → Put two human tokens into play.</v>
      </c>
      <c r="BE264" s="1" t="str">
        <f>IF(IFERROR(INDEX($A$9:$X$304,$AS264,COLUMNS($AV$9:BE263)),"")=0,"",IFERROR(INDEX($A$9:$X$304,$AS264,COLUMNS($AV$9:BE263)),""))</f>
        <v/>
      </c>
      <c r="BF264" s="1" t="str">
        <f>IF(IFERROR(INDEX($A$9:$X$304,$AS264,COLUMNS($AV$9:BF263)),"")=0,"",IFERROR(INDEX($A$9:$X$304,$AS264,COLUMNS($AV$9:BF263)),""))</f>
        <v/>
      </c>
      <c r="BG264" s="1" t="str">
        <f>IF(IFERROR(INDEX($A$9:$X$304,$AS264,COLUMNS($AV$9:BG263)),"")=0,"",IFERROR(INDEX($A$9:$X$304,$AS264,COLUMNS($AV$9:BG263)),""))</f>
        <v/>
      </c>
      <c r="BH264" s="1" t="str">
        <f>IF(IFERROR(INDEX($A$9:$X$304,$AS264,COLUMNS($AV$9:BH263)),"")=0,"",IFERROR(INDEX($A$9:$X$304,$AS264,COLUMNS($AV$9:BH263)),""))</f>
        <v/>
      </c>
      <c r="BI264" s="1" t="str">
        <f>IF(IFERROR(INDEX($A$9:$X$304,$AS264,COLUMNS($AV$9:BI263)),"")=0,"",IFERROR(INDEX($A$9:$X$304,$AS264,COLUMNS($AV$9:BI263)),""))</f>
        <v/>
      </c>
      <c r="BJ264" s="1" t="str">
        <f>IF(IFERROR(INDEX($A$9:$X$304,$AS264,COLUMNS($AV$9:BJ263)),"")=0,"",IFERROR(INDEX($A$9:$X$304,$AS264,COLUMNS($AV$9:BJ263)),""))</f>
        <v>HUMAN</v>
      </c>
      <c r="BK264" s="1" t="str">
        <f>IF(IFERROR(INDEX($A$9:$X$304,$AS264,COLUMNS($AV$9:BK263)),"")=0,"",IFERROR(INDEX($A$9:$X$304,$AS264,COLUMNS($AV$9:BK263)),""))</f>
        <v>Common</v>
      </c>
      <c r="BL264" s="1" t="str">
        <f>IF(IFERROR(INDEX($A$9:$X$304,$AS264,COLUMNS($AV$9:BL263)),"")=0,"",IFERROR(INDEX($A$9:$X$304,$AS264,COLUMNS($AV$9:BL263)),""))</f>
        <v>Antonis Papantoniou</v>
      </c>
      <c r="BM264" s="1" t="str">
        <f>IF(IFERROR(INDEX($A$9:$X$304,$AS264,COLUMNS($AV$9:BM263)),"")=0,"",IFERROR(INDEX($A$9:$X$304,$AS264,COLUMNS($AV$9:BM263)),""))</f>
        <v>Base Set</v>
      </c>
      <c r="BN264" s="3" t="b">
        <f>IF(IFERROR(INDEX($A$9:$X$304,$AS264,COLUMNS($AV$9:BN263)),"")=0,"",IFERROR(INDEX($A$9:$X$304,$AS264,COLUMNS($AV$9:BN263)),""))</f>
        <v>1</v>
      </c>
      <c r="BO264" s="3" t="b">
        <f>IF(IFERROR(INDEX($A$9:$X$304,$AS264,COLUMNS($AV$9:BO263)),"")=0,"",IFERROR(INDEX($A$9:$X$304,$AS264,COLUMNS($AV$9:BO263)),""))</f>
        <v>0</v>
      </c>
      <c r="BP264" s="3" t="b">
        <f>IF(IFERROR(INDEX($A$9:$X$304,$AS264,COLUMNS($AV$9:BP263)),"")=0,"",IFERROR(INDEX($A$9:$X$304,$AS264,COLUMNS($AV$9:BP263)),""))</f>
        <v>0</v>
      </c>
      <c r="BQ264" s="3" t="b">
        <f>IF(IFERROR(INDEX($A$9:$X$304,$AS264,COLUMNS($AV$9:BQ263)),"")=0,"",IFERROR(INDEX($A$9:$X$304,$AS264,COLUMNS($AV$9:BQ263)),""))</f>
        <v>0</v>
      </c>
      <c r="BR264" s="3" t="str">
        <f>IF(IFERROR(INDEX($A$9:$X$304,$AS264,COLUMNS($AV$9:BR263)),"")=0,"",IFERROR(INDEX($A$9:$X$304,$AS264,COLUMNS($AV$9:BR263)),""))</f>
        <v>http://www.epiccardgame.com/wp-content/uploads/2015/09/the_people_s_champion-215x300.jpg</v>
      </c>
      <c r="BS264" s="3" t="str">
        <f>IF(IFERROR(INDEX($A$9:$X$304,$AS264,COLUMNS($AV$9:BS263)),"")=0,"",IFERROR(INDEX($A$9:$X$304,$AS264,COLUMNS($AV$9:BS263)),""))</f>
        <v/>
      </c>
      <c r="BT264" s="3"/>
      <c r="BU264" s="15"/>
      <c r="BV264" t="s">
        <v>285</v>
      </c>
    </row>
    <row r="265" spans="1:74" ht="225.2" customHeight="1" x14ac:dyDescent="0.25">
      <c r="A265" t="s">
        <v>575</v>
      </c>
      <c r="B265">
        <v>1</v>
      </c>
      <c r="C265" t="s">
        <v>618</v>
      </c>
      <c r="E265" t="s">
        <v>619</v>
      </c>
      <c r="H265" t="s">
        <v>713</v>
      </c>
      <c r="I265" t="s">
        <v>943</v>
      </c>
      <c r="O265" t="s">
        <v>1068</v>
      </c>
      <c r="P265" t="s">
        <v>1112</v>
      </c>
      <c r="Q265" t="s">
        <v>1114</v>
      </c>
      <c r="R265" t="s">
        <v>1171</v>
      </c>
      <c r="S265" t="b">
        <v>1</v>
      </c>
      <c r="T265" t="b">
        <v>0</v>
      </c>
      <c r="U265" t="b">
        <v>0</v>
      </c>
      <c r="V265" t="b">
        <v>0</v>
      </c>
      <c r="W265" s="2" t="s">
        <v>1440</v>
      </c>
      <c r="X265" s="2"/>
      <c r="Y265" s="24">
        <v>257</v>
      </c>
      <c r="Z265">
        <f t="shared" ref="Z265:Z304" si="80">IF((IFERROR(SEARCH($BU$6,A265), FALSE)),$Y265,0)</f>
        <v>257</v>
      </c>
      <c r="AA265">
        <f t="shared" ref="AA265:AA304" si="81">IF((IFERROR(SEARCH($BU$6,B265), FALSE)),$Y265,0)</f>
        <v>257</v>
      </c>
      <c r="AB265">
        <f t="shared" ref="AB265:AB304" si="82">IF((IFERROR(SEARCH($BU$6,C265), FALSE)),$Y265,0)</f>
        <v>257</v>
      </c>
      <c r="AC265">
        <f t="shared" ref="AC265:AC304" si="83">IF((IFERROR(SEARCH($BU$6,D265), FALSE)),$Y265,0)</f>
        <v>0</v>
      </c>
      <c r="AD265">
        <f t="shared" ref="AD265:AD304" si="84">IF((IFERROR(SEARCH($BU$6,E265), FALSE)),$Y265,0)</f>
        <v>257</v>
      </c>
      <c r="AE265">
        <f t="shared" ref="AE265:AE304" si="85">IF((IFERROR(SEARCH($BU$6,F265), FALSE)),$Y265,0)</f>
        <v>0</v>
      </c>
      <c r="AF265">
        <f t="shared" ref="AF265:AF304" si="86">IF((IFERROR(SEARCH($BU$6,G265), FALSE)),$Y265,0)</f>
        <v>0</v>
      </c>
      <c r="AG265">
        <f t="shared" ref="AG265:AG304" si="87">IF((IFERROR(SEARCH($BU$6,H265), FALSE)),$Y265,0)</f>
        <v>257</v>
      </c>
      <c r="AH265">
        <f t="shared" ref="AH265:AH304" si="88">IF((IFERROR(SEARCH($BU$6,I265), FALSE)),$Y265,0)</f>
        <v>257</v>
      </c>
      <c r="AI265">
        <f t="shared" ref="AI265:AI304" si="89">IF((IFERROR(SEARCH($BU$6,J265), FALSE)),$Y265,0)</f>
        <v>0</v>
      </c>
      <c r="AJ265">
        <f t="shared" ref="AJ265:AJ304" si="90">IF((IFERROR(SEARCH($BU$6,K265), FALSE)),$Y265,0)</f>
        <v>0</v>
      </c>
      <c r="AK265">
        <f t="shared" ref="AK265:AK304" si="91">IF((IFERROR(SEARCH($BU$6,L265), FALSE)),$Y265,0)</f>
        <v>0</v>
      </c>
      <c r="AL265">
        <f t="shared" ref="AL265:AL304" si="92">IF((IFERROR(SEARCH($BU$6,M265), FALSE)),$Y265,0)</f>
        <v>0</v>
      </c>
      <c r="AM265">
        <f t="shared" ref="AM265:AM304" si="93">IF((IFERROR(SEARCH($BU$6,N265), FALSE)),$Y265,0)</f>
        <v>0</v>
      </c>
      <c r="AN265">
        <f t="shared" ref="AN265:AN304" si="94">IF((IFERROR(SEARCH($BU$6,O265), FALSE)),$Y265,0)</f>
        <v>257</v>
      </c>
      <c r="AO265">
        <f t="shared" ref="AO265:AO304" si="95">IF((IFERROR(SEARCH($BU$6,P265), FALSE)),$Y265,0)</f>
        <v>257</v>
      </c>
      <c r="AP265">
        <f t="shared" ref="AP265:AP304" si="96">IF((IFERROR(SEARCH($BU$6,Q265), FALSE)),$Y265,0)</f>
        <v>257</v>
      </c>
      <c r="AQ265">
        <f t="shared" ref="AQ265:AQ304" si="97">IF((IFERROR(SEARCH($BU$6,R265), FALSE)),$Y265,0)</f>
        <v>257</v>
      </c>
      <c r="AR265" s="6">
        <f t="shared" si="78"/>
        <v>257</v>
      </c>
      <c r="AS265">
        <f t="shared" si="79"/>
        <v>257</v>
      </c>
      <c r="AV265" s="1" t="str">
        <f>IF(IFERROR(INDEX($A$9:$W$304,$AS265,COLUMNS($AV$9:AV264)),"")=0,"",IFERROR(INDEX($A$9:$W$304,$AS265,COLUMNS($AV$9:AV264)),""))</f>
        <v>The Risen</v>
      </c>
      <c r="AW265" s="1">
        <f>IFERROR(INDEX($A$9:$W$304,$AS265,COLUMNS($AV$9:AW264)),"")</f>
        <v>1</v>
      </c>
      <c r="AX265" s="1" t="str">
        <f>IF(IFERROR(INDEX($A$9:$X$304,$AS265,COLUMNS($AV$9:AX264)),"")=0,"",IFERROR(INDEX($A$9:$X$304,$AS265,COLUMNS($AV$9:AX264)),""))</f>
        <v>EVIL</v>
      </c>
      <c r="AY265" s="1" t="str">
        <f>IF(IFERROR(INDEX($A$9:$X$304,$AS265,COLUMNS($AV$9:AY264)),"")=0,"",IFERROR(INDEX($A$9:$X$304,$AS265,COLUMNS($AV$9:AY264)),""))</f>
        <v/>
      </c>
      <c r="AZ265" s="1" t="str">
        <f>IF(IFERROR(INDEX($A$9:$X$304,$AS265,COLUMNS($AV$9:AZ264)),"")=0,"",IFERROR(INDEX($A$9:$X$304,$AS265,COLUMNS($AV$9:AZ264)),""))</f>
        <v>EVENT</v>
      </c>
      <c r="BA265" s="1" t="str">
        <f>IF(IFERROR(INDEX($A$9:$X$304,$AS265,COLUMNS($AV$9:BA264)),"")=0,"",IFERROR(INDEX($A$9:$X$304,$AS265,COLUMNS($AV$9:BA264)),""))</f>
        <v/>
      </c>
      <c r="BB265" s="1" t="str">
        <f>IF(IFERROR(INDEX($A$9:$X$304,$AS265,COLUMNS($AV$9:BB264)),"")=0,"",IFERROR(INDEX($A$9:$X$304,$AS265,COLUMNS($AV$9:BB264)),""))</f>
        <v/>
      </c>
      <c r="BC265" s="1" t="str">
        <f>IF(IFERROR(INDEX($A$9:$X$304,$AS265,COLUMNS($AV$9:BC264)),"")=0,"",IFERROR(INDEX($A$9:$X$304,$AS265,COLUMNS($AV$9:BC264)),""))</f>
        <v>Put three zombie tokens into play.</v>
      </c>
      <c r="BD265" s="1" t="str">
        <f>IF(IFERROR(INDEX($A$9:$X$304,$AS265,COLUMNS($AV$9:BD264)),"")=0,"",IFERROR(INDEX($A$9:$X$304,$AS265,COLUMNS($AV$9:BD264)),""))</f>
        <v>Your evil champions gain blitz, +1 {offense} and +1 {defense} this turn.</v>
      </c>
      <c r="BE265" s="1" t="str">
        <f>IF(IFERROR(INDEX($A$9:$X$304,$AS265,COLUMNS($AV$9:BE264)),"")=0,"",IFERROR(INDEX($A$9:$X$304,$AS265,COLUMNS($AV$9:BE264)),""))</f>
        <v/>
      </c>
      <c r="BF265" s="1" t="str">
        <f>IF(IFERROR(INDEX($A$9:$X$304,$AS265,COLUMNS($AV$9:BF264)),"")=0,"",IFERROR(INDEX($A$9:$X$304,$AS265,COLUMNS($AV$9:BF264)),""))</f>
        <v/>
      </c>
      <c r="BG265" s="1" t="str">
        <f>IF(IFERROR(INDEX($A$9:$X$304,$AS265,COLUMNS($AV$9:BG264)),"")=0,"",IFERROR(INDEX($A$9:$X$304,$AS265,COLUMNS($AV$9:BG264)),""))</f>
        <v/>
      </c>
      <c r="BH265" s="1" t="str">
        <f>IF(IFERROR(INDEX($A$9:$X$304,$AS265,COLUMNS($AV$9:BH264)),"")=0,"",IFERROR(INDEX($A$9:$X$304,$AS265,COLUMNS($AV$9:BH264)),""))</f>
        <v/>
      </c>
      <c r="BI265" s="1" t="str">
        <f>IF(IFERROR(INDEX($A$9:$X$304,$AS265,COLUMNS($AV$9:BI264)),"")=0,"",IFERROR(INDEX($A$9:$X$304,$AS265,COLUMNS($AV$9:BI264)),""))</f>
        <v/>
      </c>
      <c r="BJ265" s="1" t="str">
        <f>IF(IFERROR(INDEX($A$9:$X$304,$AS265,COLUMNS($AV$9:BJ264)),"")=0,"",IFERROR(INDEX($A$9:$X$304,$AS265,COLUMNS($AV$9:BJ264)),""))</f>
        <v>ZOMBIE</v>
      </c>
      <c r="BK265" s="1" t="str">
        <f>IF(IFERROR(INDEX($A$9:$X$304,$AS265,COLUMNS($AV$9:BK264)),"")=0,"",IFERROR(INDEX($A$9:$X$304,$AS265,COLUMNS($AV$9:BK264)),""))</f>
        <v>Common</v>
      </c>
      <c r="BL265" s="1" t="str">
        <f>IF(IFERROR(INDEX($A$9:$X$304,$AS265,COLUMNS($AV$9:BL264)),"")=0,"",IFERROR(INDEX($A$9:$X$304,$AS265,COLUMNS($AV$9:BL264)),""))</f>
        <v>Jaan-Paul van Eeden</v>
      </c>
      <c r="BM265" s="1" t="str">
        <f>IF(IFERROR(INDEX($A$9:$X$304,$AS265,COLUMNS($AV$9:BM264)),"")=0,"",IFERROR(INDEX($A$9:$X$304,$AS265,COLUMNS($AV$9:BM264)),""))</f>
        <v>Base Set</v>
      </c>
      <c r="BN265" s="3" t="b">
        <f>IF(IFERROR(INDEX($A$9:$X$304,$AS265,COLUMNS($AV$9:BN264)),"")=0,"",IFERROR(INDEX($A$9:$X$304,$AS265,COLUMNS($AV$9:BN264)),""))</f>
        <v>1</v>
      </c>
      <c r="BO265" s="3" t="b">
        <f>IF(IFERROR(INDEX($A$9:$X$304,$AS265,COLUMNS($AV$9:BO264)),"")=0,"",IFERROR(INDEX($A$9:$X$304,$AS265,COLUMNS($AV$9:BO264)),""))</f>
        <v>0</v>
      </c>
      <c r="BP265" s="3" t="b">
        <f>IF(IFERROR(INDEX($A$9:$X$304,$AS265,COLUMNS($AV$9:BP264)),"")=0,"",IFERROR(INDEX($A$9:$X$304,$AS265,COLUMNS($AV$9:BP264)),""))</f>
        <v>0</v>
      </c>
      <c r="BQ265" s="3" t="b">
        <f>IF(IFERROR(INDEX($A$9:$X$304,$AS265,COLUMNS($AV$9:BQ264)),"")=0,"",IFERROR(INDEX($A$9:$X$304,$AS265,COLUMNS($AV$9:BQ264)),""))</f>
        <v>0</v>
      </c>
      <c r="BR265" s="3" t="str">
        <f>IF(IFERROR(INDEX($A$9:$X$304,$AS265,COLUMNS($AV$9:BR264)),"")=0,"",IFERROR(INDEX($A$9:$X$304,$AS265,COLUMNS($AV$9:BR264)),""))</f>
        <v>http://www.epiccardgame.com/wp-content/uploads/2015/09/the_risen-215x300.jpg</v>
      </c>
      <c r="BS265" s="3" t="str">
        <f>IF(IFERROR(INDEX($A$9:$X$304,$AS265,COLUMNS($AV$9:BS264)),"")=0,"",IFERROR(INDEX($A$9:$X$304,$AS265,COLUMNS($AV$9:BS264)),""))</f>
        <v/>
      </c>
      <c r="BT265" s="3"/>
      <c r="BU265" s="15"/>
      <c r="BV265" t="s">
        <v>286</v>
      </c>
    </row>
    <row r="266" spans="1:74" ht="225" customHeight="1" x14ac:dyDescent="0.25">
      <c r="A266" t="s">
        <v>576</v>
      </c>
      <c r="B266">
        <v>1</v>
      </c>
      <c r="C266" t="s">
        <v>616</v>
      </c>
      <c r="E266" t="s">
        <v>620</v>
      </c>
      <c r="F266">
        <v>1</v>
      </c>
      <c r="G266">
        <v>1</v>
      </c>
      <c r="H266" t="s">
        <v>746</v>
      </c>
      <c r="I266" t="s">
        <v>944</v>
      </c>
      <c r="J266" t="s">
        <v>1026</v>
      </c>
      <c r="K266" t="s">
        <v>1041</v>
      </c>
      <c r="O266" t="s">
        <v>1107</v>
      </c>
      <c r="P266" t="s">
        <v>1112</v>
      </c>
      <c r="Q266" t="s">
        <v>1118</v>
      </c>
      <c r="R266" t="s">
        <v>1171</v>
      </c>
      <c r="S266" t="b">
        <v>1</v>
      </c>
      <c r="T266" t="b">
        <v>0</v>
      </c>
      <c r="U266" t="b">
        <v>0</v>
      </c>
      <c r="V266" t="b">
        <v>0</v>
      </c>
      <c r="W266" s="2" t="s">
        <v>1441</v>
      </c>
      <c r="X266" s="2"/>
      <c r="Y266" s="24">
        <v>258</v>
      </c>
      <c r="Z266">
        <f t="shared" si="80"/>
        <v>258</v>
      </c>
      <c r="AA266">
        <f t="shared" si="81"/>
        <v>258</v>
      </c>
      <c r="AB266">
        <f t="shared" si="82"/>
        <v>258</v>
      </c>
      <c r="AC266">
        <f t="shared" si="83"/>
        <v>0</v>
      </c>
      <c r="AD266">
        <f t="shared" si="84"/>
        <v>258</v>
      </c>
      <c r="AE266">
        <f t="shared" si="85"/>
        <v>258</v>
      </c>
      <c r="AF266">
        <f t="shared" si="86"/>
        <v>258</v>
      </c>
      <c r="AG266">
        <f t="shared" si="87"/>
        <v>258</v>
      </c>
      <c r="AH266">
        <f t="shared" si="88"/>
        <v>258</v>
      </c>
      <c r="AI266">
        <f t="shared" si="89"/>
        <v>258</v>
      </c>
      <c r="AJ266">
        <f t="shared" si="90"/>
        <v>258</v>
      </c>
      <c r="AK266">
        <f t="shared" si="91"/>
        <v>0</v>
      </c>
      <c r="AL266">
        <f t="shared" si="92"/>
        <v>0</v>
      </c>
      <c r="AM266">
        <f t="shared" si="93"/>
        <v>0</v>
      </c>
      <c r="AN266">
        <f t="shared" si="94"/>
        <v>258</v>
      </c>
      <c r="AO266">
        <f t="shared" si="95"/>
        <v>258</v>
      </c>
      <c r="AP266">
        <f t="shared" si="96"/>
        <v>258</v>
      </c>
      <c r="AQ266">
        <f t="shared" si="97"/>
        <v>258</v>
      </c>
      <c r="AR266" s="6">
        <f t="shared" ref="AR266:AR304" si="98">IF(SUM($Z266:$AQ266)&gt;=$Y266,$Y266,"")</f>
        <v>258</v>
      </c>
      <c r="AS266">
        <f t="shared" ref="AS266:AS304" si="99">IFERROR(SMALL($AR$9:$AR$304,$Y266),"")</f>
        <v>258</v>
      </c>
      <c r="AV266" s="1" t="str">
        <f>IF(IFERROR(INDEX($A$9:$W$304,$AS266,COLUMNS($AV$9:AV265)),"")=0,"",IFERROR(INDEX($A$9:$W$304,$AS266,COLUMNS($AV$9:AV265)),""))</f>
        <v>Thought Plucker</v>
      </c>
      <c r="AW266" s="1">
        <f>IFERROR(INDEX($A$9:$W$304,$AS266,COLUMNS($AV$9:AW265)),"")</f>
        <v>1</v>
      </c>
      <c r="AX266" s="1" t="str">
        <f>IF(IFERROR(INDEX($A$9:$X$304,$AS266,COLUMNS($AV$9:AX265)),"")=0,"",IFERROR(INDEX($A$9:$X$304,$AS266,COLUMNS($AV$9:AX265)),""))</f>
        <v>SAGE</v>
      </c>
      <c r="AY266" s="1" t="str">
        <f>IF(IFERROR(INDEX($A$9:$X$304,$AS266,COLUMNS($AV$9:AY265)),"")=0,"",IFERROR(INDEX($A$9:$X$304,$AS266,COLUMNS($AV$9:AY265)),""))</f>
        <v/>
      </c>
      <c r="AZ266" s="1" t="str">
        <f>IF(IFERROR(INDEX($A$9:$X$304,$AS266,COLUMNS($AV$9:AZ265)),"")=0,"",IFERROR(INDEX($A$9:$X$304,$AS266,COLUMNS($AV$9:AZ265)),""))</f>
        <v>CHAMPION</v>
      </c>
      <c r="BA266" s="1">
        <f>IF(IFERROR(INDEX($A$9:$X$304,$AS266,COLUMNS($AV$9:BA265)),"")=0,"",IFERROR(INDEX($A$9:$X$304,$AS266,COLUMNS($AV$9:BA265)),""))</f>
        <v>1</v>
      </c>
      <c r="BB266" s="1">
        <f>IF(IFERROR(INDEX($A$9:$X$304,$AS266,COLUMNS($AV$9:BB265)),"")=0,"",IFERROR(INDEX($A$9:$X$304,$AS266,COLUMNS($AV$9:BB265)),""))</f>
        <v>1</v>
      </c>
      <c r="BC266" s="1" t="str">
        <f>IF(IFERROR(INDEX($A$9:$X$304,$AS266,COLUMNS($AV$9:BC265)),"")=0,"",IFERROR(INDEX($A$9:$X$304,$AS266,COLUMNS($AV$9:BC265)),""))</f>
        <v>Ambush ◆ Unblockable</v>
      </c>
      <c r="BD266" s="1" t="str">
        <f>IF(IFERROR(INDEX($A$9:$X$304,$AS266,COLUMNS($AV$9:BD265)),"")=0,"",IFERROR(INDEX($A$9:$X$304,$AS266,COLUMNS($AV$9:BD265)),""))</f>
        <v>Tribute → Target opponent discards a card and you draw a card.</v>
      </c>
      <c r="BE266" s="1" t="str">
        <f>IF(IFERROR(INDEX($A$9:$X$304,$AS266,COLUMNS($AV$9:BE265)),"")=0,"",IFERROR(INDEX($A$9:$X$304,$AS266,COLUMNS($AV$9:BE265)),""))</f>
        <v>When this card damages a player → That player discards a card and you draw a card.</v>
      </c>
      <c r="BF266" s="1" t="str">
        <f>IF(IFERROR(INDEX($A$9:$X$304,$AS266,COLUMNS($AV$9:BF265)),"")=0,"",IFERROR(INDEX($A$9:$X$304,$AS266,COLUMNS($AV$9:BF265)),""))</f>
        <v>(This card received clarifying errata on October 15th 2015.)</v>
      </c>
      <c r="BG266" s="1" t="str">
        <f>IF(IFERROR(INDEX($A$9:$X$304,$AS266,COLUMNS($AV$9:BG265)),"")=0,"",IFERROR(INDEX($A$9:$X$304,$AS266,COLUMNS($AV$9:BG265)),""))</f>
        <v/>
      </c>
      <c r="BH266" s="1" t="str">
        <f>IF(IFERROR(INDEX($A$9:$X$304,$AS266,COLUMNS($AV$9:BH265)),"")=0,"",IFERROR(INDEX($A$9:$X$304,$AS266,COLUMNS($AV$9:BH265)),""))</f>
        <v/>
      </c>
      <c r="BI266" s="1" t="str">
        <f>IF(IFERROR(INDEX($A$9:$X$304,$AS266,COLUMNS($AV$9:BI265)),"")=0,"",IFERROR(INDEX($A$9:$X$304,$AS266,COLUMNS($AV$9:BI265)),""))</f>
        <v/>
      </c>
      <c r="BJ266" s="1" t="str">
        <f>IF(IFERROR(INDEX($A$9:$X$304,$AS266,COLUMNS($AV$9:BJ265)),"")=0,"",IFERROR(INDEX($A$9:$X$304,$AS266,COLUMNS($AV$9:BJ265)),""))</f>
        <v>IMP</v>
      </c>
      <c r="BK266" s="1" t="str">
        <f>IF(IFERROR(INDEX($A$9:$X$304,$AS266,COLUMNS($AV$9:BK265)),"")=0,"",IFERROR(INDEX($A$9:$X$304,$AS266,COLUMNS($AV$9:BK265)),""))</f>
        <v>Common</v>
      </c>
      <c r="BL266" s="1" t="str">
        <f>IF(IFERROR(INDEX($A$9:$X$304,$AS266,COLUMNS($AV$9:BL265)),"")=0,"",IFERROR(INDEX($A$9:$X$304,$AS266,COLUMNS($AV$9:BL265)),""))</f>
        <v>L.Sean</v>
      </c>
      <c r="BM266" s="1" t="str">
        <f>IF(IFERROR(INDEX($A$9:$X$304,$AS266,COLUMNS($AV$9:BM265)),"")=0,"",IFERROR(INDEX($A$9:$X$304,$AS266,COLUMNS($AV$9:BM265)),""))</f>
        <v>Base Set</v>
      </c>
      <c r="BN266" s="3" t="b">
        <f>IF(IFERROR(INDEX($A$9:$X$304,$AS266,COLUMNS($AV$9:BN265)),"")=0,"",IFERROR(INDEX($A$9:$X$304,$AS266,COLUMNS($AV$9:BN265)),""))</f>
        <v>1</v>
      </c>
      <c r="BO266" s="3" t="b">
        <f>IF(IFERROR(INDEX($A$9:$X$304,$AS266,COLUMNS($AV$9:BO265)),"")=0,"",IFERROR(INDEX($A$9:$X$304,$AS266,COLUMNS($AV$9:BO265)),""))</f>
        <v>0</v>
      </c>
      <c r="BP266" s="3" t="b">
        <f>IF(IFERROR(INDEX($A$9:$X$304,$AS266,COLUMNS($AV$9:BP265)),"")=0,"",IFERROR(INDEX($A$9:$X$304,$AS266,COLUMNS($AV$9:BP265)),""))</f>
        <v>0</v>
      </c>
      <c r="BQ266" s="3" t="b">
        <f>IF(IFERROR(INDEX($A$9:$X$304,$AS266,COLUMNS($AV$9:BQ265)),"")=0,"",IFERROR(INDEX($A$9:$X$304,$AS266,COLUMNS($AV$9:BQ265)),""))</f>
        <v>0</v>
      </c>
      <c r="BR266" s="3" t="str">
        <f>IF(IFERROR(INDEX($A$9:$X$304,$AS266,COLUMNS($AV$9:BR265)),"")=0,"",IFERROR(INDEX($A$9:$X$304,$AS266,COLUMNS($AV$9:BR265)),""))</f>
        <v>http://www.epiccardgame.com/wp-content/uploads/2015/09/thought_plucker-215x300.jpg</v>
      </c>
      <c r="BS266" s="3" t="str">
        <f>IF(IFERROR(INDEX($A$9:$X$304,$AS266,COLUMNS($AV$9:BS265)),"")=0,"",IFERROR(INDEX($A$9:$X$304,$AS266,COLUMNS($AV$9:BS265)),""))</f>
        <v/>
      </c>
      <c r="BT266" s="3"/>
      <c r="BU266" s="15"/>
      <c r="BV266" t="s">
        <v>287</v>
      </c>
    </row>
    <row r="267" spans="1:74" ht="225.2" customHeight="1" x14ac:dyDescent="0.25">
      <c r="A267" t="s">
        <v>577</v>
      </c>
      <c r="B267">
        <v>0</v>
      </c>
      <c r="C267" t="s">
        <v>618</v>
      </c>
      <c r="E267" t="s">
        <v>620</v>
      </c>
      <c r="F267">
        <v>1</v>
      </c>
      <c r="G267">
        <v>1</v>
      </c>
      <c r="H267" t="s">
        <v>22</v>
      </c>
      <c r="I267" t="s">
        <v>945</v>
      </c>
      <c r="J267" t="s">
        <v>1027</v>
      </c>
      <c r="O267" t="s">
        <v>1078</v>
      </c>
      <c r="P267" t="s">
        <v>1112</v>
      </c>
      <c r="Q267" t="s">
        <v>1118</v>
      </c>
      <c r="R267" t="s">
        <v>1171</v>
      </c>
      <c r="S267" t="b">
        <v>0</v>
      </c>
      <c r="T267" t="b">
        <v>0</v>
      </c>
      <c r="U267" t="b">
        <v>0</v>
      </c>
      <c r="V267" t="b">
        <v>0</v>
      </c>
      <c r="W267" s="2" t="s">
        <v>1442</v>
      </c>
      <c r="X267" s="2"/>
      <c r="Y267" s="24">
        <v>259</v>
      </c>
      <c r="Z267">
        <f t="shared" si="80"/>
        <v>259</v>
      </c>
      <c r="AA267">
        <f t="shared" si="81"/>
        <v>259</v>
      </c>
      <c r="AB267">
        <f t="shared" si="82"/>
        <v>259</v>
      </c>
      <c r="AC267">
        <f t="shared" si="83"/>
        <v>0</v>
      </c>
      <c r="AD267">
        <f t="shared" si="84"/>
        <v>259</v>
      </c>
      <c r="AE267">
        <f t="shared" si="85"/>
        <v>259</v>
      </c>
      <c r="AF267">
        <f t="shared" si="86"/>
        <v>259</v>
      </c>
      <c r="AG267">
        <f t="shared" si="87"/>
        <v>259</v>
      </c>
      <c r="AH267">
        <f t="shared" si="88"/>
        <v>259</v>
      </c>
      <c r="AI267">
        <f t="shared" si="89"/>
        <v>259</v>
      </c>
      <c r="AJ267">
        <f t="shared" si="90"/>
        <v>0</v>
      </c>
      <c r="AK267">
        <f t="shared" si="91"/>
        <v>0</v>
      </c>
      <c r="AL267">
        <f t="shared" si="92"/>
        <v>0</v>
      </c>
      <c r="AM267">
        <f t="shared" si="93"/>
        <v>0</v>
      </c>
      <c r="AN267">
        <f t="shared" si="94"/>
        <v>259</v>
      </c>
      <c r="AO267">
        <f t="shared" si="95"/>
        <v>259</v>
      </c>
      <c r="AP267">
        <f t="shared" si="96"/>
        <v>259</v>
      </c>
      <c r="AQ267">
        <f t="shared" si="97"/>
        <v>259</v>
      </c>
      <c r="AR267" s="6">
        <f t="shared" si="98"/>
        <v>259</v>
      </c>
      <c r="AS267">
        <f t="shared" si="99"/>
        <v>259</v>
      </c>
      <c r="AV267" s="1" t="str">
        <f>IF(IFERROR(INDEX($A$9:$W$304,$AS267,COLUMNS($AV$9:AV266)),"")=0,"",IFERROR(INDEX($A$9:$W$304,$AS267,COLUMNS($AV$9:AV266)),""))</f>
        <v>Thrasher Demon</v>
      </c>
      <c r="AW267" s="1">
        <f>IFERROR(INDEX($A$9:$W$304,$AS267,COLUMNS($AV$9:AW266)),"")</f>
        <v>0</v>
      </c>
      <c r="AX267" s="1" t="str">
        <f>IF(IFERROR(INDEX($A$9:$X$304,$AS267,COLUMNS($AV$9:AX266)),"")=0,"",IFERROR(INDEX($A$9:$X$304,$AS267,COLUMNS($AV$9:AX266)),""))</f>
        <v>EVIL</v>
      </c>
      <c r="AY267" s="1" t="str">
        <f>IF(IFERROR(INDEX($A$9:$X$304,$AS267,COLUMNS($AV$9:AY266)),"")=0,"",IFERROR(INDEX($A$9:$X$304,$AS267,COLUMNS($AV$9:AY266)),""))</f>
        <v/>
      </c>
      <c r="AZ267" s="1" t="str">
        <f>IF(IFERROR(INDEX($A$9:$X$304,$AS267,COLUMNS($AV$9:AZ266)),"")=0,"",IFERROR(INDEX($A$9:$X$304,$AS267,COLUMNS($AV$9:AZ266)),""))</f>
        <v>CHAMPION</v>
      </c>
      <c r="BA267" s="1">
        <f>IF(IFERROR(INDEX($A$9:$X$304,$AS267,COLUMNS($AV$9:BA266)),"")=0,"",IFERROR(INDEX($A$9:$X$304,$AS267,COLUMNS($AV$9:BA266)),""))</f>
        <v>1</v>
      </c>
      <c r="BB267" s="1">
        <f>IF(IFERROR(INDEX($A$9:$X$304,$AS267,COLUMNS($AV$9:BB266)),"")=0,"",IFERROR(INDEX($A$9:$X$304,$AS267,COLUMNS($AV$9:BB266)),""))</f>
        <v>1</v>
      </c>
      <c r="BC267" s="1" t="str">
        <f>IF(IFERROR(INDEX($A$9:$X$304,$AS267,COLUMNS($AV$9:BC266)),"")=0,"",IFERROR(INDEX($A$9:$X$304,$AS267,COLUMNS($AV$9:BC266)),""))</f>
        <v>Blitz</v>
      </c>
      <c r="BD267" s="1" t="str">
        <f>IF(IFERROR(INDEX($A$9:$X$304,$AS267,COLUMNS($AV$9:BD266)),"")=0,"",IFERROR(INDEX($A$9:$X$304,$AS267,COLUMNS($AV$9:BD266)),""))</f>
        <v>Break any champion damaged by this card.</v>
      </c>
      <c r="BE267" s="1" t="str">
        <f>IF(IFERROR(INDEX($A$9:$X$304,$AS267,COLUMNS($AV$9:BE266)),"")=0,"",IFERROR(INDEX($A$9:$X$304,$AS267,COLUMNS($AV$9:BE266)),""))</f>
        <v>When this card attacks → Put two +1 {offense} +1 {defense} counters on it.</v>
      </c>
      <c r="BF267" s="1" t="str">
        <f>IF(IFERROR(INDEX($A$9:$X$304,$AS267,COLUMNS($AV$9:BF266)),"")=0,"",IFERROR(INDEX($A$9:$X$304,$AS267,COLUMNS($AV$9:BF266)),""))</f>
        <v/>
      </c>
      <c r="BG267" s="1" t="str">
        <f>IF(IFERROR(INDEX($A$9:$X$304,$AS267,COLUMNS($AV$9:BG266)),"")=0,"",IFERROR(INDEX($A$9:$X$304,$AS267,COLUMNS($AV$9:BG266)),""))</f>
        <v/>
      </c>
      <c r="BH267" s="1" t="str">
        <f>IF(IFERROR(INDEX($A$9:$X$304,$AS267,COLUMNS($AV$9:BH266)),"")=0,"",IFERROR(INDEX($A$9:$X$304,$AS267,COLUMNS($AV$9:BH266)),""))</f>
        <v/>
      </c>
      <c r="BI267" s="1" t="str">
        <f>IF(IFERROR(INDEX($A$9:$X$304,$AS267,COLUMNS($AV$9:BI266)),"")=0,"",IFERROR(INDEX($A$9:$X$304,$AS267,COLUMNS($AV$9:BI266)),""))</f>
        <v/>
      </c>
      <c r="BJ267" s="1" t="str">
        <f>IF(IFERROR(INDEX($A$9:$X$304,$AS267,COLUMNS($AV$9:BJ266)),"")=0,"",IFERROR(INDEX($A$9:$X$304,$AS267,COLUMNS($AV$9:BJ266)),""))</f>
        <v>DEMON</v>
      </c>
      <c r="BK267" s="1" t="str">
        <f>IF(IFERROR(INDEX($A$9:$X$304,$AS267,COLUMNS($AV$9:BK266)),"")=0,"",IFERROR(INDEX($A$9:$X$304,$AS267,COLUMNS($AV$9:BK266)),""))</f>
        <v>Common</v>
      </c>
      <c r="BL267" s="1" t="str">
        <f>IF(IFERROR(INDEX($A$9:$X$304,$AS267,COLUMNS($AV$9:BL266)),"")=0,"",IFERROR(INDEX($A$9:$X$304,$AS267,COLUMNS($AV$9:BL266)),""))</f>
        <v>L.Sean</v>
      </c>
      <c r="BM267" s="1" t="str">
        <f>IF(IFERROR(INDEX($A$9:$X$304,$AS267,COLUMNS($AV$9:BM266)),"")=0,"",IFERROR(INDEX($A$9:$X$304,$AS267,COLUMNS($AV$9:BM266)),""))</f>
        <v>Base Set</v>
      </c>
      <c r="BN267" s="3" t="b">
        <f>IF(IFERROR(INDEX($A$9:$X$304,$AS267,COLUMNS($AV$9:BN266)),"")=0,"",IFERROR(INDEX($A$9:$X$304,$AS267,COLUMNS($AV$9:BN266)),""))</f>
        <v>0</v>
      </c>
      <c r="BO267" s="3" t="b">
        <f>IF(IFERROR(INDEX($A$9:$X$304,$AS267,COLUMNS($AV$9:BO266)),"")=0,"",IFERROR(INDEX($A$9:$X$304,$AS267,COLUMNS($AV$9:BO266)),""))</f>
        <v>0</v>
      </c>
      <c r="BP267" s="3" t="b">
        <f>IF(IFERROR(INDEX($A$9:$X$304,$AS267,COLUMNS($AV$9:BP266)),"")=0,"",IFERROR(INDEX($A$9:$X$304,$AS267,COLUMNS($AV$9:BP266)),""))</f>
        <v>0</v>
      </c>
      <c r="BQ267" s="3" t="b">
        <f>IF(IFERROR(INDEX($A$9:$X$304,$AS267,COLUMNS($AV$9:BQ266)),"")=0,"",IFERROR(INDEX($A$9:$X$304,$AS267,COLUMNS($AV$9:BQ266)),""))</f>
        <v>0</v>
      </c>
      <c r="BR267" s="3" t="str">
        <f>IF(IFERROR(INDEX($A$9:$X$304,$AS267,COLUMNS($AV$9:BR266)),"")=0,"",IFERROR(INDEX($A$9:$X$304,$AS267,COLUMNS($AV$9:BR266)),""))</f>
        <v>http://www.epiccardgame.com/wp-content/uploads/2015/09/thrasher_demon-215x300.jpg</v>
      </c>
      <c r="BS267" s="3" t="str">
        <f>IF(IFERROR(INDEX($A$9:$X$304,$AS267,COLUMNS($AV$9:BS266)),"")=0,"",IFERROR(INDEX($A$9:$X$304,$AS267,COLUMNS($AV$9:BS266)),""))</f>
        <v/>
      </c>
      <c r="BT267" s="3"/>
      <c r="BU267" s="15"/>
      <c r="BV267" t="s">
        <v>288</v>
      </c>
    </row>
    <row r="268" spans="1:74" ht="225.2" customHeight="1" x14ac:dyDescent="0.25">
      <c r="A268" t="s">
        <v>578</v>
      </c>
      <c r="B268">
        <v>1</v>
      </c>
      <c r="C268" t="s">
        <v>617</v>
      </c>
      <c r="E268" t="s">
        <v>620</v>
      </c>
      <c r="F268">
        <v>10</v>
      </c>
      <c r="G268">
        <v>15</v>
      </c>
      <c r="H268" t="s">
        <v>747</v>
      </c>
      <c r="I268" t="s">
        <v>946</v>
      </c>
      <c r="J268" t="s">
        <v>1028</v>
      </c>
      <c r="O268" t="s">
        <v>1069</v>
      </c>
      <c r="P268" t="s">
        <v>1113</v>
      </c>
      <c r="Q268" t="s">
        <v>1119</v>
      </c>
      <c r="R268" t="s">
        <v>1171</v>
      </c>
      <c r="S268" t="b">
        <v>1</v>
      </c>
      <c r="T268" t="b">
        <v>0</v>
      </c>
      <c r="U268" t="b">
        <v>0</v>
      </c>
      <c r="V268" t="b">
        <v>0</v>
      </c>
      <c r="W268" s="2" t="s">
        <v>1443</v>
      </c>
      <c r="X268" s="2"/>
      <c r="Y268" s="24">
        <v>260</v>
      </c>
      <c r="Z268">
        <f t="shared" si="80"/>
        <v>260</v>
      </c>
      <c r="AA268">
        <f t="shared" si="81"/>
        <v>260</v>
      </c>
      <c r="AB268">
        <f t="shared" si="82"/>
        <v>260</v>
      </c>
      <c r="AC268">
        <f t="shared" si="83"/>
        <v>0</v>
      </c>
      <c r="AD268">
        <f t="shared" si="84"/>
        <v>260</v>
      </c>
      <c r="AE268">
        <f t="shared" si="85"/>
        <v>260</v>
      </c>
      <c r="AF268">
        <f t="shared" si="86"/>
        <v>260</v>
      </c>
      <c r="AG268">
        <f t="shared" si="87"/>
        <v>260</v>
      </c>
      <c r="AH268">
        <f t="shared" si="88"/>
        <v>260</v>
      </c>
      <c r="AI268">
        <f t="shared" si="89"/>
        <v>260</v>
      </c>
      <c r="AJ268">
        <f t="shared" si="90"/>
        <v>0</v>
      </c>
      <c r="AK268">
        <f t="shared" si="91"/>
        <v>0</v>
      </c>
      <c r="AL268">
        <f t="shared" si="92"/>
        <v>0</v>
      </c>
      <c r="AM268">
        <f t="shared" si="93"/>
        <v>0</v>
      </c>
      <c r="AN268">
        <f t="shared" si="94"/>
        <v>260</v>
      </c>
      <c r="AO268">
        <f t="shared" si="95"/>
        <v>260</v>
      </c>
      <c r="AP268">
        <f t="shared" si="96"/>
        <v>260</v>
      </c>
      <c r="AQ268">
        <f t="shared" si="97"/>
        <v>260</v>
      </c>
      <c r="AR268" s="6">
        <f t="shared" si="98"/>
        <v>260</v>
      </c>
      <c r="AS268">
        <f t="shared" si="99"/>
        <v>260</v>
      </c>
      <c r="AV268" s="1" t="str">
        <f>IF(IFERROR(INDEX($A$9:$W$304,$AS268,COLUMNS($AV$9:AV267)),"")=0,"",IFERROR(INDEX($A$9:$W$304,$AS268,COLUMNS($AV$9:AV267)),""))</f>
        <v>Thundarus</v>
      </c>
      <c r="AW268" s="1">
        <f>IFERROR(INDEX($A$9:$W$304,$AS268,COLUMNS($AV$9:AW267)),"")</f>
        <v>1</v>
      </c>
      <c r="AX268" s="1" t="str">
        <f>IF(IFERROR(INDEX($A$9:$X$304,$AS268,COLUMNS($AV$9:AX267)),"")=0,"",IFERROR(INDEX($A$9:$X$304,$AS268,COLUMNS($AV$9:AX267)),""))</f>
        <v>GOOD</v>
      </c>
      <c r="AY268" s="1" t="str">
        <f>IF(IFERROR(INDEX($A$9:$X$304,$AS268,COLUMNS($AV$9:AY267)),"")=0,"",IFERROR(INDEX($A$9:$X$304,$AS268,COLUMNS($AV$9:AY267)),""))</f>
        <v/>
      </c>
      <c r="AZ268" s="1" t="str">
        <f>IF(IFERROR(INDEX($A$9:$X$304,$AS268,COLUMNS($AV$9:AZ267)),"")=0,"",IFERROR(INDEX($A$9:$X$304,$AS268,COLUMNS($AV$9:AZ267)),""))</f>
        <v>CHAMPION</v>
      </c>
      <c r="BA268" s="1">
        <f>IF(IFERROR(INDEX($A$9:$X$304,$AS268,COLUMNS($AV$9:BA267)),"")=0,"",IFERROR(INDEX($A$9:$X$304,$AS268,COLUMNS($AV$9:BA267)),""))</f>
        <v>10</v>
      </c>
      <c r="BB268" s="1">
        <f>IF(IFERROR(INDEX($A$9:$X$304,$AS268,COLUMNS($AV$9:BB267)),"")=0,"",IFERROR(INDEX($A$9:$X$304,$AS268,COLUMNS($AV$9:BB267)),""))</f>
        <v>15</v>
      </c>
      <c r="BC268" s="1" t="str">
        <f>IF(IFERROR(INDEX($A$9:$X$304,$AS268,COLUMNS($AV$9:BC267)),"")=0,"",IFERROR(INDEX($A$9:$X$304,$AS268,COLUMNS($AV$9:BC267)),""))</f>
        <v>Airborne ◆ Unbanishable</v>
      </c>
      <c r="BD268" s="1" t="str">
        <f>IF(IFERROR(INDEX($A$9:$X$304,$AS268,COLUMNS($AV$9:BD267)),"")=0,"",IFERROR(INDEX($A$9:$X$304,$AS268,COLUMNS($AV$9:BD267)),""))</f>
        <v>Your other dragons have +5 {offense} and +5 {defense}.</v>
      </c>
      <c r="BE268" s="1" t="str">
        <f>IF(IFERROR(INDEX($A$9:$X$304,$AS268,COLUMNS($AV$9:BE267)),"")=0,"",IFERROR(INDEX($A$9:$X$304,$AS268,COLUMNS($AV$9:BE267)),""))</f>
        <v>Dragon Lord of the North.</v>
      </c>
      <c r="BF268" s="1" t="str">
        <f>IF(IFERROR(INDEX($A$9:$X$304,$AS268,COLUMNS($AV$9:BF267)),"")=0,"",IFERROR(INDEX($A$9:$X$304,$AS268,COLUMNS($AV$9:BF267)),""))</f>
        <v/>
      </c>
      <c r="BG268" s="1" t="str">
        <f>IF(IFERROR(INDEX($A$9:$X$304,$AS268,COLUMNS($AV$9:BG267)),"")=0,"",IFERROR(INDEX($A$9:$X$304,$AS268,COLUMNS($AV$9:BG267)),""))</f>
        <v/>
      </c>
      <c r="BH268" s="1" t="str">
        <f>IF(IFERROR(INDEX($A$9:$X$304,$AS268,COLUMNS($AV$9:BH267)),"")=0,"",IFERROR(INDEX($A$9:$X$304,$AS268,COLUMNS($AV$9:BH267)),""))</f>
        <v/>
      </c>
      <c r="BI268" s="1" t="str">
        <f>IF(IFERROR(INDEX($A$9:$X$304,$AS268,COLUMNS($AV$9:BI267)),"")=0,"",IFERROR(INDEX($A$9:$X$304,$AS268,COLUMNS($AV$9:BI267)),""))</f>
        <v/>
      </c>
      <c r="BJ268" s="1" t="str">
        <f>IF(IFERROR(INDEX($A$9:$X$304,$AS268,COLUMNS($AV$9:BJ267)),"")=0,"",IFERROR(INDEX($A$9:$X$304,$AS268,COLUMNS($AV$9:BJ267)),""))</f>
        <v>DRAGON</v>
      </c>
      <c r="BK268" s="1" t="str">
        <f>IF(IFERROR(INDEX($A$9:$X$304,$AS268,COLUMNS($AV$9:BK267)),"")=0,"",IFERROR(INDEX($A$9:$X$304,$AS268,COLUMNS($AV$9:BK267)),""))</f>
        <v>Rare</v>
      </c>
      <c r="BL268" s="1" t="str">
        <f>IF(IFERROR(INDEX($A$9:$X$304,$AS268,COLUMNS($AV$9:BL267)),"")=0,"",IFERROR(INDEX($A$9:$X$304,$AS268,COLUMNS($AV$9:BL267)),""))</f>
        <v>Sarah McCulloch</v>
      </c>
      <c r="BM268" s="1" t="str">
        <f>IF(IFERROR(INDEX($A$9:$X$304,$AS268,COLUMNS($AV$9:BM267)),"")=0,"",IFERROR(INDEX($A$9:$X$304,$AS268,COLUMNS($AV$9:BM267)),""))</f>
        <v>Base Set</v>
      </c>
      <c r="BN268" s="3" t="b">
        <f>IF(IFERROR(INDEX($A$9:$X$304,$AS268,COLUMNS($AV$9:BN267)),"")=0,"",IFERROR(INDEX($A$9:$X$304,$AS268,COLUMNS($AV$9:BN267)),""))</f>
        <v>1</v>
      </c>
      <c r="BO268" s="3" t="b">
        <f>IF(IFERROR(INDEX($A$9:$X$304,$AS268,COLUMNS($AV$9:BO267)),"")=0,"",IFERROR(INDEX($A$9:$X$304,$AS268,COLUMNS($AV$9:BO267)),""))</f>
        <v>0</v>
      </c>
      <c r="BP268" s="3" t="b">
        <f>IF(IFERROR(INDEX($A$9:$X$304,$AS268,COLUMNS($AV$9:BP267)),"")=0,"",IFERROR(INDEX($A$9:$X$304,$AS268,COLUMNS($AV$9:BP267)),""))</f>
        <v>0</v>
      </c>
      <c r="BQ268" s="3" t="b">
        <f>IF(IFERROR(INDEX($A$9:$X$304,$AS268,COLUMNS($AV$9:BQ267)),"")=0,"",IFERROR(INDEX($A$9:$X$304,$AS268,COLUMNS($AV$9:BQ267)),""))</f>
        <v>0</v>
      </c>
      <c r="BR268" s="3" t="str">
        <f>IF(IFERROR(INDEX($A$9:$X$304,$AS268,COLUMNS($AV$9:BR267)),"")=0,"",IFERROR(INDEX($A$9:$X$304,$AS268,COLUMNS($AV$9:BR267)),""))</f>
        <v>http://www.epiccardgame.com/wp-content/uploads/2015/09/thundarus-215x300.jpg</v>
      </c>
      <c r="BS268" s="3" t="str">
        <f>IF(IFERROR(INDEX($A$9:$X$304,$AS268,COLUMNS($AV$9:BS267)),"")=0,"",IFERROR(INDEX($A$9:$X$304,$AS268,COLUMNS($AV$9:BS267)),""))</f>
        <v/>
      </c>
      <c r="BT268" s="3"/>
      <c r="BU268" s="15"/>
      <c r="BV268" t="s">
        <v>289</v>
      </c>
    </row>
    <row r="269" spans="1:74" ht="225" customHeight="1" x14ac:dyDescent="0.25">
      <c r="A269" t="s">
        <v>579</v>
      </c>
      <c r="B269">
        <v>1</v>
      </c>
      <c r="C269" t="s">
        <v>616</v>
      </c>
      <c r="E269" t="s">
        <v>620</v>
      </c>
      <c r="F269">
        <v>2</v>
      </c>
      <c r="G269">
        <v>4</v>
      </c>
      <c r="H269" t="s">
        <v>21</v>
      </c>
      <c r="I269" t="s">
        <v>674</v>
      </c>
      <c r="J269" t="s">
        <v>1029</v>
      </c>
      <c r="K269" t="s">
        <v>1042</v>
      </c>
      <c r="O269" t="s">
        <v>1074</v>
      </c>
      <c r="P269" t="s">
        <v>1112</v>
      </c>
      <c r="Q269" t="s">
        <v>1117</v>
      </c>
      <c r="R269" t="s">
        <v>1171</v>
      </c>
      <c r="S269" t="b">
        <v>1</v>
      </c>
      <c r="T269" t="b">
        <v>0</v>
      </c>
      <c r="U269" t="b">
        <v>0</v>
      </c>
      <c r="V269" t="b">
        <v>0</v>
      </c>
      <c r="W269" s="2" t="s">
        <v>1444</v>
      </c>
      <c r="X269" s="2"/>
      <c r="Y269" s="24">
        <v>261</v>
      </c>
      <c r="Z269">
        <f t="shared" si="80"/>
        <v>261</v>
      </c>
      <c r="AA269">
        <f t="shared" si="81"/>
        <v>261</v>
      </c>
      <c r="AB269">
        <f t="shared" si="82"/>
        <v>261</v>
      </c>
      <c r="AC269">
        <f t="shared" si="83"/>
        <v>0</v>
      </c>
      <c r="AD269">
        <f t="shared" si="84"/>
        <v>261</v>
      </c>
      <c r="AE269">
        <f t="shared" si="85"/>
        <v>261</v>
      </c>
      <c r="AF269">
        <f t="shared" si="86"/>
        <v>261</v>
      </c>
      <c r="AG269">
        <f t="shared" si="87"/>
        <v>261</v>
      </c>
      <c r="AH269">
        <f t="shared" si="88"/>
        <v>261</v>
      </c>
      <c r="AI269">
        <f t="shared" si="89"/>
        <v>261</v>
      </c>
      <c r="AJ269">
        <f t="shared" si="90"/>
        <v>261</v>
      </c>
      <c r="AK269">
        <f t="shared" si="91"/>
        <v>0</v>
      </c>
      <c r="AL269">
        <f t="shared" si="92"/>
        <v>0</v>
      </c>
      <c r="AM269">
        <f t="shared" si="93"/>
        <v>0</v>
      </c>
      <c r="AN269">
        <f t="shared" si="94"/>
        <v>261</v>
      </c>
      <c r="AO269">
        <f t="shared" si="95"/>
        <v>261</v>
      </c>
      <c r="AP269">
        <f t="shared" si="96"/>
        <v>261</v>
      </c>
      <c r="AQ269">
        <f t="shared" si="97"/>
        <v>261</v>
      </c>
      <c r="AR269" s="6">
        <f t="shared" si="98"/>
        <v>261</v>
      </c>
      <c r="AS269">
        <f t="shared" si="99"/>
        <v>261</v>
      </c>
      <c r="AV269" s="1" t="str">
        <f>IF(IFERROR(INDEX($A$9:$W$304,$AS269,COLUMNS($AV$9:AV268)),"")=0,"",IFERROR(INDEX($A$9:$W$304,$AS269,COLUMNS($AV$9:AV268)),""))</f>
        <v>Time Bender</v>
      </c>
      <c r="AW269" s="1">
        <f>IFERROR(INDEX($A$9:$W$304,$AS269,COLUMNS($AV$9:AW268)),"")</f>
        <v>1</v>
      </c>
      <c r="AX269" s="1" t="str">
        <f>IF(IFERROR(INDEX($A$9:$X$304,$AS269,COLUMNS($AV$9:AX268)),"")=0,"",IFERROR(INDEX($A$9:$X$304,$AS269,COLUMNS($AV$9:AX268)),""))</f>
        <v>SAGE</v>
      </c>
      <c r="AY269" s="1" t="str">
        <f>IF(IFERROR(INDEX($A$9:$X$304,$AS269,COLUMNS($AV$9:AY268)),"")=0,"",IFERROR(INDEX($A$9:$X$304,$AS269,COLUMNS($AV$9:AY268)),""))</f>
        <v/>
      </c>
      <c r="AZ269" s="1" t="str">
        <f>IF(IFERROR(INDEX($A$9:$X$304,$AS269,COLUMNS($AV$9:AZ268)),"")=0,"",IFERROR(INDEX($A$9:$X$304,$AS269,COLUMNS($AV$9:AZ268)),""))</f>
        <v>CHAMPION</v>
      </c>
      <c r="BA269" s="1">
        <f>IF(IFERROR(INDEX($A$9:$X$304,$AS269,COLUMNS($AV$9:BA268)),"")=0,"",IFERROR(INDEX($A$9:$X$304,$AS269,COLUMNS($AV$9:BA268)),""))</f>
        <v>2</v>
      </c>
      <c r="BB269" s="1">
        <f>IF(IFERROR(INDEX($A$9:$X$304,$AS269,COLUMNS($AV$9:BB268)),"")=0,"",IFERROR(INDEX($A$9:$X$304,$AS269,COLUMNS($AV$9:BB268)),""))</f>
        <v>4</v>
      </c>
      <c r="BC269" s="1" t="str">
        <f>IF(IFERROR(INDEX($A$9:$X$304,$AS269,COLUMNS($AV$9:BC268)),"")=0,"",IFERROR(INDEX($A$9:$X$304,$AS269,COLUMNS($AV$9:BC268)),""))</f>
        <v>Ambush</v>
      </c>
      <c r="BD269" s="1" t="str">
        <f>IF(IFERROR(INDEX($A$9:$X$304,$AS269,COLUMNS($AV$9:BD268)),"")=0,"",IFERROR(INDEX($A$9:$X$304,$AS269,COLUMNS($AV$9:BD268)),""))</f>
        <v>Loyalty 2 → Blitz</v>
      </c>
      <c r="BE269" s="1" t="str">
        <f>IF(IFERROR(INDEX($A$9:$X$304,$AS269,COLUMNS($AV$9:BE268)),"")=0,"",IFERROR(INDEX($A$9:$X$304,$AS269,COLUMNS($AV$9:BE268)),""))</f>
        <v>{expend}: Banish target {0} champion.</v>
      </c>
      <c r="BF269" s="1" t="str">
        <f>IF(IFERROR(INDEX($A$9:$X$304,$AS269,COLUMNS($AV$9:BF268)),"")=0,"",IFERROR(INDEX($A$9:$X$304,$AS269,COLUMNS($AV$9:BF268)),""))</f>
        <v>{expend}: Return target champion to its owner's hand.</v>
      </c>
      <c r="BG269" s="1" t="str">
        <f>IF(IFERROR(INDEX($A$9:$X$304,$AS269,COLUMNS($AV$9:BG268)),"")=0,"",IFERROR(INDEX($A$9:$X$304,$AS269,COLUMNS($AV$9:BG268)),""))</f>
        <v/>
      </c>
      <c r="BH269" s="1" t="str">
        <f>IF(IFERROR(INDEX($A$9:$X$304,$AS269,COLUMNS($AV$9:BH268)),"")=0,"",IFERROR(INDEX($A$9:$X$304,$AS269,COLUMNS($AV$9:BH268)),""))</f>
        <v/>
      </c>
      <c r="BI269" s="1" t="str">
        <f>IF(IFERROR(INDEX($A$9:$X$304,$AS269,COLUMNS($AV$9:BI268)),"")=0,"",IFERROR(INDEX($A$9:$X$304,$AS269,COLUMNS($AV$9:BI268)),""))</f>
        <v/>
      </c>
      <c r="BJ269" s="1" t="str">
        <f>IF(IFERROR(INDEX($A$9:$X$304,$AS269,COLUMNS($AV$9:BJ268)),"")=0,"",IFERROR(INDEX($A$9:$X$304,$AS269,COLUMNS($AV$9:BJ268)),""))</f>
        <v>HUMAN MAGE</v>
      </c>
      <c r="BK269" s="1" t="str">
        <f>IF(IFERROR(INDEX($A$9:$X$304,$AS269,COLUMNS($AV$9:BK268)),"")=0,"",IFERROR(INDEX($A$9:$X$304,$AS269,COLUMNS($AV$9:BK268)),""))</f>
        <v>Common</v>
      </c>
      <c r="BL269" s="1" t="str">
        <f>IF(IFERROR(INDEX($A$9:$X$304,$AS269,COLUMNS($AV$9:BL268)),"")=0,"",IFERROR(INDEX($A$9:$X$304,$AS269,COLUMNS($AV$9:BL268)),""))</f>
        <v>Antonis Papantoniou</v>
      </c>
      <c r="BM269" s="1" t="str">
        <f>IF(IFERROR(INDEX($A$9:$X$304,$AS269,COLUMNS($AV$9:BM268)),"")=0,"",IFERROR(INDEX($A$9:$X$304,$AS269,COLUMNS($AV$9:BM268)),""))</f>
        <v>Base Set</v>
      </c>
      <c r="BN269" s="3" t="b">
        <f>IF(IFERROR(INDEX($A$9:$X$304,$AS269,COLUMNS($AV$9:BN268)),"")=0,"",IFERROR(INDEX($A$9:$X$304,$AS269,COLUMNS($AV$9:BN268)),""))</f>
        <v>1</v>
      </c>
      <c r="BO269" s="3" t="b">
        <f>IF(IFERROR(INDEX($A$9:$X$304,$AS269,COLUMNS($AV$9:BO268)),"")=0,"",IFERROR(INDEX($A$9:$X$304,$AS269,COLUMNS($AV$9:BO268)),""))</f>
        <v>0</v>
      </c>
      <c r="BP269" s="3" t="b">
        <f>IF(IFERROR(INDEX($A$9:$X$304,$AS269,COLUMNS($AV$9:BP268)),"")=0,"",IFERROR(INDEX($A$9:$X$304,$AS269,COLUMNS($AV$9:BP268)),""))</f>
        <v>0</v>
      </c>
      <c r="BQ269" s="3" t="b">
        <f>IF(IFERROR(INDEX($A$9:$X$304,$AS269,COLUMNS($AV$9:BQ268)),"")=0,"",IFERROR(INDEX($A$9:$X$304,$AS269,COLUMNS($AV$9:BQ268)),""))</f>
        <v>0</v>
      </c>
      <c r="BR269" s="3" t="str">
        <f>IF(IFERROR(INDEX($A$9:$X$304,$AS269,COLUMNS($AV$9:BR268)),"")=0,"",IFERROR(INDEX($A$9:$X$304,$AS269,COLUMNS($AV$9:BR268)),""))</f>
        <v>http://www.epiccardgame.com/wp-content/uploads/2015/09/time_bender-215x300.jpg</v>
      </c>
      <c r="BS269" s="3" t="str">
        <f>IF(IFERROR(INDEX($A$9:$X$304,$AS269,COLUMNS($AV$9:BS268)),"")=0,"",IFERROR(INDEX($A$9:$X$304,$AS269,COLUMNS($AV$9:BS268)),""))</f>
        <v/>
      </c>
      <c r="BT269" s="3"/>
      <c r="BU269" s="15"/>
      <c r="BV269" t="s">
        <v>290</v>
      </c>
    </row>
    <row r="270" spans="1:74" ht="225" customHeight="1" x14ac:dyDescent="0.25">
      <c r="A270" t="s">
        <v>580</v>
      </c>
      <c r="B270">
        <v>1</v>
      </c>
      <c r="C270" t="s">
        <v>616</v>
      </c>
      <c r="E270" t="s">
        <v>620</v>
      </c>
      <c r="F270">
        <v>1</v>
      </c>
      <c r="G270">
        <v>1</v>
      </c>
      <c r="H270" t="s">
        <v>21</v>
      </c>
      <c r="I270" t="s">
        <v>947</v>
      </c>
      <c r="J270" t="s">
        <v>1030</v>
      </c>
      <c r="O270" t="s">
        <v>1108</v>
      </c>
      <c r="P270" t="s">
        <v>1113</v>
      </c>
      <c r="Q270" t="s">
        <v>1135</v>
      </c>
      <c r="R270" t="s">
        <v>1169</v>
      </c>
      <c r="S270" t="b">
        <v>1</v>
      </c>
      <c r="T270" t="b">
        <v>0</v>
      </c>
      <c r="U270" t="b">
        <v>0</v>
      </c>
      <c r="V270" t="b">
        <v>0</v>
      </c>
      <c r="W270" s="2" t="s">
        <v>1445</v>
      </c>
      <c r="X270" s="2"/>
      <c r="Y270" s="24">
        <v>262</v>
      </c>
      <c r="Z270">
        <f t="shared" si="80"/>
        <v>262</v>
      </c>
      <c r="AA270">
        <f t="shared" si="81"/>
        <v>262</v>
      </c>
      <c r="AB270">
        <f t="shared" si="82"/>
        <v>262</v>
      </c>
      <c r="AC270">
        <f t="shared" si="83"/>
        <v>0</v>
      </c>
      <c r="AD270">
        <f t="shared" si="84"/>
        <v>262</v>
      </c>
      <c r="AE270">
        <f t="shared" si="85"/>
        <v>262</v>
      </c>
      <c r="AF270">
        <f t="shared" si="86"/>
        <v>262</v>
      </c>
      <c r="AG270">
        <f t="shared" si="87"/>
        <v>262</v>
      </c>
      <c r="AH270">
        <f t="shared" si="88"/>
        <v>262</v>
      </c>
      <c r="AI270">
        <f t="shared" si="89"/>
        <v>262</v>
      </c>
      <c r="AJ270">
        <f t="shared" si="90"/>
        <v>0</v>
      </c>
      <c r="AK270">
        <f t="shared" si="91"/>
        <v>0</v>
      </c>
      <c r="AL270">
        <f t="shared" si="92"/>
        <v>0</v>
      </c>
      <c r="AM270">
        <f t="shared" si="93"/>
        <v>0</v>
      </c>
      <c r="AN270">
        <f t="shared" si="94"/>
        <v>262</v>
      </c>
      <c r="AO270">
        <f t="shared" si="95"/>
        <v>262</v>
      </c>
      <c r="AP270">
        <f t="shared" si="96"/>
        <v>262</v>
      </c>
      <c r="AQ270">
        <f t="shared" si="97"/>
        <v>262</v>
      </c>
      <c r="AR270" s="6">
        <f t="shared" si="98"/>
        <v>262</v>
      </c>
      <c r="AS270">
        <f t="shared" si="99"/>
        <v>262</v>
      </c>
      <c r="AV270" s="1" t="str">
        <f>IF(IFERROR(INDEX($A$9:$W$304,$AS270,COLUMNS($AV$9:AV269)),"")=0,"",IFERROR(INDEX($A$9:$W$304,$AS270,COLUMNS($AV$9:AV269)),""))</f>
        <v>Time Master</v>
      </c>
      <c r="AW270" s="1">
        <f>IFERROR(INDEX($A$9:$W$304,$AS270,COLUMNS($AV$9:AW269)),"")</f>
        <v>1</v>
      </c>
      <c r="AX270" s="1" t="str">
        <f>IF(IFERROR(INDEX($A$9:$X$304,$AS270,COLUMNS($AV$9:AX269)),"")=0,"",IFERROR(INDEX($A$9:$X$304,$AS270,COLUMNS($AV$9:AX269)),""))</f>
        <v>SAGE</v>
      </c>
      <c r="AY270" s="1" t="str">
        <f>IF(IFERROR(INDEX($A$9:$X$304,$AS270,COLUMNS($AV$9:AY269)),"")=0,"",IFERROR(INDEX($A$9:$X$304,$AS270,COLUMNS($AV$9:AY269)),""))</f>
        <v/>
      </c>
      <c r="AZ270" s="1" t="str">
        <f>IF(IFERROR(INDEX($A$9:$X$304,$AS270,COLUMNS($AV$9:AZ269)),"")=0,"",IFERROR(INDEX($A$9:$X$304,$AS270,COLUMNS($AV$9:AZ269)),""))</f>
        <v>CHAMPION</v>
      </c>
      <c r="BA270" s="1">
        <f>IF(IFERROR(INDEX($A$9:$X$304,$AS270,COLUMNS($AV$9:BA269)),"")=0,"",IFERROR(INDEX($A$9:$X$304,$AS270,COLUMNS($AV$9:BA269)),""))</f>
        <v>1</v>
      </c>
      <c r="BB270" s="1">
        <f>IF(IFERROR(INDEX($A$9:$X$304,$AS270,COLUMNS($AV$9:BB269)),"")=0,"",IFERROR(INDEX($A$9:$X$304,$AS270,COLUMNS($AV$9:BB269)),""))</f>
        <v>1</v>
      </c>
      <c r="BC270" s="1" t="str">
        <f>IF(IFERROR(INDEX($A$9:$X$304,$AS270,COLUMNS($AV$9:BC269)),"")=0,"",IFERROR(INDEX($A$9:$X$304,$AS270,COLUMNS($AV$9:BC269)),""))</f>
        <v>Ambush</v>
      </c>
      <c r="BD270" s="1" t="str">
        <f>IF(IFERROR(INDEX($A$9:$X$304,$AS270,COLUMNS($AV$9:BD269)),"")=0,"",IFERROR(INDEX($A$9:$X$304,$AS270,COLUMNS($AV$9:BD269)),""))</f>
        <v>{expend}: Draw a card.</v>
      </c>
      <c r="BE270" s="1" t="str">
        <f>IF(IFERROR(INDEX($A$9:$X$304,$AS270,COLUMNS($AV$9:BE269)),"")=0,"",IFERROR(INDEX($A$9:$X$304,$AS270,COLUMNS($AV$9:BE269)),""))</f>
        <v>{expend}: Gain {1}.</v>
      </c>
      <c r="BF270" s="1" t="str">
        <f>IF(IFERROR(INDEX($A$9:$X$304,$AS270,COLUMNS($AV$9:BF269)),"")=0,"",IFERROR(INDEX($A$9:$X$304,$AS270,COLUMNS($AV$9:BF269)),""))</f>
        <v/>
      </c>
      <c r="BG270" s="1" t="str">
        <f>IF(IFERROR(INDEX($A$9:$X$304,$AS270,COLUMNS($AV$9:BG269)),"")=0,"",IFERROR(INDEX($A$9:$X$304,$AS270,COLUMNS($AV$9:BG269)),""))</f>
        <v/>
      </c>
      <c r="BH270" s="1" t="str">
        <f>IF(IFERROR(INDEX($A$9:$X$304,$AS270,COLUMNS($AV$9:BH269)),"")=0,"",IFERROR(INDEX($A$9:$X$304,$AS270,COLUMNS($AV$9:BH269)),""))</f>
        <v/>
      </c>
      <c r="BI270" s="1" t="str">
        <f>IF(IFERROR(INDEX($A$9:$X$304,$AS270,COLUMNS($AV$9:BI269)),"")=0,"",IFERROR(INDEX($A$9:$X$304,$AS270,COLUMNS($AV$9:BI269)),""))</f>
        <v/>
      </c>
      <c r="BJ270" s="1" t="str">
        <f>IF(IFERROR(INDEX($A$9:$X$304,$AS270,COLUMNS($AV$9:BJ269)),"")=0,"",IFERROR(INDEX($A$9:$X$304,$AS270,COLUMNS($AV$9:BJ269)),""))</f>
        <v>HUMAN WIZARD</v>
      </c>
      <c r="BK270" s="1" t="str">
        <f>IF(IFERROR(INDEX($A$9:$X$304,$AS270,COLUMNS($AV$9:BK269)),"")=0,"",IFERROR(INDEX($A$9:$X$304,$AS270,COLUMNS($AV$9:BK269)),""))</f>
        <v>Rare</v>
      </c>
      <c r="BL270" s="1" t="str">
        <f>IF(IFERROR(INDEX($A$9:$X$304,$AS270,COLUMNS($AV$9:BL269)),"")=0,"",IFERROR(INDEX($A$9:$X$304,$AS270,COLUMNS($AV$9:BL269)),""))</f>
        <v>Trevor Smith</v>
      </c>
      <c r="BM270" s="1" t="str">
        <f>IF(IFERROR(INDEX($A$9:$X$304,$AS270,COLUMNS($AV$9:BM269)),"")=0,"",IFERROR(INDEX($A$9:$X$304,$AS270,COLUMNS($AV$9:BM269)),""))</f>
        <v>Kickstarter Promo</v>
      </c>
      <c r="BN270" s="3" t="b">
        <f>IF(IFERROR(INDEX($A$9:$X$304,$AS270,COLUMNS($AV$9:BN269)),"")=0,"",IFERROR(INDEX($A$9:$X$304,$AS270,COLUMNS($AV$9:BN269)),""))</f>
        <v>1</v>
      </c>
      <c r="BO270" s="3" t="b">
        <f>IF(IFERROR(INDEX($A$9:$X$304,$AS270,COLUMNS($AV$9:BO269)),"")=0,"",IFERROR(INDEX($A$9:$X$304,$AS270,COLUMNS($AV$9:BO269)),""))</f>
        <v>0</v>
      </c>
      <c r="BP270" s="3" t="b">
        <f>IF(IFERROR(INDEX($A$9:$X$304,$AS270,COLUMNS($AV$9:BP269)),"")=0,"",IFERROR(INDEX($A$9:$X$304,$AS270,COLUMNS($AV$9:BP269)),""))</f>
        <v>0</v>
      </c>
      <c r="BQ270" s="3" t="b">
        <f>IF(IFERROR(INDEX($A$9:$X$304,$AS270,COLUMNS($AV$9:BQ269)),"")=0,"",IFERROR(INDEX($A$9:$X$304,$AS270,COLUMNS($AV$9:BQ269)),""))</f>
        <v>0</v>
      </c>
      <c r="BR270" s="3" t="str">
        <f>IF(IFERROR(INDEX($A$9:$X$304,$AS270,COLUMNS($AV$9:BR269)),"")=0,"",IFERROR(INDEX($A$9:$X$304,$AS270,COLUMNS($AV$9:BR269)),""))</f>
        <v>http://www.epiccardgame.com/wp-content/uploads/2015/09/time_master-215x300.jpg</v>
      </c>
      <c r="BS270" s="3" t="str">
        <f>IF(IFERROR(INDEX($A$9:$X$304,$AS270,COLUMNS($AV$9:BS269)),"")=0,"",IFERROR(INDEX($A$9:$X$304,$AS270,COLUMNS($AV$9:BS269)),""))</f>
        <v/>
      </c>
      <c r="BT270" s="3"/>
      <c r="BU270" s="15"/>
      <c r="BV270" t="s">
        <v>291</v>
      </c>
    </row>
    <row r="271" spans="1:74" ht="225" customHeight="1" x14ac:dyDescent="0.25">
      <c r="A271" t="s">
        <v>581</v>
      </c>
      <c r="B271">
        <v>1</v>
      </c>
      <c r="C271" t="s">
        <v>616</v>
      </c>
      <c r="E271" t="s">
        <v>620</v>
      </c>
      <c r="F271">
        <v>10</v>
      </c>
      <c r="G271">
        <v>10</v>
      </c>
      <c r="H271" t="s">
        <v>748</v>
      </c>
      <c r="I271" t="s">
        <v>948</v>
      </c>
      <c r="O271" t="s">
        <v>1074</v>
      </c>
      <c r="P271" t="s">
        <v>1112</v>
      </c>
      <c r="Q271" t="s">
        <v>1118</v>
      </c>
      <c r="R271" t="s">
        <v>1171</v>
      </c>
      <c r="S271" t="b">
        <v>1</v>
      </c>
      <c r="T271" t="b">
        <v>0</v>
      </c>
      <c r="U271" t="b">
        <v>0</v>
      </c>
      <c r="V271" t="b">
        <v>0</v>
      </c>
      <c r="W271" s="2" t="s">
        <v>1446</v>
      </c>
      <c r="X271" s="2"/>
      <c r="Y271" s="24">
        <v>263</v>
      </c>
      <c r="Z271">
        <f t="shared" si="80"/>
        <v>263</v>
      </c>
      <c r="AA271">
        <f t="shared" si="81"/>
        <v>263</v>
      </c>
      <c r="AB271">
        <f t="shared" si="82"/>
        <v>263</v>
      </c>
      <c r="AC271">
        <f t="shared" si="83"/>
        <v>0</v>
      </c>
      <c r="AD271">
        <f t="shared" si="84"/>
        <v>263</v>
      </c>
      <c r="AE271">
        <f t="shared" si="85"/>
        <v>263</v>
      </c>
      <c r="AF271">
        <f t="shared" si="86"/>
        <v>263</v>
      </c>
      <c r="AG271">
        <f t="shared" si="87"/>
        <v>263</v>
      </c>
      <c r="AH271">
        <f t="shared" si="88"/>
        <v>263</v>
      </c>
      <c r="AI271">
        <f t="shared" si="89"/>
        <v>0</v>
      </c>
      <c r="AJ271">
        <f t="shared" si="90"/>
        <v>0</v>
      </c>
      <c r="AK271">
        <f t="shared" si="91"/>
        <v>0</v>
      </c>
      <c r="AL271">
        <f t="shared" si="92"/>
        <v>0</v>
      </c>
      <c r="AM271">
        <f t="shared" si="93"/>
        <v>0</v>
      </c>
      <c r="AN271">
        <f t="shared" si="94"/>
        <v>263</v>
      </c>
      <c r="AO271">
        <f t="shared" si="95"/>
        <v>263</v>
      </c>
      <c r="AP271">
        <f t="shared" si="96"/>
        <v>263</v>
      </c>
      <c r="AQ271">
        <f t="shared" si="97"/>
        <v>263</v>
      </c>
      <c r="AR271" s="6">
        <f t="shared" si="98"/>
        <v>263</v>
      </c>
      <c r="AS271">
        <f t="shared" si="99"/>
        <v>263</v>
      </c>
      <c r="AV271" s="1" t="str">
        <f>IF(IFERROR(INDEX($A$9:$W$304,$AS271,COLUMNS($AV$9:AV270)),"")=0,"",IFERROR(INDEX($A$9:$W$304,$AS271,COLUMNS($AV$9:AV270)),""))</f>
        <v>Time Walker</v>
      </c>
      <c r="AW271" s="1">
        <f>IFERROR(INDEX($A$9:$W$304,$AS271,COLUMNS($AV$9:AW270)),"")</f>
        <v>1</v>
      </c>
      <c r="AX271" s="1" t="str">
        <f>IF(IFERROR(INDEX($A$9:$X$304,$AS271,COLUMNS($AV$9:AX270)),"")=0,"",IFERROR(INDEX($A$9:$X$304,$AS271,COLUMNS($AV$9:AX270)),""))</f>
        <v>SAGE</v>
      </c>
      <c r="AY271" s="1" t="str">
        <f>IF(IFERROR(INDEX($A$9:$X$304,$AS271,COLUMNS($AV$9:AY270)),"")=0,"",IFERROR(INDEX($A$9:$X$304,$AS271,COLUMNS($AV$9:AY270)),""))</f>
        <v/>
      </c>
      <c r="AZ271" s="1" t="str">
        <f>IF(IFERROR(INDEX($A$9:$X$304,$AS271,COLUMNS($AV$9:AZ270)),"")=0,"",IFERROR(INDEX($A$9:$X$304,$AS271,COLUMNS($AV$9:AZ270)),""))</f>
        <v>CHAMPION</v>
      </c>
      <c r="BA271" s="1">
        <f>IF(IFERROR(INDEX($A$9:$X$304,$AS271,COLUMNS($AV$9:BA270)),"")=0,"",IFERROR(INDEX($A$9:$X$304,$AS271,COLUMNS($AV$9:BA270)),""))</f>
        <v>10</v>
      </c>
      <c r="BB271" s="1">
        <f>IF(IFERROR(INDEX($A$9:$X$304,$AS271,COLUMNS($AV$9:BB270)),"")=0,"",IFERROR(INDEX($A$9:$X$304,$AS271,COLUMNS($AV$9:BB270)),""))</f>
        <v>10</v>
      </c>
      <c r="BC271" s="1" t="str">
        <f>IF(IFERROR(INDEX($A$9:$X$304,$AS271,COLUMNS($AV$9:BC270)),"")=0,"",IFERROR(INDEX($A$9:$X$304,$AS271,COLUMNS($AV$9:BC270)),""))</f>
        <v>Loyalty 2 → Return all other champions to their owner's hands.</v>
      </c>
      <c r="BD271" s="1" t="str">
        <f>IF(IFERROR(INDEX($A$9:$X$304,$AS271,COLUMNS($AV$9:BD270)),"")=0,"",IFERROR(INDEX($A$9:$X$304,$AS271,COLUMNS($AV$9:BD270)),""))</f>
        <v>("Loyalty 2" means when this card comes into play, if you reveal two cards of the same alignment as this card, you gain the effect.)</v>
      </c>
      <c r="BE271" s="1" t="str">
        <f>IF(IFERROR(INDEX($A$9:$X$304,$AS271,COLUMNS($AV$9:BE270)),"")=0,"",IFERROR(INDEX($A$9:$X$304,$AS271,COLUMNS($AV$9:BE270)),""))</f>
        <v/>
      </c>
      <c r="BF271" s="1" t="str">
        <f>IF(IFERROR(INDEX($A$9:$X$304,$AS271,COLUMNS($AV$9:BF270)),"")=0,"",IFERROR(INDEX($A$9:$X$304,$AS271,COLUMNS($AV$9:BF270)),""))</f>
        <v/>
      </c>
      <c r="BG271" s="1" t="str">
        <f>IF(IFERROR(INDEX($A$9:$X$304,$AS271,COLUMNS($AV$9:BG270)),"")=0,"",IFERROR(INDEX($A$9:$X$304,$AS271,COLUMNS($AV$9:BG270)),""))</f>
        <v/>
      </c>
      <c r="BH271" s="1" t="str">
        <f>IF(IFERROR(INDEX($A$9:$X$304,$AS271,COLUMNS($AV$9:BH270)),"")=0,"",IFERROR(INDEX($A$9:$X$304,$AS271,COLUMNS($AV$9:BH270)),""))</f>
        <v/>
      </c>
      <c r="BI271" s="1" t="str">
        <f>IF(IFERROR(INDEX($A$9:$X$304,$AS271,COLUMNS($AV$9:BI270)),"")=0,"",IFERROR(INDEX($A$9:$X$304,$AS271,COLUMNS($AV$9:BI270)),""))</f>
        <v/>
      </c>
      <c r="BJ271" s="1" t="str">
        <f>IF(IFERROR(INDEX($A$9:$X$304,$AS271,COLUMNS($AV$9:BJ270)),"")=0,"",IFERROR(INDEX($A$9:$X$304,$AS271,COLUMNS($AV$9:BJ270)),""))</f>
        <v>HUMAN MAGE</v>
      </c>
      <c r="BK271" s="1" t="str">
        <f>IF(IFERROR(INDEX($A$9:$X$304,$AS271,COLUMNS($AV$9:BK270)),"")=0,"",IFERROR(INDEX($A$9:$X$304,$AS271,COLUMNS($AV$9:BK270)),""))</f>
        <v>Common</v>
      </c>
      <c r="BL271" s="1" t="str">
        <f>IF(IFERROR(INDEX($A$9:$X$304,$AS271,COLUMNS($AV$9:BL270)),"")=0,"",IFERROR(INDEX($A$9:$X$304,$AS271,COLUMNS($AV$9:BL270)),""))</f>
        <v>L.Sean</v>
      </c>
      <c r="BM271" s="1" t="str">
        <f>IF(IFERROR(INDEX($A$9:$X$304,$AS271,COLUMNS($AV$9:BM270)),"")=0,"",IFERROR(INDEX($A$9:$X$304,$AS271,COLUMNS($AV$9:BM270)),""))</f>
        <v>Base Set</v>
      </c>
      <c r="BN271" s="3" t="b">
        <f>IF(IFERROR(INDEX($A$9:$X$304,$AS271,COLUMNS($AV$9:BN270)),"")=0,"",IFERROR(INDEX($A$9:$X$304,$AS271,COLUMNS($AV$9:BN270)),""))</f>
        <v>1</v>
      </c>
      <c r="BO271" s="3" t="b">
        <f>IF(IFERROR(INDEX($A$9:$X$304,$AS271,COLUMNS($AV$9:BO270)),"")=0,"",IFERROR(INDEX($A$9:$X$304,$AS271,COLUMNS($AV$9:BO270)),""))</f>
        <v>0</v>
      </c>
      <c r="BP271" s="3" t="b">
        <f>IF(IFERROR(INDEX($A$9:$X$304,$AS271,COLUMNS($AV$9:BP270)),"")=0,"",IFERROR(INDEX($A$9:$X$304,$AS271,COLUMNS($AV$9:BP270)),""))</f>
        <v>0</v>
      </c>
      <c r="BQ271" s="3" t="b">
        <f>IF(IFERROR(INDEX($A$9:$X$304,$AS271,COLUMNS($AV$9:BQ270)),"")=0,"",IFERROR(INDEX($A$9:$X$304,$AS271,COLUMNS($AV$9:BQ270)),""))</f>
        <v>0</v>
      </c>
      <c r="BR271" s="3" t="str">
        <f>IF(IFERROR(INDEX($A$9:$X$304,$AS271,COLUMNS($AV$9:BR270)),"")=0,"",IFERROR(INDEX($A$9:$X$304,$AS271,COLUMNS($AV$9:BR270)),""))</f>
        <v>http://www.epiccardgame.com/wp-content/uploads/2015/09/time_walker-215x300.jpg</v>
      </c>
      <c r="BS271" s="3" t="str">
        <f>IF(IFERROR(INDEX($A$9:$X$304,$AS271,COLUMNS($AV$9:BS270)),"")=0,"",IFERROR(INDEX($A$9:$X$304,$AS271,COLUMNS($AV$9:BS270)),""))</f>
        <v/>
      </c>
      <c r="BT271" s="3"/>
      <c r="BU271" s="15"/>
      <c r="BV271" t="s">
        <v>292</v>
      </c>
    </row>
    <row r="272" spans="1:74" ht="225" customHeight="1" x14ac:dyDescent="0.25">
      <c r="A272" t="s">
        <v>582</v>
      </c>
      <c r="B272">
        <v>1</v>
      </c>
      <c r="C272" t="s">
        <v>616</v>
      </c>
      <c r="E272" t="s">
        <v>619</v>
      </c>
      <c r="H272" t="s">
        <v>627</v>
      </c>
      <c r="I272" t="s">
        <v>949</v>
      </c>
      <c r="J272" t="s">
        <v>1031</v>
      </c>
      <c r="K272" t="s">
        <v>1035</v>
      </c>
      <c r="O272" t="s">
        <v>1062</v>
      </c>
      <c r="P272" t="s">
        <v>1112</v>
      </c>
      <c r="Q272" t="s">
        <v>1116</v>
      </c>
      <c r="R272" t="s">
        <v>1171</v>
      </c>
      <c r="S272" t="b">
        <v>1</v>
      </c>
      <c r="T272" t="b">
        <v>1</v>
      </c>
      <c r="U272" t="b">
        <v>0</v>
      </c>
      <c r="V272" t="b">
        <v>0</v>
      </c>
      <c r="W272" s="2" t="s">
        <v>1447</v>
      </c>
      <c r="X272" s="2"/>
      <c r="Y272" s="24">
        <v>264</v>
      </c>
      <c r="Z272">
        <f t="shared" si="80"/>
        <v>264</v>
      </c>
      <c r="AA272">
        <f t="shared" si="81"/>
        <v>264</v>
      </c>
      <c r="AB272">
        <f t="shared" si="82"/>
        <v>264</v>
      </c>
      <c r="AC272">
        <f t="shared" si="83"/>
        <v>0</v>
      </c>
      <c r="AD272">
        <f t="shared" si="84"/>
        <v>264</v>
      </c>
      <c r="AE272">
        <f t="shared" si="85"/>
        <v>0</v>
      </c>
      <c r="AF272">
        <f t="shared" si="86"/>
        <v>0</v>
      </c>
      <c r="AG272">
        <f t="shared" si="87"/>
        <v>264</v>
      </c>
      <c r="AH272">
        <f t="shared" si="88"/>
        <v>264</v>
      </c>
      <c r="AI272">
        <f t="shared" si="89"/>
        <v>264</v>
      </c>
      <c r="AJ272">
        <f t="shared" si="90"/>
        <v>264</v>
      </c>
      <c r="AK272">
        <f t="shared" si="91"/>
        <v>0</v>
      </c>
      <c r="AL272">
        <f t="shared" si="92"/>
        <v>0</v>
      </c>
      <c r="AM272">
        <f t="shared" si="93"/>
        <v>0</v>
      </c>
      <c r="AN272">
        <f t="shared" si="94"/>
        <v>264</v>
      </c>
      <c r="AO272">
        <f t="shared" si="95"/>
        <v>264</v>
      </c>
      <c r="AP272">
        <f t="shared" si="96"/>
        <v>264</v>
      </c>
      <c r="AQ272">
        <f t="shared" si="97"/>
        <v>264</v>
      </c>
      <c r="AR272" s="6">
        <f t="shared" si="98"/>
        <v>264</v>
      </c>
      <c r="AS272">
        <f t="shared" si="99"/>
        <v>264</v>
      </c>
      <c r="AV272" s="1" t="str">
        <f>IF(IFERROR(INDEX($A$9:$W$304,$AS272,COLUMNS($AV$9:AV271)),"")=0,"",IFERROR(INDEX($A$9:$W$304,$AS272,COLUMNS($AV$9:AV271)),""))</f>
        <v>Transform</v>
      </c>
      <c r="AW272" s="1">
        <f>IFERROR(INDEX($A$9:$W$304,$AS272,COLUMNS($AV$9:AW271)),"")</f>
        <v>1</v>
      </c>
      <c r="AX272" s="1" t="str">
        <f>IF(IFERROR(INDEX($A$9:$X$304,$AS272,COLUMNS($AV$9:AX271)),"")=0,"",IFERROR(INDEX($A$9:$X$304,$AS272,COLUMNS($AV$9:AX271)),""))</f>
        <v>SAGE</v>
      </c>
      <c r="AY272" s="1" t="str">
        <f>IF(IFERROR(INDEX($A$9:$X$304,$AS272,COLUMNS($AV$9:AY271)),"")=0,"",IFERROR(INDEX($A$9:$X$304,$AS272,COLUMNS($AV$9:AY271)),""))</f>
        <v/>
      </c>
      <c r="AZ272" s="1" t="str">
        <f>IF(IFERROR(INDEX($A$9:$X$304,$AS272,COLUMNS($AV$9:AZ271)),"")=0,"",IFERROR(INDEX($A$9:$X$304,$AS272,COLUMNS($AV$9:AZ271)),""))</f>
        <v>EVENT</v>
      </c>
      <c r="BA272" s="1" t="str">
        <f>IF(IFERROR(INDEX($A$9:$X$304,$AS272,COLUMNS($AV$9:BA271)),"")=0,"",IFERROR(INDEX($A$9:$X$304,$AS272,COLUMNS($AV$9:BA271)),""))</f>
        <v/>
      </c>
      <c r="BB272" s="1" t="str">
        <f>IF(IFERROR(INDEX($A$9:$X$304,$AS272,COLUMNS($AV$9:BB271)),"")=0,"",IFERROR(INDEX($A$9:$X$304,$AS272,COLUMNS($AV$9:BB271)),""))</f>
        <v/>
      </c>
      <c r="BC272" s="1" t="str">
        <f>IF(IFERROR(INDEX($A$9:$X$304,$AS272,COLUMNS($AV$9:BC271)),"")=0,"",IFERROR(INDEX($A$9:$X$304,$AS272,COLUMNS($AV$9:BC271)),""))</f>
        <v>Draw two cards.</v>
      </c>
      <c r="BD272" s="1" t="str">
        <f>IF(IFERROR(INDEX($A$9:$X$304,$AS272,COLUMNS($AV$9:BD271)),"")=0,"",IFERROR(INDEX($A$9:$X$304,$AS272,COLUMNS($AV$9:BD271)),""))</f>
        <v>Transform target champion into a wolf token.</v>
      </c>
      <c r="BE272" s="1" t="str">
        <f>IF(IFERROR(INDEX($A$9:$X$304,$AS272,COLUMNS($AV$9:BE271)),"")=0,"",IFERROR(INDEX($A$9:$X$304,$AS272,COLUMNS($AV$9:BE271)),""))</f>
        <v>(Put it on the bottom of its owner’s deck. Its controller puts a wolf token into play.)</v>
      </c>
      <c r="BF272" s="1" t="str">
        <f>IF(IFERROR(INDEX($A$9:$X$304,$AS272,COLUMNS($AV$9:BF271)),"")=0,"",IFERROR(INDEX($A$9:$X$304,$AS272,COLUMNS($AV$9:BF271)),""))</f>
        <v>(This card received errata in November 2015.)</v>
      </c>
      <c r="BG272" s="1" t="str">
        <f>IF(IFERROR(INDEX($A$9:$X$304,$AS272,COLUMNS($AV$9:BG271)),"")=0,"",IFERROR(INDEX($A$9:$X$304,$AS272,COLUMNS($AV$9:BG271)),""))</f>
        <v/>
      </c>
      <c r="BH272" s="1" t="str">
        <f>IF(IFERROR(INDEX($A$9:$X$304,$AS272,COLUMNS($AV$9:BH271)),"")=0,"",IFERROR(INDEX($A$9:$X$304,$AS272,COLUMNS($AV$9:BH271)),""))</f>
        <v/>
      </c>
      <c r="BI272" s="1" t="str">
        <f>IF(IFERROR(INDEX($A$9:$X$304,$AS272,COLUMNS($AV$9:BI271)),"")=0,"",IFERROR(INDEX($A$9:$X$304,$AS272,COLUMNS($AV$9:BI271)),""))</f>
        <v/>
      </c>
      <c r="BJ272" s="1" t="str">
        <f>IF(IFERROR(INDEX($A$9:$X$304,$AS272,COLUMNS($AV$9:BJ271)),"")=0,"",IFERROR(INDEX($A$9:$X$304,$AS272,COLUMNS($AV$9:BJ271)),""))</f>
        <v>None</v>
      </c>
      <c r="BK272" s="1" t="str">
        <f>IF(IFERROR(INDEX($A$9:$X$304,$AS272,COLUMNS($AV$9:BK271)),"")=0,"",IFERROR(INDEX($A$9:$X$304,$AS272,COLUMNS($AV$9:BK271)),""))</f>
        <v>Common</v>
      </c>
      <c r="BL272" s="1" t="str">
        <f>IF(IFERROR(INDEX($A$9:$X$304,$AS272,COLUMNS($AV$9:BL271)),"")=0,"",IFERROR(INDEX($A$9:$X$304,$AS272,COLUMNS($AV$9:BL271)),""))</f>
        <v>Apsara</v>
      </c>
      <c r="BM272" s="1" t="str">
        <f>IF(IFERROR(INDEX($A$9:$X$304,$AS272,COLUMNS($AV$9:BM271)),"")=0,"",IFERROR(INDEX($A$9:$X$304,$AS272,COLUMNS($AV$9:BM271)),""))</f>
        <v>Base Set</v>
      </c>
      <c r="BN272" s="3" t="b">
        <f>IF(IFERROR(INDEX($A$9:$X$304,$AS272,COLUMNS($AV$9:BN271)),"")=0,"",IFERROR(INDEX($A$9:$X$304,$AS272,COLUMNS($AV$9:BN271)),""))</f>
        <v>1</v>
      </c>
      <c r="BO272" s="3" t="b">
        <f>IF(IFERROR(INDEX($A$9:$X$304,$AS272,COLUMNS($AV$9:BO271)),"")=0,"",IFERROR(INDEX($A$9:$X$304,$AS272,COLUMNS($AV$9:BO271)),""))</f>
        <v>1</v>
      </c>
      <c r="BP272" s="3" t="b">
        <f>IF(IFERROR(INDEX($A$9:$X$304,$AS272,COLUMNS($AV$9:BP271)),"")=0,"",IFERROR(INDEX($A$9:$X$304,$AS272,COLUMNS($AV$9:BP271)),""))</f>
        <v>0</v>
      </c>
      <c r="BQ272" s="3" t="b">
        <f>IF(IFERROR(INDEX($A$9:$X$304,$AS272,COLUMNS($AV$9:BQ271)),"")=0,"",IFERROR(INDEX($A$9:$X$304,$AS272,COLUMNS($AV$9:BQ271)),""))</f>
        <v>0</v>
      </c>
      <c r="BR272" s="3" t="str">
        <f>IF(IFERROR(INDEX($A$9:$X$304,$AS272,COLUMNS($AV$9:BR271)),"")=0,"",IFERROR(INDEX($A$9:$X$304,$AS272,COLUMNS($AV$9:BR271)),""))</f>
        <v>http://www.epiccardgame.com/wp-content/uploads/2015/09/transform-215x300.jpg</v>
      </c>
      <c r="BS272" s="3" t="str">
        <f>IF(IFERROR(INDEX($A$9:$X$304,$AS272,COLUMNS($AV$9:BS271)),"")=0,"",IFERROR(INDEX($A$9:$X$304,$AS272,COLUMNS($AV$9:BS271)),""))</f>
        <v/>
      </c>
      <c r="BT272" s="3"/>
      <c r="BU272" s="15"/>
      <c r="BV272" t="s">
        <v>293</v>
      </c>
    </row>
    <row r="273" spans="1:74" ht="225.2" customHeight="1" x14ac:dyDescent="0.25">
      <c r="A273" t="s">
        <v>583</v>
      </c>
      <c r="B273">
        <v>1</v>
      </c>
      <c r="C273" t="s">
        <v>615</v>
      </c>
      <c r="E273" t="s">
        <v>620</v>
      </c>
      <c r="F273">
        <v>10</v>
      </c>
      <c r="G273">
        <v>10</v>
      </c>
      <c r="H273" t="s">
        <v>24</v>
      </c>
      <c r="I273" t="s">
        <v>682</v>
      </c>
      <c r="O273" t="s">
        <v>1066</v>
      </c>
      <c r="P273" t="s">
        <v>1112</v>
      </c>
      <c r="Q273" t="s">
        <v>1116</v>
      </c>
      <c r="R273" t="s">
        <v>1171</v>
      </c>
      <c r="S273" t="b">
        <v>1</v>
      </c>
      <c r="T273" t="b">
        <v>0</v>
      </c>
      <c r="U273" t="b">
        <v>0</v>
      </c>
      <c r="V273" t="b">
        <v>0</v>
      </c>
      <c r="W273" s="2" t="s">
        <v>1448</v>
      </c>
      <c r="X273" s="2"/>
      <c r="Y273" s="24">
        <v>265</v>
      </c>
      <c r="Z273">
        <f t="shared" si="80"/>
        <v>265</v>
      </c>
      <c r="AA273">
        <f t="shared" si="81"/>
        <v>265</v>
      </c>
      <c r="AB273">
        <f t="shared" si="82"/>
        <v>265</v>
      </c>
      <c r="AC273">
        <f t="shared" si="83"/>
        <v>0</v>
      </c>
      <c r="AD273">
        <f t="shared" si="84"/>
        <v>265</v>
      </c>
      <c r="AE273">
        <f t="shared" si="85"/>
        <v>265</v>
      </c>
      <c r="AF273">
        <f t="shared" si="86"/>
        <v>265</v>
      </c>
      <c r="AG273">
        <f t="shared" si="87"/>
        <v>265</v>
      </c>
      <c r="AH273">
        <f t="shared" si="88"/>
        <v>265</v>
      </c>
      <c r="AI273">
        <f t="shared" si="89"/>
        <v>0</v>
      </c>
      <c r="AJ273">
        <f t="shared" si="90"/>
        <v>0</v>
      </c>
      <c r="AK273">
        <f t="shared" si="91"/>
        <v>0</v>
      </c>
      <c r="AL273">
        <f t="shared" si="92"/>
        <v>0</v>
      </c>
      <c r="AM273">
        <f t="shared" si="93"/>
        <v>0</v>
      </c>
      <c r="AN273">
        <f t="shared" si="94"/>
        <v>265</v>
      </c>
      <c r="AO273">
        <f t="shared" si="95"/>
        <v>265</v>
      </c>
      <c r="AP273">
        <f t="shared" si="96"/>
        <v>265</v>
      </c>
      <c r="AQ273">
        <f t="shared" si="97"/>
        <v>265</v>
      </c>
      <c r="AR273" s="6">
        <f t="shared" si="98"/>
        <v>265</v>
      </c>
      <c r="AS273">
        <f t="shared" si="99"/>
        <v>265</v>
      </c>
      <c r="AV273" s="1" t="str">
        <f>IF(IFERROR(INDEX($A$9:$W$304,$AS273,COLUMNS($AV$9:AV272)),"")=0,"",IFERROR(INDEX($A$9:$W$304,$AS273,COLUMNS($AV$9:AV272)),""))</f>
        <v>Triceratops</v>
      </c>
      <c r="AW273" s="1">
        <f>IFERROR(INDEX($A$9:$W$304,$AS273,COLUMNS($AV$9:AW272)),"")</f>
        <v>1</v>
      </c>
      <c r="AX273" s="1" t="str">
        <f>IF(IFERROR(INDEX($A$9:$X$304,$AS273,COLUMNS($AV$9:AX272)),"")=0,"",IFERROR(INDEX($A$9:$X$304,$AS273,COLUMNS($AV$9:AX272)),""))</f>
        <v>WILD</v>
      </c>
      <c r="AY273" s="1" t="str">
        <f>IF(IFERROR(INDEX($A$9:$X$304,$AS273,COLUMNS($AV$9:AY272)),"")=0,"",IFERROR(INDEX($A$9:$X$304,$AS273,COLUMNS($AV$9:AY272)),""))</f>
        <v/>
      </c>
      <c r="AZ273" s="1" t="str">
        <f>IF(IFERROR(INDEX($A$9:$X$304,$AS273,COLUMNS($AV$9:AZ272)),"")=0,"",IFERROR(INDEX($A$9:$X$304,$AS273,COLUMNS($AV$9:AZ272)),""))</f>
        <v>CHAMPION</v>
      </c>
      <c r="BA273" s="1">
        <f>IF(IFERROR(INDEX($A$9:$X$304,$AS273,COLUMNS($AV$9:BA272)),"")=0,"",IFERROR(INDEX($A$9:$X$304,$AS273,COLUMNS($AV$9:BA272)),""))</f>
        <v>10</v>
      </c>
      <c r="BB273" s="1">
        <f>IF(IFERROR(INDEX($A$9:$X$304,$AS273,COLUMNS($AV$9:BB272)),"")=0,"",IFERROR(INDEX($A$9:$X$304,$AS273,COLUMNS($AV$9:BB272)),""))</f>
        <v>10</v>
      </c>
      <c r="BC273" s="1" t="str">
        <f>IF(IFERROR(INDEX($A$9:$X$304,$AS273,COLUMNS($AV$9:BC272)),"")=0,"",IFERROR(INDEX($A$9:$X$304,$AS273,COLUMNS($AV$9:BC272)),""))</f>
        <v>Breakthrough</v>
      </c>
      <c r="BD273" s="1" t="str">
        <f>IF(IFERROR(INDEX($A$9:$X$304,$AS273,COLUMNS($AV$9:BD272)),"")=0,"",IFERROR(INDEX($A$9:$X$304,$AS273,COLUMNS($AV$9:BD272)),""))</f>
        <v>Tribute → Draw a card.</v>
      </c>
      <c r="BE273" s="1" t="str">
        <f>IF(IFERROR(INDEX($A$9:$X$304,$AS273,COLUMNS($AV$9:BE272)),"")=0,"",IFERROR(INDEX($A$9:$X$304,$AS273,COLUMNS($AV$9:BE272)),""))</f>
        <v/>
      </c>
      <c r="BF273" s="1" t="str">
        <f>IF(IFERROR(INDEX($A$9:$X$304,$AS273,COLUMNS($AV$9:BF272)),"")=0,"",IFERROR(INDEX($A$9:$X$304,$AS273,COLUMNS($AV$9:BF272)),""))</f>
        <v/>
      </c>
      <c r="BG273" s="1" t="str">
        <f>IF(IFERROR(INDEX($A$9:$X$304,$AS273,COLUMNS($AV$9:BG272)),"")=0,"",IFERROR(INDEX($A$9:$X$304,$AS273,COLUMNS($AV$9:BG272)),""))</f>
        <v/>
      </c>
      <c r="BH273" s="1" t="str">
        <f>IF(IFERROR(INDEX($A$9:$X$304,$AS273,COLUMNS($AV$9:BH272)),"")=0,"",IFERROR(INDEX($A$9:$X$304,$AS273,COLUMNS($AV$9:BH272)),""))</f>
        <v/>
      </c>
      <c r="BI273" s="1" t="str">
        <f>IF(IFERROR(INDEX($A$9:$X$304,$AS273,COLUMNS($AV$9:BI272)),"")=0,"",IFERROR(INDEX($A$9:$X$304,$AS273,COLUMNS($AV$9:BI272)),""))</f>
        <v/>
      </c>
      <c r="BJ273" s="1" t="str">
        <f>IF(IFERROR(INDEX($A$9:$X$304,$AS273,COLUMNS($AV$9:BJ272)),"")=0,"",IFERROR(INDEX($A$9:$X$304,$AS273,COLUMNS($AV$9:BJ272)),""))</f>
        <v>DINOSAUR</v>
      </c>
      <c r="BK273" s="1" t="str">
        <f>IF(IFERROR(INDEX($A$9:$X$304,$AS273,COLUMNS($AV$9:BK272)),"")=0,"",IFERROR(INDEX($A$9:$X$304,$AS273,COLUMNS($AV$9:BK272)),""))</f>
        <v>Common</v>
      </c>
      <c r="BL273" s="1" t="str">
        <f>IF(IFERROR(INDEX($A$9:$X$304,$AS273,COLUMNS($AV$9:BL272)),"")=0,"",IFERROR(INDEX($A$9:$X$304,$AS273,COLUMNS($AV$9:BL272)),""))</f>
        <v>Apsara</v>
      </c>
      <c r="BM273" s="1" t="str">
        <f>IF(IFERROR(INDEX($A$9:$X$304,$AS273,COLUMNS($AV$9:BM272)),"")=0,"",IFERROR(INDEX($A$9:$X$304,$AS273,COLUMNS($AV$9:BM272)),""))</f>
        <v>Base Set</v>
      </c>
      <c r="BN273" s="3" t="b">
        <f>IF(IFERROR(INDEX($A$9:$X$304,$AS273,COLUMNS($AV$9:BN272)),"")=0,"",IFERROR(INDEX($A$9:$X$304,$AS273,COLUMNS($AV$9:BN272)),""))</f>
        <v>1</v>
      </c>
      <c r="BO273" s="3" t="b">
        <f>IF(IFERROR(INDEX($A$9:$X$304,$AS273,COLUMNS($AV$9:BO272)),"")=0,"",IFERROR(INDEX($A$9:$X$304,$AS273,COLUMNS($AV$9:BO272)),""))</f>
        <v>0</v>
      </c>
      <c r="BP273" s="3" t="b">
        <f>IF(IFERROR(INDEX($A$9:$X$304,$AS273,COLUMNS($AV$9:BP272)),"")=0,"",IFERROR(INDEX($A$9:$X$304,$AS273,COLUMNS($AV$9:BP272)),""))</f>
        <v>0</v>
      </c>
      <c r="BQ273" s="3" t="b">
        <f>IF(IFERROR(INDEX($A$9:$X$304,$AS273,COLUMNS($AV$9:BQ272)),"")=0,"",IFERROR(INDEX($A$9:$X$304,$AS273,COLUMNS($AV$9:BQ272)),""))</f>
        <v>0</v>
      </c>
      <c r="BR273" s="3" t="str">
        <f>IF(IFERROR(INDEX($A$9:$X$304,$AS273,COLUMNS($AV$9:BR272)),"")=0,"",IFERROR(INDEX($A$9:$X$304,$AS273,COLUMNS($AV$9:BR272)),""))</f>
        <v>http://www.epiccardgame.com/wp-content/uploads/2015/09/triceratops-215x300.jpg</v>
      </c>
      <c r="BS273" s="3" t="str">
        <f>IF(IFERROR(INDEX($A$9:$X$304,$AS273,COLUMNS($AV$9:BS272)),"")=0,"",IFERROR(INDEX($A$9:$X$304,$AS273,COLUMNS($AV$9:BS272)),""))</f>
        <v/>
      </c>
      <c r="BT273" s="3"/>
      <c r="BU273" s="15"/>
      <c r="BV273" t="s">
        <v>294</v>
      </c>
    </row>
    <row r="274" spans="1:74" ht="225.2" customHeight="1" x14ac:dyDescent="0.25">
      <c r="A274" t="s">
        <v>584</v>
      </c>
      <c r="B274">
        <v>1</v>
      </c>
      <c r="C274" t="s">
        <v>618</v>
      </c>
      <c r="E274" t="s">
        <v>620</v>
      </c>
      <c r="F274">
        <v>12</v>
      </c>
      <c r="G274">
        <v>12</v>
      </c>
      <c r="H274" t="s">
        <v>24</v>
      </c>
      <c r="I274" t="s">
        <v>950</v>
      </c>
      <c r="O274" t="s">
        <v>1078</v>
      </c>
      <c r="P274" t="s">
        <v>1112</v>
      </c>
      <c r="Q274" t="s">
        <v>1124</v>
      </c>
      <c r="R274" t="s">
        <v>1171</v>
      </c>
      <c r="S274" t="b">
        <v>1</v>
      </c>
      <c r="T274" t="b">
        <v>0</v>
      </c>
      <c r="U274" t="b">
        <v>0</v>
      </c>
      <c r="V274" t="b">
        <v>0</v>
      </c>
      <c r="W274" s="2" t="s">
        <v>1449</v>
      </c>
      <c r="X274" s="2"/>
      <c r="Y274" s="24">
        <v>266</v>
      </c>
      <c r="Z274">
        <f t="shared" si="80"/>
        <v>266</v>
      </c>
      <c r="AA274">
        <f t="shared" si="81"/>
        <v>266</v>
      </c>
      <c r="AB274">
        <f t="shared" si="82"/>
        <v>266</v>
      </c>
      <c r="AC274">
        <f t="shared" si="83"/>
        <v>0</v>
      </c>
      <c r="AD274">
        <f t="shared" si="84"/>
        <v>266</v>
      </c>
      <c r="AE274">
        <f t="shared" si="85"/>
        <v>266</v>
      </c>
      <c r="AF274">
        <f t="shared" si="86"/>
        <v>266</v>
      </c>
      <c r="AG274">
        <f t="shared" si="87"/>
        <v>266</v>
      </c>
      <c r="AH274">
        <f t="shared" si="88"/>
        <v>266</v>
      </c>
      <c r="AI274">
        <f t="shared" si="89"/>
        <v>0</v>
      </c>
      <c r="AJ274">
        <f t="shared" si="90"/>
        <v>0</v>
      </c>
      <c r="AK274">
        <f t="shared" si="91"/>
        <v>0</v>
      </c>
      <c r="AL274">
        <f t="shared" si="92"/>
        <v>0</v>
      </c>
      <c r="AM274">
        <f t="shared" si="93"/>
        <v>0</v>
      </c>
      <c r="AN274">
        <f t="shared" si="94"/>
        <v>266</v>
      </c>
      <c r="AO274">
        <f t="shared" si="95"/>
        <v>266</v>
      </c>
      <c r="AP274">
        <f t="shared" si="96"/>
        <v>266</v>
      </c>
      <c r="AQ274">
        <f t="shared" si="97"/>
        <v>266</v>
      </c>
      <c r="AR274" s="6">
        <f t="shared" si="98"/>
        <v>266</v>
      </c>
      <c r="AS274">
        <f t="shared" si="99"/>
        <v>266</v>
      </c>
      <c r="AV274" s="1" t="str">
        <f>IF(IFERROR(INDEX($A$9:$W$304,$AS274,COLUMNS($AV$9:AV273)),"")=0,"",IFERROR(INDEX($A$9:$W$304,$AS274,COLUMNS($AV$9:AV273)),""))</f>
        <v>Trihorror</v>
      </c>
      <c r="AW274" s="1">
        <f>IFERROR(INDEX($A$9:$W$304,$AS274,COLUMNS($AV$9:AW273)),"")</f>
        <v>1</v>
      </c>
      <c r="AX274" s="1" t="str">
        <f>IF(IFERROR(INDEX($A$9:$X$304,$AS274,COLUMNS($AV$9:AX273)),"")=0,"",IFERROR(INDEX($A$9:$X$304,$AS274,COLUMNS($AV$9:AX273)),""))</f>
        <v>EVIL</v>
      </c>
      <c r="AY274" s="1" t="str">
        <f>IF(IFERROR(INDEX($A$9:$X$304,$AS274,COLUMNS($AV$9:AY273)),"")=0,"",IFERROR(INDEX($A$9:$X$304,$AS274,COLUMNS($AV$9:AY273)),""))</f>
        <v/>
      </c>
      <c r="AZ274" s="1" t="str">
        <f>IF(IFERROR(INDEX($A$9:$X$304,$AS274,COLUMNS($AV$9:AZ273)),"")=0,"",IFERROR(INDEX($A$9:$X$304,$AS274,COLUMNS($AV$9:AZ273)),""))</f>
        <v>CHAMPION</v>
      </c>
      <c r="BA274" s="1">
        <f>IF(IFERROR(INDEX($A$9:$X$304,$AS274,COLUMNS($AV$9:BA273)),"")=0,"",IFERROR(INDEX($A$9:$X$304,$AS274,COLUMNS($AV$9:BA273)),""))</f>
        <v>12</v>
      </c>
      <c r="BB274" s="1">
        <f>IF(IFERROR(INDEX($A$9:$X$304,$AS274,COLUMNS($AV$9:BB273)),"")=0,"",IFERROR(INDEX($A$9:$X$304,$AS274,COLUMNS($AV$9:BB273)),""))</f>
        <v>12</v>
      </c>
      <c r="BC274" s="1" t="str">
        <f>IF(IFERROR(INDEX($A$9:$X$304,$AS274,COLUMNS($AV$9:BC273)),"")=0,"",IFERROR(INDEX($A$9:$X$304,$AS274,COLUMNS($AV$9:BC273)),""))</f>
        <v>Breakthrough</v>
      </c>
      <c r="BD274" s="1" t="str">
        <f>IF(IFERROR(INDEX($A$9:$X$304,$AS274,COLUMNS($AV$9:BD273)),"")=0,"",IFERROR(INDEX($A$9:$X$304,$AS274,COLUMNS($AV$9:BD273)),""))</f>
        <v>When this card is broken → Put three demon tokens into play.</v>
      </c>
      <c r="BE274" s="1" t="str">
        <f>IF(IFERROR(INDEX($A$9:$X$304,$AS274,COLUMNS($AV$9:BE273)),"")=0,"",IFERROR(INDEX($A$9:$X$304,$AS274,COLUMNS($AV$9:BE273)),""))</f>
        <v/>
      </c>
      <c r="BF274" s="1" t="str">
        <f>IF(IFERROR(INDEX($A$9:$X$304,$AS274,COLUMNS($AV$9:BF273)),"")=0,"",IFERROR(INDEX($A$9:$X$304,$AS274,COLUMNS($AV$9:BF273)),""))</f>
        <v/>
      </c>
      <c r="BG274" s="1" t="str">
        <f>IF(IFERROR(INDEX($A$9:$X$304,$AS274,COLUMNS($AV$9:BG273)),"")=0,"",IFERROR(INDEX($A$9:$X$304,$AS274,COLUMNS($AV$9:BG273)),""))</f>
        <v/>
      </c>
      <c r="BH274" s="1" t="str">
        <f>IF(IFERROR(INDEX($A$9:$X$304,$AS274,COLUMNS($AV$9:BH273)),"")=0,"",IFERROR(INDEX($A$9:$X$304,$AS274,COLUMNS($AV$9:BH273)),""))</f>
        <v/>
      </c>
      <c r="BI274" s="1" t="str">
        <f>IF(IFERROR(INDEX($A$9:$X$304,$AS274,COLUMNS($AV$9:BI273)),"")=0,"",IFERROR(INDEX($A$9:$X$304,$AS274,COLUMNS($AV$9:BI273)),""))</f>
        <v/>
      </c>
      <c r="BJ274" s="1" t="str">
        <f>IF(IFERROR(INDEX($A$9:$X$304,$AS274,COLUMNS($AV$9:BJ273)),"")=0,"",IFERROR(INDEX($A$9:$X$304,$AS274,COLUMNS($AV$9:BJ273)),""))</f>
        <v>DEMON</v>
      </c>
      <c r="BK274" s="1" t="str">
        <f>IF(IFERROR(INDEX($A$9:$X$304,$AS274,COLUMNS($AV$9:BK273)),"")=0,"",IFERROR(INDEX($A$9:$X$304,$AS274,COLUMNS($AV$9:BK273)),""))</f>
        <v>Common</v>
      </c>
      <c r="BL274" s="1" t="str">
        <f>IF(IFERROR(INDEX($A$9:$X$304,$AS274,COLUMNS($AV$9:BL273)),"")=0,"",IFERROR(INDEX($A$9:$X$304,$AS274,COLUMNS($AV$9:BL273)),""))</f>
        <v>Souveraine</v>
      </c>
      <c r="BM274" s="1" t="str">
        <f>IF(IFERROR(INDEX($A$9:$X$304,$AS274,COLUMNS($AV$9:BM273)),"")=0,"",IFERROR(INDEX($A$9:$X$304,$AS274,COLUMNS($AV$9:BM273)),""))</f>
        <v>Base Set</v>
      </c>
      <c r="BN274" s="3" t="b">
        <f>IF(IFERROR(INDEX($A$9:$X$304,$AS274,COLUMNS($AV$9:BN273)),"")=0,"",IFERROR(INDEX($A$9:$X$304,$AS274,COLUMNS($AV$9:BN273)),""))</f>
        <v>1</v>
      </c>
      <c r="BO274" s="3" t="b">
        <f>IF(IFERROR(INDEX($A$9:$X$304,$AS274,COLUMNS($AV$9:BO273)),"")=0,"",IFERROR(INDEX($A$9:$X$304,$AS274,COLUMNS($AV$9:BO273)),""))</f>
        <v>0</v>
      </c>
      <c r="BP274" s="3" t="b">
        <f>IF(IFERROR(INDEX($A$9:$X$304,$AS274,COLUMNS($AV$9:BP273)),"")=0,"",IFERROR(INDEX($A$9:$X$304,$AS274,COLUMNS($AV$9:BP273)),""))</f>
        <v>0</v>
      </c>
      <c r="BQ274" s="3" t="b">
        <f>IF(IFERROR(INDEX($A$9:$X$304,$AS274,COLUMNS($AV$9:BQ273)),"")=0,"",IFERROR(INDEX($A$9:$X$304,$AS274,COLUMNS($AV$9:BQ273)),""))</f>
        <v>0</v>
      </c>
      <c r="BR274" s="3" t="str">
        <f>IF(IFERROR(INDEX($A$9:$X$304,$AS274,COLUMNS($AV$9:BR273)),"")=0,"",IFERROR(INDEX($A$9:$X$304,$AS274,COLUMNS($AV$9:BR273)),""))</f>
        <v>http://www.epiccardgame.com/wp-content/uploads/2015/09/trihorror-215x300.jpg</v>
      </c>
      <c r="BS274" s="3" t="str">
        <f>IF(IFERROR(INDEX($A$9:$X$304,$AS274,COLUMNS($AV$9:BS273)),"")=0,"",IFERROR(INDEX($A$9:$X$304,$AS274,COLUMNS($AV$9:BS273)),""))</f>
        <v/>
      </c>
      <c r="BT274" s="3"/>
      <c r="BU274" s="15"/>
      <c r="BV274" t="s">
        <v>295</v>
      </c>
    </row>
    <row r="275" spans="1:74" ht="225" customHeight="1" x14ac:dyDescent="0.25">
      <c r="A275" t="s">
        <v>585</v>
      </c>
      <c r="B275">
        <v>1</v>
      </c>
      <c r="C275" t="s">
        <v>616</v>
      </c>
      <c r="E275" t="s">
        <v>619</v>
      </c>
      <c r="H275" t="s">
        <v>749</v>
      </c>
      <c r="I275" t="s">
        <v>951</v>
      </c>
      <c r="O275" t="s">
        <v>1062</v>
      </c>
      <c r="P275" t="s">
        <v>1112</v>
      </c>
      <c r="Q275" t="s">
        <v>1124</v>
      </c>
      <c r="R275" t="s">
        <v>1171</v>
      </c>
      <c r="S275" t="b">
        <v>1</v>
      </c>
      <c r="T275" t="b">
        <v>1</v>
      </c>
      <c r="U275" t="b">
        <v>0</v>
      </c>
      <c r="V275" t="b">
        <v>0</v>
      </c>
      <c r="W275" s="2" t="s">
        <v>1450</v>
      </c>
      <c r="X275" s="2"/>
      <c r="Y275" s="24">
        <v>267</v>
      </c>
      <c r="Z275">
        <f t="shared" si="80"/>
        <v>267</v>
      </c>
      <c r="AA275">
        <f t="shared" si="81"/>
        <v>267</v>
      </c>
      <c r="AB275">
        <f t="shared" si="82"/>
        <v>267</v>
      </c>
      <c r="AC275">
        <f t="shared" si="83"/>
        <v>0</v>
      </c>
      <c r="AD275">
        <f t="shared" si="84"/>
        <v>267</v>
      </c>
      <c r="AE275">
        <f t="shared" si="85"/>
        <v>0</v>
      </c>
      <c r="AF275">
        <f t="shared" si="86"/>
        <v>0</v>
      </c>
      <c r="AG275">
        <f t="shared" si="87"/>
        <v>267</v>
      </c>
      <c r="AH275">
        <f t="shared" si="88"/>
        <v>267</v>
      </c>
      <c r="AI275">
        <f t="shared" si="89"/>
        <v>0</v>
      </c>
      <c r="AJ275">
        <f t="shared" si="90"/>
        <v>0</v>
      </c>
      <c r="AK275">
        <f t="shared" si="91"/>
        <v>0</v>
      </c>
      <c r="AL275">
        <f t="shared" si="92"/>
        <v>0</v>
      </c>
      <c r="AM275">
        <f t="shared" si="93"/>
        <v>0</v>
      </c>
      <c r="AN275">
        <f t="shared" si="94"/>
        <v>267</v>
      </c>
      <c r="AO275">
        <f t="shared" si="95"/>
        <v>267</v>
      </c>
      <c r="AP275">
        <f t="shared" si="96"/>
        <v>267</v>
      </c>
      <c r="AQ275">
        <f t="shared" si="97"/>
        <v>267</v>
      </c>
      <c r="AR275" s="6">
        <f t="shared" si="98"/>
        <v>267</v>
      </c>
      <c r="AS275">
        <f t="shared" si="99"/>
        <v>267</v>
      </c>
      <c r="AV275" s="1" t="str">
        <f>IF(IFERROR(INDEX($A$9:$W$304,$AS275,COLUMNS($AV$9:AV274)),"")=0,"",IFERROR(INDEX($A$9:$W$304,$AS275,COLUMNS($AV$9:AV274)),""))</f>
        <v>Turn</v>
      </c>
      <c r="AW275" s="1">
        <f>IFERROR(INDEX($A$9:$W$304,$AS275,COLUMNS($AV$9:AW274)),"")</f>
        <v>1</v>
      </c>
      <c r="AX275" s="1" t="str">
        <f>IF(IFERROR(INDEX($A$9:$X$304,$AS275,COLUMNS($AV$9:AX274)),"")=0,"",IFERROR(INDEX($A$9:$X$304,$AS275,COLUMNS($AV$9:AX274)),""))</f>
        <v>SAGE</v>
      </c>
      <c r="AY275" s="1" t="str">
        <f>IF(IFERROR(INDEX($A$9:$X$304,$AS275,COLUMNS($AV$9:AY274)),"")=0,"",IFERROR(INDEX($A$9:$X$304,$AS275,COLUMNS($AV$9:AY274)),""))</f>
        <v/>
      </c>
      <c r="AZ275" s="1" t="str">
        <f>IF(IFERROR(INDEX($A$9:$X$304,$AS275,COLUMNS($AV$9:AZ274)),"")=0,"",IFERROR(INDEX($A$9:$X$304,$AS275,COLUMNS($AV$9:AZ274)),""))</f>
        <v>EVENT</v>
      </c>
      <c r="BA275" s="1" t="str">
        <f>IF(IFERROR(INDEX($A$9:$X$304,$AS275,COLUMNS($AV$9:BA274)),"")=0,"",IFERROR(INDEX($A$9:$X$304,$AS275,COLUMNS($AV$9:BA274)),""))</f>
        <v/>
      </c>
      <c r="BB275" s="1" t="str">
        <f>IF(IFERROR(INDEX($A$9:$X$304,$AS275,COLUMNS($AV$9:BB274)),"")=0,"",IFERROR(INDEX($A$9:$X$304,$AS275,COLUMNS($AV$9:BB274)),""))</f>
        <v/>
      </c>
      <c r="BC275" s="1" t="str">
        <f>IF(IFERROR(INDEX($A$9:$X$304,$AS275,COLUMNS($AV$9:BC274)),"")=0,"",IFERROR(INDEX($A$9:$X$304,$AS275,COLUMNS($AV$9:BC274)),""))</f>
        <v>Gain control of target champion this turn. Prepare it. It has blitz this turn.</v>
      </c>
      <c r="BD275" s="1" t="str">
        <f>IF(IFERROR(INDEX($A$9:$X$304,$AS275,COLUMNS($AV$9:BD274)),"")=0,"",IFERROR(INDEX($A$9:$X$304,$AS275,COLUMNS($AV$9:BD274)),""))</f>
        <v>If it is your turn, gain control of target champion.</v>
      </c>
      <c r="BE275" s="1" t="str">
        <f>IF(IFERROR(INDEX($A$9:$X$304,$AS275,COLUMNS($AV$9:BE274)),"")=0,"",IFERROR(INDEX($A$9:$X$304,$AS275,COLUMNS($AV$9:BE274)),""))</f>
        <v/>
      </c>
      <c r="BF275" s="1" t="str">
        <f>IF(IFERROR(INDEX($A$9:$X$304,$AS275,COLUMNS($AV$9:BF274)),"")=0,"",IFERROR(INDEX($A$9:$X$304,$AS275,COLUMNS($AV$9:BF274)),""))</f>
        <v/>
      </c>
      <c r="BG275" s="1" t="str">
        <f>IF(IFERROR(INDEX($A$9:$X$304,$AS275,COLUMNS($AV$9:BG274)),"")=0,"",IFERROR(INDEX($A$9:$X$304,$AS275,COLUMNS($AV$9:BG274)),""))</f>
        <v/>
      </c>
      <c r="BH275" s="1" t="str">
        <f>IF(IFERROR(INDEX($A$9:$X$304,$AS275,COLUMNS($AV$9:BH274)),"")=0,"",IFERROR(INDEX($A$9:$X$304,$AS275,COLUMNS($AV$9:BH274)),""))</f>
        <v/>
      </c>
      <c r="BI275" s="1" t="str">
        <f>IF(IFERROR(INDEX($A$9:$X$304,$AS275,COLUMNS($AV$9:BI274)),"")=0,"",IFERROR(INDEX($A$9:$X$304,$AS275,COLUMNS($AV$9:BI274)),""))</f>
        <v/>
      </c>
      <c r="BJ275" s="1" t="str">
        <f>IF(IFERROR(INDEX($A$9:$X$304,$AS275,COLUMNS($AV$9:BJ274)),"")=0,"",IFERROR(INDEX($A$9:$X$304,$AS275,COLUMNS($AV$9:BJ274)),""))</f>
        <v>None</v>
      </c>
      <c r="BK275" s="1" t="str">
        <f>IF(IFERROR(INDEX($A$9:$X$304,$AS275,COLUMNS($AV$9:BK274)),"")=0,"",IFERROR(INDEX($A$9:$X$304,$AS275,COLUMNS($AV$9:BK274)),""))</f>
        <v>Common</v>
      </c>
      <c r="BL275" s="1" t="str">
        <f>IF(IFERROR(INDEX($A$9:$X$304,$AS275,COLUMNS($AV$9:BL274)),"")=0,"",IFERROR(INDEX($A$9:$X$304,$AS275,COLUMNS($AV$9:BL274)),""))</f>
        <v>Souveraine</v>
      </c>
      <c r="BM275" s="1" t="str">
        <f>IF(IFERROR(INDEX($A$9:$X$304,$AS275,COLUMNS($AV$9:BM274)),"")=0,"",IFERROR(INDEX($A$9:$X$304,$AS275,COLUMNS($AV$9:BM274)),""))</f>
        <v>Base Set</v>
      </c>
      <c r="BN275" s="3" t="b">
        <f>IF(IFERROR(INDEX($A$9:$X$304,$AS275,COLUMNS($AV$9:BN274)),"")=0,"",IFERROR(INDEX($A$9:$X$304,$AS275,COLUMNS($AV$9:BN274)),""))</f>
        <v>1</v>
      </c>
      <c r="BO275" s="3" t="b">
        <f>IF(IFERROR(INDEX($A$9:$X$304,$AS275,COLUMNS($AV$9:BO274)),"")=0,"",IFERROR(INDEX($A$9:$X$304,$AS275,COLUMNS($AV$9:BO274)),""))</f>
        <v>1</v>
      </c>
      <c r="BP275" s="3" t="b">
        <f>IF(IFERROR(INDEX($A$9:$X$304,$AS275,COLUMNS($AV$9:BP274)),"")=0,"",IFERROR(INDEX($A$9:$X$304,$AS275,COLUMNS($AV$9:BP274)),""))</f>
        <v>0</v>
      </c>
      <c r="BQ275" s="3" t="b">
        <f>IF(IFERROR(INDEX($A$9:$X$304,$AS275,COLUMNS($AV$9:BQ274)),"")=0,"",IFERROR(INDEX($A$9:$X$304,$AS275,COLUMNS($AV$9:BQ274)),""))</f>
        <v>0</v>
      </c>
      <c r="BR275" s="3" t="str">
        <f>IF(IFERROR(INDEX($A$9:$X$304,$AS275,COLUMNS($AV$9:BR274)),"")=0,"",IFERROR(INDEX($A$9:$X$304,$AS275,COLUMNS($AV$9:BR274)),""))</f>
        <v>http://www.epiccardgame.com/wp-content/uploads/2015/09/turn-215x300.jpg</v>
      </c>
      <c r="BS275" s="3" t="str">
        <f>IF(IFERROR(INDEX($A$9:$X$304,$AS275,COLUMNS($AV$9:BS274)),"")=0,"",IFERROR(INDEX($A$9:$X$304,$AS275,COLUMNS($AV$9:BS274)),""))</f>
        <v/>
      </c>
      <c r="BT275" s="3"/>
      <c r="BU275" s="15"/>
      <c r="BV275" t="s">
        <v>296</v>
      </c>
    </row>
    <row r="276" spans="1:74" ht="225.2" customHeight="1" x14ac:dyDescent="0.25">
      <c r="A276" t="s">
        <v>586</v>
      </c>
      <c r="B276">
        <v>0</v>
      </c>
      <c r="C276" t="s">
        <v>618</v>
      </c>
      <c r="E276" t="s">
        <v>619</v>
      </c>
      <c r="H276" t="s">
        <v>750</v>
      </c>
      <c r="I276" t="s">
        <v>952</v>
      </c>
      <c r="J276" t="s">
        <v>1032</v>
      </c>
      <c r="O276" t="s">
        <v>1083</v>
      </c>
      <c r="P276" t="s">
        <v>1112</v>
      </c>
      <c r="Q276" t="s">
        <v>1118</v>
      </c>
      <c r="R276" t="s">
        <v>1171</v>
      </c>
      <c r="S276" t="b">
        <v>0</v>
      </c>
      <c r="T276" t="b">
        <v>0</v>
      </c>
      <c r="U276" t="b">
        <v>0</v>
      </c>
      <c r="V276" t="b">
        <v>0</v>
      </c>
      <c r="W276" s="2" t="s">
        <v>1451</v>
      </c>
      <c r="X276" s="2"/>
      <c r="Y276" s="24">
        <v>268</v>
      </c>
      <c r="Z276">
        <f t="shared" si="80"/>
        <v>268</v>
      </c>
      <c r="AA276">
        <f t="shared" si="81"/>
        <v>268</v>
      </c>
      <c r="AB276">
        <f t="shared" si="82"/>
        <v>268</v>
      </c>
      <c r="AC276">
        <f t="shared" si="83"/>
        <v>0</v>
      </c>
      <c r="AD276">
        <f t="shared" si="84"/>
        <v>268</v>
      </c>
      <c r="AE276">
        <f t="shared" si="85"/>
        <v>0</v>
      </c>
      <c r="AF276">
        <f t="shared" si="86"/>
        <v>0</v>
      </c>
      <c r="AG276">
        <f t="shared" si="87"/>
        <v>268</v>
      </c>
      <c r="AH276">
        <f t="shared" si="88"/>
        <v>268</v>
      </c>
      <c r="AI276">
        <f t="shared" si="89"/>
        <v>268</v>
      </c>
      <c r="AJ276">
        <f t="shared" si="90"/>
        <v>0</v>
      </c>
      <c r="AK276">
        <f t="shared" si="91"/>
        <v>0</v>
      </c>
      <c r="AL276">
        <f t="shared" si="92"/>
        <v>0</v>
      </c>
      <c r="AM276">
        <f t="shared" si="93"/>
        <v>0</v>
      </c>
      <c r="AN276">
        <f t="shared" si="94"/>
        <v>268</v>
      </c>
      <c r="AO276">
        <f t="shared" si="95"/>
        <v>268</v>
      </c>
      <c r="AP276">
        <f t="shared" si="96"/>
        <v>268</v>
      </c>
      <c r="AQ276">
        <f t="shared" si="97"/>
        <v>268</v>
      </c>
      <c r="AR276" s="6">
        <f t="shared" si="98"/>
        <v>268</v>
      </c>
      <c r="AS276">
        <f t="shared" si="99"/>
        <v>268</v>
      </c>
      <c r="AV276" s="1" t="str">
        <f>IF(IFERROR(INDEX($A$9:$W$304,$AS276,COLUMNS($AV$9:AV275)),"")=0,"",IFERROR(INDEX($A$9:$W$304,$AS276,COLUMNS($AV$9:AV275)),""))</f>
        <v>Unquenchable Thirst</v>
      </c>
      <c r="AW276" s="1">
        <f>IFERROR(INDEX($A$9:$W$304,$AS276,COLUMNS($AV$9:AW275)),"")</f>
        <v>0</v>
      </c>
      <c r="AX276" s="1" t="str">
        <f>IF(IFERROR(INDEX($A$9:$X$304,$AS276,COLUMNS($AV$9:AX275)),"")=0,"",IFERROR(INDEX($A$9:$X$304,$AS276,COLUMNS($AV$9:AX275)),""))</f>
        <v>EVIL</v>
      </c>
      <c r="AY276" s="1" t="str">
        <f>IF(IFERROR(INDEX($A$9:$X$304,$AS276,COLUMNS($AV$9:AY275)),"")=0,"",IFERROR(INDEX($A$9:$X$304,$AS276,COLUMNS($AV$9:AY275)),""))</f>
        <v/>
      </c>
      <c r="AZ276" s="1" t="str">
        <f>IF(IFERROR(INDEX($A$9:$X$304,$AS276,COLUMNS($AV$9:AZ275)),"")=0,"",IFERROR(INDEX($A$9:$X$304,$AS276,COLUMNS($AV$9:AZ275)),""))</f>
        <v>EVENT</v>
      </c>
      <c r="BA276" s="1" t="str">
        <f>IF(IFERROR(INDEX($A$9:$X$304,$AS276,COLUMNS($AV$9:BA275)),"")=0,"",IFERROR(INDEX($A$9:$X$304,$AS276,COLUMNS($AV$9:BA275)),""))</f>
        <v/>
      </c>
      <c r="BB276" s="1" t="str">
        <f>IF(IFERROR(INDEX($A$9:$X$304,$AS276,COLUMNS($AV$9:BB275)),"")=0,"",IFERROR(INDEX($A$9:$X$304,$AS276,COLUMNS($AV$9:BB275)),""))</f>
        <v/>
      </c>
      <c r="BC276" s="1" t="str">
        <f>IF(IFERROR(INDEX($A$9:$X$304,$AS276,COLUMNS($AV$9:BC275)),"")=0,"",IFERROR(INDEX($A$9:$X$304,$AS276,COLUMNS($AV$9:BC275)),""))</f>
        <v>Banish X evil cards from your discard pile.</v>
      </c>
      <c r="BD276" s="1" t="str">
        <f>IF(IFERROR(INDEX($A$9:$X$304,$AS276,COLUMNS($AV$9:BD275)),"")=0,"",IFERROR(INDEX($A$9:$X$304,$AS276,COLUMNS($AV$9:BD275)),""))</f>
        <v>Deal X+1 damage to target champion.</v>
      </c>
      <c r="BE276" s="1" t="str">
        <f>IF(IFERROR(INDEX($A$9:$X$304,$AS276,COLUMNS($AV$9:BE275)),"")=0,"",IFERROR(INDEX($A$9:$X$304,$AS276,COLUMNS($AV$9:BE275)),""))</f>
        <v>Gain X+1 health.</v>
      </c>
      <c r="BF276" s="1" t="str">
        <f>IF(IFERROR(INDEX($A$9:$X$304,$AS276,COLUMNS($AV$9:BF275)),"")=0,"",IFERROR(INDEX($A$9:$X$304,$AS276,COLUMNS($AV$9:BF275)),""))</f>
        <v/>
      </c>
      <c r="BG276" s="1" t="str">
        <f>IF(IFERROR(INDEX($A$9:$X$304,$AS276,COLUMNS($AV$9:BG275)),"")=0,"",IFERROR(INDEX($A$9:$X$304,$AS276,COLUMNS($AV$9:BG275)),""))</f>
        <v/>
      </c>
      <c r="BH276" s="1" t="str">
        <f>IF(IFERROR(INDEX($A$9:$X$304,$AS276,COLUMNS($AV$9:BH275)),"")=0,"",IFERROR(INDEX($A$9:$X$304,$AS276,COLUMNS($AV$9:BH275)),""))</f>
        <v/>
      </c>
      <c r="BI276" s="1" t="str">
        <f>IF(IFERROR(INDEX($A$9:$X$304,$AS276,COLUMNS($AV$9:BI275)),"")=0,"",IFERROR(INDEX($A$9:$X$304,$AS276,COLUMNS($AV$9:BI275)),""))</f>
        <v/>
      </c>
      <c r="BJ276" s="1" t="str">
        <f>IF(IFERROR(INDEX($A$9:$X$304,$AS276,COLUMNS($AV$9:BJ275)),"")=0,"",IFERROR(INDEX($A$9:$X$304,$AS276,COLUMNS($AV$9:BJ275)),""))</f>
        <v>VAMPIRE</v>
      </c>
      <c r="BK276" s="1" t="str">
        <f>IF(IFERROR(INDEX($A$9:$X$304,$AS276,COLUMNS($AV$9:BK275)),"")=0,"",IFERROR(INDEX($A$9:$X$304,$AS276,COLUMNS($AV$9:BK275)),""))</f>
        <v>Common</v>
      </c>
      <c r="BL276" s="1" t="str">
        <f>IF(IFERROR(INDEX($A$9:$X$304,$AS276,COLUMNS($AV$9:BL275)),"")=0,"",IFERROR(INDEX($A$9:$X$304,$AS276,COLUMNS($AV$9:BL275)),""))</f>
        <v>L.Sean</v>
      </c>
      <c r="BM276" s="1" t="str">
        <f>IF(IFERROR(INDEX($A$9:$X$304,$AS276,COLUMNS($AV$9:BM275)),"")=0,"",IFERROR(INDEX($A$9:$X$304,$AS276,COLUMNS($AV$9:BM275)),""))</f>
        <v>Base Set</v>
      </c>
      <c r="BN276" s="3" t="b">
        <f>IF(IFERROR(INDEX($A$9:$X$304,$AS276,COLUMNS($AV$9:BN275)),"")=0,"",IFERROR(INDEX($A$9:$X$304,$AS276,COLUMNS($AV$9:BN275)),""))</f>
        <v>0</v>
      </c>
      <c r="BO276" s="3" t="b">
        <f>IF(IFERROR(INDEX($A$9:$X$304,$AS276,COLUMNS($AV$9:BO275)),"")=0,"",IFERROR(INDEX($A$9:$X$304,$AS276,COLUMNS($AV$9:BO275)),""))</f>
        <v>0</v>
      </c>
      <c r="BP276" s="3" t="b">
        <f>IF(IFERROR(INDEX($A$9:$X$304,$AS276,COLUMNS($AV$9:BP275)),"")=0,"",IFERROR(INDEX($A$9:$X$304,$AS276,COLUMNS($AV$9:BP275)),""))</f>
        <v>0</v>
      </c>
      <c r="BQ276" s="3" t="b">
        <f>IF(IFERROR(INDEX($A$9:$X$304,$AS276,COLUMNS($AV$9:BQ275)),"")=0,"",IFERROR(INDEX($A$9:$X$304,$AS276,COLUMNS($AV$9:BQ275)),""))</f>
        <v>0</v>
      </c>
      <c r="BR276" s="3" t="str">
        <f>IF(IFERROR(INDEX($A$9:$X$304,$AS276,COLUMNS($AV$9:BR275)),"")=0,"",IFERROR(INDEX($A$9:$X$304,$AS276,COLUMNS($AV$9:BR275)),""))</f>
        <v>http://www.epiccardgame.com/wp-content/uploads/2015/09/unquenchable_thirst-215x300.jpg</v>
      </c>
      <c r="BS276" s="3" t="str">
        <f>IF(IFERROR(INDEX($A$9:$X$304,$AS276,COLUMNS($AV$9:BS275)),"")=0,"",IFERROR(INDEX($A$9:$X$304,$AS276,COLUMNS($AV$9:BS275)),""))</f>
        <v/>
      </c>
      <c r="BT276" s="3"/>
      <c r="BU276" s="15"/>
      <c r="BV276" t="s">
        <v>297</v>
      </c>
    </row>
    <row r="277" spans="1:74" ht="225.2" customHeight="1" x14ac:dyDescent="0.25">
      <c r="A277" t="s">
        <v>587</v>
      </c>
      <c r="B277">
        <v>1</v>
      </c>
      <c r="C277" t="s">
        <v>617</v>
      </c>
      <c r="E277" t="s">
        <v>619</v>
      </c>
      <c r="H277" t="s">
        <v>627</v>
      </c>
      <c r="I277" t="s">
        <v>953</v>
      </c>
      <c r="J277" t="s">
        <v>1033</v>
      </c>
      <c r="O277" t="s">
        <v>1062</v>
      </c>
      <c r="P277" t="s">
        <v>1112</v>
      </c>
      <c r="Q277" t="s">
        <v>1152</v>
      </c>
      <c r="R277" t="s">
        <v>1183</v>
      </c>
      <c r="S277" t="b">
        <v>1</v>
      </c>
      <c r="T277" t="b">
        <v>0</v>
      </c>
      <c r="U277" t="b">
        <v>0</v>
      </c>
      <c r="V277" t="b">
        <v>0</v>
      </c>
      <c r="W277" s="2" t="s">
        <v>1452</v>
      </c>
      <c r="X277" s="2"/>
      <c r="Y277" s="24">
        <v>269</v>
      </c>
      <c r="Z277">
        <f t="shared" si="80"/>
        <v>269</v>
      </c>
      <c r="AA277">
        <f t="shared" si="81"/>
        <v>269</v>
      </c>
      <c r="AB277">
        <f t="shared" si="82"/>
        <v>269</v>
      </c>
      <c r="AC277">
        <f t="shared" si="83"/>
        <v>0</v>
      </c>
      <c r="AD277">
        <f t="shared" si="84"/>
        <v>269</v>
      </c>
      <c r="AE277">
        <f t="shared" si="85"/>
        <v>0</v>
      </c>
      <c r="AF277">
        <f t="shared" si="86"/>
        <v>0</v>
      </c>
      <c r="AG277">
        <f t="shared" si="87"/>
        <v>269</v>
      </c>
      <c r="AH277">
        <f t="shared" si="88"/>
        <v>269</v>
      </c>
      <c r="AI277">
        <f t="shared" si="89"/>
        <v>269</v>
      </c>
      <c r="AJ277">
        <f t="shared" si="90"/>
        <v>0</v>
      </c>
      <c r="AK277">
        <f t="shared" si="91"/>
        <v>0</v>
      </c>
      <c r="AL277">
        <f t="shared" si="92"/>
        <v>0</v>
      </c>
      <c r="AM277">
        <f t="shared" si="93"/>
        <v>0</v>
      </c>
      <c r="AN277">
        <f t="shared" si="94"/>
        <v>269</v>
      </c>
      <c r="AO277">
        <f t="shared" si="95"/>
        <v>269</v>
      </c>
      <c r="AP277">
        <f t="shared" si="96"/>
        <v>269</v>
      </c>
      <c r="AQ277">
        <f t="shared" si="97"/>
        <v>269</v>
      </c>
      <c r="AR277" s="6">
        <f t="shared" si="98"/>
        <v>269</v>
      </c>
      <c r="AS277">
        <f t="shared" si="99"/>
        <v>269</v>
      </c>
      <c r="AV277" s="1" t="str">
        <f>IF(IFERROR(INDEX($A$9:$W$304,$AS277,COLUMNS($AV$9:AV276)),"")=0,"",IFERROR(INDEX($A$9:$W$304,$AS277,COLUMNS($AV$9:AV276)),""))</f>
        <v>Urgent Messengers</v>
      </c>
      <c r="AW277" s="1">
        <f>IFERROR(INDEX($A$9:$W$304,$AS277,COLUMNS($AV$9:AW276)),"")</f>
        <v>1</v>
      </c>
      <c r="AX277" s="1" t="str">
        <f>IF(IFERROR(INDEX($A$9:$X$304,$AS277,COLUMNS($AV$9:AX276)),"")=0,"",IFERROR(INDEX($A$9:$X$304,$AS277,COLUMNS($AV$9:AX276)),""))</f>
        <v>GOOD</v>
      </c>
      <c r="AY277" s="1" t="str">
        <f>IF(IFERROR(INDEX($A$9:$X$304,$AS277,COLUMNS($AV$9:AY276)),"")=0,"",IFERROR(INDEX($A$9:$X$304,$AS277,COLUMNS($AV$9:AY276)),""))</f>
        <v/>
      </c>
      <c r="AZ277" s="1" t="str">
        <f>IF(IFERROR(INDEX($A$9:$X$304,$AS277,COLUMNS($AV$9:AZ276)),"")=0,"",IFERROR(INDEX($A$9:$X$304,$AS277,COLUMNS($AV$9:AZ276)),""))</f>
        <v>EVENT</v>
      </c>
      <c r="BA277" s="1" t="str">
        <f>IF(IFERROR(INDEX($A$9:$X$304,$AS277,COLUMNS($AV$9:BA276)),"")=0,"",IFERROR(INDEX($A$9:$X$304,$AS277,COLUMNS($AV$9:BA276)),""))</f>
        <v/>
      </c>
      <c r="BB277" s="1" t="str">
        <f>IF(IFERROR(INDEX($A$9:$X$304,$AS277,COLUMNS($AV$9:BB276)),"")=0,"",IFERROR(INDEX($A$9:$X$304,$AS277,COLUMNS($AV$9:BB276)),""))</f>
        <v/>
      </c>
      <c r="BC277" s="1" t="str">
        <f>IF(IFERROR(INDEX($A$9:$X$304,$AS277,COLUMNS($AV$9:BC276)),"")=0,"",IFERROR(INDEX($A$9:$X$304,$AS277,COLUMNS($AV$9:BC276)),""))</f>
        <v>Draw two cards.</v>
      </c>
      <c r="BD277" s="1" t="str">
        <f>IF(IFERROR(INDEX($A$9:$X$304,$AS277,COLUMNS($AV$9:BD276)),"")=0,"",IFERROR(INDEX($A$9:$X$304,$AS277,COLUMNS($AV$9:BD276)),""))</f>
        <v>Put two human tokens into play.</v>
      </c>
      <c r="BE277" s="1" t="str">
        <f>IF(IFERROR(INDEX($A$9:$X$304,$AS277,COLUMNS($AV$9:BE276)),"")=0,"",IFERROR(INDEX($A$9:$X$304,$AS277,COLUMNS($AV$9:BE276)),""))</f>
        <v>"Good news never comes this fast." - Markus, Watch Captain</v>
      </c>
      <c r="BF277" s="1" t="str">
        <f>IF(IFERROR(INDEX($A$9:$X$304,$AS277,COLUMNS($AV$9:BF276)),"")=0,"",IFERROR(INDEX($A$9:$X$304,$AS277,COLUMNS($AV$9:BF276)),""))</f>
        <v/>
      </c>
      <c r="BG277" s="1" t="str">
        <f>IF(IFERROR(INDEX($A$9:$X$304,$AS277,COLUMNS($AV$9:BG276)),"")=0,"",IFERROR(INDEX($A$9:$X$304,$AS277,COLUMNS($AV$9:BG276)),""))</f>
        <v/>
      </c>
      <c r="BH277" s="1" t="str">
        <f>IF(IFERROR(INDEX($A$9:$X$304,$AS277,COLUMNS($AV$9:BH276)),"")=0,"",IFERROR(INDEX($A$9:$X$304,$AS277,COLUMNS($AV$9:BH276)),""))</f>
        <v/>
      </c>
      <c r="BI277" s="1" t="str">
        <f>IF(IFERROR(INDEX($A$9:$X$304,$AS277,COLUMNS($AV$9:BI276)),"")=0,"",IFERROR(INDEX($A$9:$X$304,$AS277,COLUMNS($AV$9:BI276)),""))</f>
        <v/>
      </c>
      <c r="BJ277" s="1" t="str">
        <f>IF(IFERROR(INDEX($A$9:$X$304,$AS277,COLUMNS($AV$9:BJ276)),"")=0,"",IFERROR(INDEX($A$9:$X$304,$AS277,COLUMNS($AV$9:BJ276)),""))</f>
        <v>None</v>
      </c>
      <c r="BK277" s="1" t="str">
        <f>IF(IFERROR(INDEX($A$9:$X$304,$AS277,COLUMNS($AV$9:BK276)),"")=0,"",IFERROR(INDEX($A$9:$X$304,$AS277,COLUMNS($AV$9:BK276)),""))</f>
        <v>Common</v>
      </c>
      <c r="BL277" s="1" t="str">
        <f>IF(IFERROR(INDEX($A$9:$X$304,$AS277,COLUMNS($AV$9:BL276)),"")=0,"",IFERROR(INDEX($A$9:$X$304,$AS277,COLUMNS($AV$9:BL276)),""))</f>
        <v>Gialer Liew</v>
      </c>
      <c r="BM277" s="1" t="str">
        <f>IF(IFERROR(INDEX($A$9:$X$304,$AS277,COLUMNS($AV$9:BM276)),"")=0,"",IFERROR(INDEX($A$9:$X$304,$AS277,COLUMNS($AV$9:BM276)),""))</f>
        <v>Tyrants: Raxxa's Revenge</v>
      </c>
      <c r="BN277" s="3" t="b">
        <f>IF(IFERROR(INDEX($A$9:$X$304,$AS277,COLUMNS($AV$9:BN276)),"")=0,"",IFERROR(INDEX($A$9:$X$304,$AS277,COLUMNS($AV$9:BN276)),""))</f>
        <v>1</v>
      </c>
      <c r="BO277" s="3" t="b">
        <f>IF(IFERROR(INDEX($A$9:$X$304,$AS277,COLUMNS($AV$9:BO276)),"")=0,"",IFERROR(INDEX($A$9:$X$304,$AS277,COLUMNS($AV$9:BO276)),""))</f>
        <v>0</v>
      </c>
      <c r="BP277" s="3" t="b">
        <f>IF(IFERROR(INDEX($A$9:$X$304,$AS277,COLUMNS($AV$9:BP276)),"")=0,"",IFERROR(INDEX($A$9:$X$304,$AS277,COLUMNS($AV$9:BP276)),""))</f>
        <v>0</v>
      </c>
      <c r="BQ277" s="3" t="b">
        <f>IF(IFERROR(INDEX($A$9:$X$304,$AS277,COLUMNS($AV$9:BQ276)),"")=0,"",IFERROR(INDEX($A$9:$X$304,$AS277,COLUMNS($AV$9:BQ276)),""))</f>
        <v>0</v>
      </c>
      <c r="BR277" s="3" t="str">
        <f>IF(IFERROR(INDEX($A$9:$X$304,$AS277,COLUMNS($AV$9:BR276)),"")=0,"",IFERROR(INDEX($A$9:$X$304,$AS277,COLUMNS($AV$9:BR276)),""))</f>
        <v>http://www.epiccardgame.com/wp-content/uploads/2016/03/urgent_messengers-214x300.jpg</v>
      </c>
      <c r="BS277" s="3" t="str">
        <f>IF(IFERROR(INDEX($A$9:$X$304,$AS277,COLUMNS($AV$9:BS276)),"")=0,"",IFERROR(INDEX($A$9:$X$304,$AS277,COLUMNS($AV$9:BS276)),""))</f>
        <v/>
      </c>
      <c r="BT277" s="3"/>
      <c r="BU277" s="15"/>
      <c r="BV277" t="s">
        <v>298</v>
      </c>
    </row>
    <row r="278" spans="1:74" ht="225.2" customHeight="1" x14ac:dyDescent="0.25">
      <c r="A278" t="s">
        <v>588</v>
      </c>
      <c r="B278">
        <v>1</v>
      </c>
      <c r="C278" t="s">
        <v>618</v>
      </c>
      <c r="E278" t="s">
        <v>620</v>
      </c>
      <c r="F278">
        <v>5</v>
      </c>
      <c r="G278">
        <v>5</v>
      </c>
      <c r="H278" t="s">
        <v>696</v>
      </c>
      <c r="I278" t="s">
        <v>916</v>
      </c>
      <c r="J278" t="s">
        <v>1034</v>
      </c>
      <c r="O278" t="s">
        <v>1083</v>
      </c>
      <c r="P278" t="s">
        <v>1112</v>
      </c>
      <c r="Q278" t="s">
        <v>1155</v>
      </c>
      <c r="R278" t="s">
        <v>1171</v>
      </c>
      <c r="S278" t="b">
        <v>1</v>
      </c>
      <c r="T278" t="b">
        <v>0</v>
      </c>
      <c r="U278" t="b">
        <v>0</v>
      </c>
      <c r="V278" t="b">
        <v>0</v>
      </c>
      <c r="W278" s="2" t="s">
        <v>1453</v>
      </c>
      <c r="X278" s="2"/>
      <c r="Y278" s="24">
        <v>270</v>
      </c>
      <c r="Z278">
        <f t="shared" si="80"/>
        <v>270</v>
      </c>
      <c r="AA278">
        <f t="shared" si="81"/>
        <v>270</v>
      </c>
      <c r="AB278">
        <f t="shared" si="82"/>
        <v>270</v>
      </c>
      <c r="AC278">
        <f t="shared" si="83"/>
        <v>0</v>
      </c>
      <c r="AD278">
        <f t="shared" si="84"/>
        <v>270</v>
      </c>
      <c r="AE278">
        <f t="shared" si="85"/>
        <v>270</v>
      </c>
      <c r="AF278">
        <f t="shared" si="86"/>
        <v>270</v>
      </c>
      <c r="AG278">
        <f t="shared" si="87"/>
        <v>270</v>
      </c>
      <c r="AH278">
        <f t="shared" si="88"/>
        <v>270</v>
      </c>
      <c r="AI278">
        <f t="shared" si="89"/>
        <v>270</v>
      </c>
      <c r="AJ278">
        <f t="shared" si="90"/>
        <v>0</v>
      </c>
      <c r="AK278">
        <f t="shared" si="91"/>
        <v>0</v>
      </c>
      <c r="AL278">
        <f t="shared" si="92"/>
        <v>0</v>
      </c>
      <c r="AM278">
        <f t="shared" si="93"/>
        <v>0</v>
      </c>
      <c r="AN278">
        <f t="shared" si="94"/>
        <v>270</v>
      </c>
      <c r="AO278">
        <f t="shared" si="95"/>
        <v>270</v>
      </c>
      <c r="AP278">
        <f t="shared" si="96"/>
        <v>270</v>
      </c>
      <c r="AQ278">
        <f t="shared" si="97"/>
        <v>270</v>
      </c>
      <c r="AR278" s="6">
        <f t="shared" si="98"/>
        <v>270</v>
      </c>
      <c r="AS278">
        <f t="shared" si="99"/>
        <v>270</v>
      </c>
      <c r="AV278" s="1" t="str">
        <f>IF(IFERROR(INDEX($A$9:$W$304,$AS278,COLUMNS($AV$9:AV277)),"")=0,"",IFERROR(INDEX($A$9:$W$304,$AS278,COLUMNS($AV$9:AV277)),""))</f>
        <v>Vampire Lord</v>
      </c>
      <c r="AW278" s="1">
        <f>IFERROR(INDEX($A$9:$W$304,$AS278,COLUMNS($AV$9:AW277)),"")</f>
        <v>1</v>
      </c>
      <c r="AX278" s="1" t="str">
        <f>IF(IFERROR(INDEX($A$9:$X$304,$AS278,COLUMNS($AV$9:AX277)),"")=0,"",IFERROR(INDEX($A$9:$X$304,$AS278,COLUMNS($AV$9:AX277)),""))</f>
        <v>EVIL</v>
      </c>
      <c r="AY278" s="1" t="str">
        <f>IF(IFERROR(INDEX($A$9:$X$304,$AS278,COLUMNS($AV$9:AY277)),"")=0,"",IFERROR(INDEX($A$9:$X$304,$AS278,COLUMNS($AV$9:AY277)),""))</f>
        <v/>
      </c>
      <c r="AZ278" s="1" t="str">
        <f>IF(IFERROR(INDEX($A$9:$X$304,$AS278,COLUMNS($AV$9:AZ277)),"")=0,"",IFERROR(INDEX($A$9:$X$304,$AS278,COLUMNS($AV$9:AZ277)),""))</f>
        <v>CHAMPION</v>
      </c>
      <c r="BA278" s="1">
        <f>IF(IFERROR(INDEX($A$9:$X$304,$AS278,COLUMNS($AV$9:BA277)),"")=0,"",IFERROR(INDEX($A$9:$X$304,$AS278,COLUMNS($AV$9:BA277)),""))</f>
        <v>5</v>
      </c>
      <c r="BB278" s="1">
        <f>IF(IFERROR(INDEX($A$9:$X$304,$AS278,COLUMNS($AV$9:BB277)),"")=0,"",IFERROR(INDEX($A$9:$X$304,$AS278,COLUMNS($AV$9:BB277)),""))</f>
        <v>5</v>
      </c>
      <c r="BC278" s="1" t="str">
        <f>IF(IFERROR(INDEX($A$9:$X$304,$AS278,COLUMNS($AV$9:BC277)),"")=0,"",IFERROR(INDEX($A$9:$X$304,$AS278,COLUMNS($AV$9:BC277)),""))</f>
        <v>Ambush ◆ Blitz</v>
      </c>
      <c r="BD278" s="1" t="str">
        <f>IF(IFERROR(INDEX($A$9:$X$304,$AS278,COLUMNS($AV$9:BD277)),"")=0,"",IFERROR(INDEX($A$9:$X$304,$AS278,COLUMNS($AV$9:BD277)),""))</f>
        <v>Unbreakable on your turn.</v>
      </c>
      <c r="BE278" s="1" t="str">
        <f>IF(IFERROR(INDEX($A$9:$X$304,$AS278,COLUMNS($AV$9:BE277)),"")=0,"",IFERROR(INDEX($A$9:$X$304,$AS278,COLUMNS($AV$9:BE277)),""))</f>
        <v>When this card deals damage → Put two +1 {offense} +1 {defense} counters on this card.</v>
      </c>
      <c r="BF278" s="1" t="str">
        <f>IF(IFERROR(INDEX($A$9:$X$304,$AS278,COLUMNS($AV$9:BF277)),"")=0,"",IFERROR(INDEX($A$9:$X$304,$AS278,COLUMNS($AV$9:BF277)),""))</f>
        <v/>
      </c>
      <c r="BG278" s="1" t="str">
        <f>IF(IFERROR(INDEX($A$9:$X$304,$AS278,COLUMNS($AV$9:BG277)),"")=0,"",IFERROR(INDEX($A$9:$X$304,$AS278,COLUMNS($AV$9:BG277)),""))</f>
        <v/>
      </c>
      <c r="BH278" s="1" t="str">
        <f>IF(IFERROR(INDEX($A$9:$X$304,$AS278,COLUMNS($AV$9:BH277)),"")=0,"",IFERROR(INDEX($A$9:$X$304,$AS278,COLUMNS($AV$9:BH277)),""))</f>
        <v/>
      </c>
      <c r="BI278" s="1" t="str">
        <f>IF(IFERROR(INDEX($A$9:$X$304,$AS278,COLUMNS($AV$9:BI277)),"")=0,"",IFERROR(INDEX($A$9:$X$304,$AS278,COLUMNS($AV$9:BI277)),""))</f>
        <v/>
      </c>
      <c r="BJ278" s="1" t="str">
        <f>IF(IFERROR(INDEX($A$9:$X$304,$AS278,COLUMNS($AV$9:BJ277)),"")=0,"",IFERROR(INDEX($A$9:$X$304,$AS278,COLUMNS($AV$9:BJ277)),""))</f>
        <v>VAMPIRE</v>
      </c>
      <c r="BK278" s="1" t="str">
        <f>IF(IFERROR(INDEX($A$9:$X$304,$AS278,COLUMNS($AV$9:BK277)),"")=0,"",IFERROR(INDEX($A$9:$X$304,$AS278,COLUMNS($AV$9:BK277)),""))</f>
        <v>Common</v>
      </c>
      <c r="BL278" s="1" t="str">
        <f>IF(IFERROR(INDEX($A$9:$X$304,$AS278,COLUMNS($AV$9:BL277)),"")=0,"",IFERROR(INDEX($A$9:$X$304,$AS278,COLUMNS($AV$9:BL277)),""))</f>
        <v>Daniel Warren</v>
      </c>
      <c r="BM278" s="1" t="str">
        <f>IF(IFERROR(INDEX($A$9:$X$304,$AS278,COLUMNS($AV$9:BM277)),"")=0,"",IFERROR(INDEX($A$9:$X$304,$AS278,COLUMNS($AV$9:BM277)),""))</f>
        <v>Base Set</v>
      </c>
      <c r="BN278" s="3" t="b">
        <f>IF(IFERROR(INDEX($A$9:$X$304,$AS278,COLUMNS($AV$9:BN277)),"")=0,"",IFERROR(INDEX($A$9:$X$304,$AS278,COLUMNS($AV$9:BN277)),""))</f>
        <v>1</v>
      </c>
      <c r="BO278" s="3" t="b">
        <f>IF(IFERROR(INDEX($A$9:$X$304,$AS278,COLUMNS($AV$9:BO277)),"")=0,"",IFERROR(INDEX($A$9:$X$304,$AS278,COLUMNS($AV$9:BO277)),""))</f>
        <v>0</v>
      </c>
      <c r="BP278" s="3" t="b">
        <f>IF(IFERROR(INDEX($A$9:$X$304,$AS278,COLUMNS($AV$9:BP277)),"")=0,"",IFERROR(INDEX($A$9:$X$304,$AS278,COLUMNS($AV$9:BP277)),""))</f>
        <v>0</v>
      </c>
      <c r="BQ278" s="3" t="b">
        <f>IF(IFERROR(INDEX($A$9:$X$304,$AS278,COLUMNS($AV$9:BQ277)),"")=0,"",IFERROR(INDEX($A$9:$X$304,$AS278,COLUMNS($AV$9:BQ277)),""))</f>
        <v>0</v>
      </c>
      <c r="BR278" s="3" t="str">
        <f>IF(IFERROR(INDEX($A$9:$X$304,$AS278,COLUMNS($AV$9:BR277)),"")=0,"",IFERROR(INDEX($A$9:$X$304,$AS278,COLUMNS($AV$9:BR277)),""))</f>
        <v>http://www.epiccardgame.com/wp-content/uploads/2015/09/vampire_lord-215x300.jpg</v>
      </c>
      <c r="BS278" s="3" t="str">
        <f>IF(IFERROR(INDEX($A$9:$X$304,$AS278,COLUMNS($AV$9:BS277)),"")=0,"",IFERROR(INDEX($A$9:$X$304,$AS278,COLUMNS($AV$9:BS277)),""))</f>
        <v/>
      </c>
      <c r="BT278" s="3"/>
      <c r="BU278" s="15"/>
      <c r="BV278" t="s">
        <v>299</v>
      </c>
    </row>
    <row r="279" spans="1:74" ht="225" customHeight="1" x14ac:dyDescent="0.25">
      <c r="A279" t="s">
        <v>589</v>
      </c>
      <c r="B279">
        <v>0</v>
      </c>
      <c r="C279" t="s">
        <v>616</v>
      </c>
      <c r="E279" t="s">
        <v>619</v>
      </c>
      <c r="H279" t="s">
        <v>751</v>
      </c>
      <c r="I279" t="s">
        <v>769</v>
      </c>
      <c r="O279" t="s">
        <v>1062</v>
      </c>
      <c r="P279" t="s">
        <v>1112</v>
      </c>
      <c r="Q279" t="s">
        <v>1127</v>
      </c>
      <c r="R279" t="s">
        <v>1175</v>
      </c>
      <c r="S279" t="b">
        <v>1</v>
      </c>
      <c r="T279" t="b">
        <v>1</v>
      </c>
      <c r="U279" t="b">
        <v>0</v>
      </c>
      <c r="V279" t="b">
        <v>0</v>
      </c>
      <c r="W279" s="2" t="s">
        <v>1454</v>
      </c>
      <c r="X279" s="2"/>
      <c r="Y279" s="24">
        <v>271</v>
      </c>
      <c r="Z279">
        <f t="shared" si="80"/>
        <v>271</v>
      </c>
      <c r="AA279">
        <f t="shared" si="81"/>
        <v>271</v>
      </c>
      <c r="AB279">
        <f t="shared" si="82"/>
        <v>271</v>
      </c>
      <c r="AC279">
        <f t="shared" si="83"/>
        <v>0</v>
      </c>
      <c r="AD279">
        <f t="shared" si="84"/>
        <v>271</v>
      </c>
      <c r="AE279">
        <f t="shared" si="85"/>
        <v>0</v>
      </c>
      <c r="AF279">
        <f t="shared" si="86"/>
        <v>0</v>
      </c>
      <c r="AG279">
        <f t="shared" si="87"/>
        <v>271</v>
      </c>
      <c r="AH279">
        <f t="shared" si="88"/>
        <v>271</v>
      </c>
      <c r="AI279">
        <f t="shared" si="89"/>
        <v>0</v>
      </c>
      <c r="AJ279">
        <f t="shared" si="90"/>
        <v>0</v>
      </c>
      <c r="AK279">
        <f t="shared" si="91"/>
        <v>0</v>
      </c>
      <c r="AL279">
        <f t="shared" si="92"/>
        <v>0</v>
      </c>
      <c r="AM279">
        <f t="shared" si="93"/>
        <v>0</v>
      </c>
      <c r="AN279">
        <f t="shared" si="94"/>
        <v>271</v>
      </c>
      <c r="AO279">
        <f t="shared" si="95"/>
        <v>271</v>
      </c>
      <c r="AP279">
        <f t="shared" si="96"/>
        <v>271</v>
      </c>
      <c r="AQ279">
        <f t="shared" si="97"/>
        <v>271</v>
      </c>
      <c r="AR279" s="6">
        <f t="shared" si="98"/>
        <v>271</v>
      </c>
      <c r="AS279">
        <f t="shared" si="99"/>
        <v>271</v>
      </c>
      <c r="AV279" s="1" t="str">
        <f>IF(IFERROR(INDEX($A$9:$W$304,$AS279,COLUMNS($AV$9:AV278)),"")=0,"",IFERROR(INDEX($A$9:$W$304,$AS279,COLUMNS($AV$9:AV278)),""))</f>
        <v>Vanishing</v>
      </c>
      <c r="AW279" s="1">
        <f>IFERROR(INDEX($A$9:$W$304,$AS279,COLUMNS($AV$9:AW278)),"")</f>
        <v>0</v>
      </c>
      <c r="AX279" s="1" t="str">
        <f>IF(IFERROR(INDEX($A$9:$X$304,$AS279,COLUMNS($AV$9:AX278)),"")=0,"",IFERROR(INDEX($A$9:$X$304,$AS279,COLUMNS($AV$9:AX278)),""))</f>
        <v>SAGE</v>
      </c>
      <c r="AY279" s="1" t="str">
        <f>IF(IFERROR(INDEX($A$9:$X$304,$AS279,COLUMNS($AV$9:AY278)),"")=0,"",IFERROR(INDEX($A$9:$X$304,$AS279,COLUMNS($AV$9:AY278)),""))</f>
        <v/>
      </c>
      <c r="AZ279" s="1" t="str">
        <f>IF(IFERROR(INDEX($A$9:$X$304,$AS279,COLUMNS($AV$9:AZ278)),"")=0,"",IFERROR(INDEX($A$9:$X$304,$AS279,COLUMNS($AV$9:AZ278)),""))</f>
        <v>EVENT</v>
      </c>
      <c r="BA279" s="1" t="str">
        <f>IF(IFERROR(INDEX($A$9:$X$304,$AS279,COLUMNS($AV$9:BA278)),"")=0,"",IFERROR(INDEX($A$9:$X$304,$AS279,COLUMNS($AV$9:BA278)),""))</f>
        <v/>
      </c>
      <c r="BB279" s="1" t="str">
        <f>IF(IFERROR(INDEX($A$9:$X$304,$AS279,COLUMNS($AV$9:BB278)),"")=0,"",IFERROR(INDEX($A$9:$X$304,$AS279,COLUMNS($AV$9:BB278)),""))</f>
        <v/>
      </c>
      <c r="BC279" s="1" t="str">
        <f>IF(IFERROR(INDEX($A$9:$X$304,$AS279,COLUMNS($AV$9:BC278)),"")=0,"",IFERROR(INDEX($A$9:$X$304,$AS279,COLUMNS($AV$9:BC278)),""))</f>
        <v>If it is your turn, return target champion to its owner's hand.</v>
      </c>
      <c r="BD279" s="1" t="str">
        <f>IF(IFERROR(INDEX($A$9:$X$304,$AS279,COLUMNS($AV$9:BD278)),"")=0,"",IFERROR(INDEX($A$9:$X$304,$AS279,COLUMNS($AV$9:BD278)),""))</f>
        <v>{1}: Draw two cards.</v>
      </c>
      <c r="BE279" s="1" t="str">
        <f>IF(IFERROR(INDEX($A$9:$X$304,$AS279,COLUMNS($AV$9:BE278)),"")=0,"",IFERROR(INDEX($A$9:$X$304,$AS279,COLUMNS($AV$9:BE278)),""))</f>
        <v/>
      </c>
      <c r="BF279" s="1" t="str">
        <f>IF(IFERROR(INDEX($A$9:$X$304,$AS279,COLUMNS($AV$9:BF278)),"")=0,"",IFERROR(INDEX($A$9:$X$304,$AS279,COLUMNS($AV$9:BF278)),""))</f>
        <v/>
      </c>
      <c r="BG279" s="1" t="str">
        <f>IF(IFERROR(INDEX($A$9:$X$304,$AS279,COLUMNS($AV$9:BG278)),"")=0,"",IFERROR(INDEX($A$9:$X$304,$AS279,COLUMNS($AV$9:BG278)),""))</f>
        <v/>
      </c>
      <c r="BH279" s="1" t="str">
        <f>IF(IFERROR(INDEX($A$9:$X$304,$AS279,COLUMNS($AV$9:BH278)),"")=0,"",IFERROR(INDEX($A$9:$X$304,$AS279,COLUMNS($AV$9:BH278)),""))</f>
        <v/>
      </c>
      <c r="BI279" s="1" t="str">
        <f>IF(IFERROR(INDEX($A$9:$X$304,$AS279,COLUMNS($AV$9:BI278)),"")=0,"",IFERROR(INDEX($A$9:$X$304,$AS279,COLUMNS($AV$9:BI278)),""))</f>
        <v/>
      </c>
      <c r="BJ279" s="1" t="str">
        <f>IF(IFERROR(INDEX($A$9:$X$304,$AS279,COLUMNS($AV$9:BJ278)),"")=0,"",IFERROR(INDEX($A$9:$X$304,$AS279,COLUMNS($AV$9:BJ278)),""))</f>
        <v>None</v>
      </c>
      <c r="BK279" s="1" t="str">
        <f>IF(IFERROR(INDEX($A$9:$X$304,$AS279,COLUMNS($AV$9:BK278)),"")=0,"",IFERROR(INDEX($A$9:$X$304,$AS279,COLUMNS($AV$9:BK278)),""))</f>
        <v>Common</v>
      </c>
      <c r="BL279" s="1" t="str">
        <f>IF(IFERROR(INDEX($A$9:$X$304,$AS279,COLUMNS($AV$9:BL278)),"")=0,"",IFERROR(INDEX($A$9:$X$304,$AS279,COLUMNS($AV$9:BL278)),""))</f>
        <v>Johnny Morrow</v>
      </c>
      <c r="BM279" s="1" t="str">
        <f>IF(IFERROR(INDEX($A$9:$X$304,$AS279,COLUMNS($AV$9:BM278)),"")=0,"",IFERROR(INDEX($A$9:$X$304,$AS279,COLUMNS($AV$9:BM278)),""))</f>
        <v>Tyrants: Helion's Deceit</v>
      </c>
      <c r="BN279" s="3" t="b">
        <f>IF(IFERROR(INDEX($A$9:$X$304,$AS279,COLUMNS($AV$9:BN278)),"")=0,"",IFERROR(INDEX($A$9:$X$304,$AS279,COLUMNS($AV$9:BN278)),""))</f>
        <v>1</v>
      </c>
      <c r="BO279" s="3" t="b">
        <f>IF(IFERROR(INDEX($A$9:$X$304,$AS279,COLUMNS($AV$9:BO278)),"")=0,"",IFERROR(INDEX($A$9:$X$304,$AS279,COLUMNS($AV$9:BO278)),""))</f>
        <v>1</v>
      </c>
      <c r="BP279" s="3" t="b">
        <f>IF(IFERROR(INDEX($A$9:$X$304,$AS279,COLUMNS($AV$9:BP278)),"")=0,"",IFERROR(INDEX($A$9:$X$304,$AS279,COLUMNS($AV$9:BP278)),""))</f>
        <v>0</v>
      </c>
      <c r="BQ279" s="3" t="b">
        <f>IF(IFERROR(INDEX($A$9:$X$304,$AS279,COLUMNS($AV$9:BQ278)),"")=0,"",IFERROR(INDEX($A$9:$X$304,$AS279,COLUMNS($AV$9:BQ278)),""))</f>
        <v>0</v>
      </c>
      <c r="BR279" s="3" t="str">
        <f>IF(IFERROR(INDEX($A$9:$X$304,$AS279,COLUMNS($AV$9:BR278)),"")=0,"",IFERROR(INDEX($A$9:$X$304,$AS279,COLUMNS($AV$9:BR278)),""))</f>
        <v>http://www.epiccardgame.com/wp-content/uploads/2016/03/vanishing-214x300.jpg</v>
      </c>
      <c r="BS279" s="3" t="str">
        <f>IF(IFERROR(INDEX($A$9:$X$304,$AS279,COLUMNS($AV$9:BS278)),"")=0,"",IFERROR(INDEX($A$9:$X$304,$AS279,COLUMNS($AV$9:BS278)),""))</f>
        <v/>
      </c>
      <c r="BT279" s="3"/>
      <c r="BU279" s="15"/>
      <c r="BV279" t="s">
        <v>300</v>
      </c>
    </row>
    <row r="280" spans="1:74" ht="225" customHeight="1" x14ac:dyDescent="0.25">
      <c r="A280" t="s">
        <v>590</v>
      </c>
      <c r="B280">
        <v>1</v>
      </c>
      <c r="C280" t="s">
        <v>616</v>
      </c>
      <c r="E280" t="s">
        <v>620</v>
      </c>
      <c r="F280">
        <v>10</v>
      </c>
      <c r="G280">
        <v>13</v>
      </c>
      <c r="H280" t="s">
        <v>22</v>
      </c>
      <c r="I280" t="s">
        <v>922</v>
      </c>
      <c r="O280" t="s">
        <v>1089</v>
      </c>
      <c r="P280" t="s">
        <v>1113</v>
      </c>
      <c r="Q280" t="s">
        <v>1167</v>
      </c>
      <c r="R280" t="s">
        <v>1172</v>
      </c>
      <c r="S280" t="b">
        <v>1</v>
      </c>
      <c r="T280" t="b">
        <v>0</v>
      </c>
      <c r="U280" t="b">
        <v>0</v>
      </c>
      <c r="V280" t="b">
        <v>0</v>
      </c>
      <c r="W280" s="2" t="s">
        <v>1455</v>
      </c>
      <c r="X280" s="2"/>
      <c r="Y280" s="24">
        <v>272</v>
      </c>
      <c r="Z280">
        <f t="shared" si="80"/>
        <v>272</v>
      </c>
      <c r="AA280">
        <f t="shared" si="81"/>
        <v>272</v>
      </c>
      <c r="AB280">
        <f t="shared" si="82"/>
        <v>272</v>
      </c>
      <c r="AC280">
        <f t="shared" si="83"/>
        <v>0</v>
      </c>
      <c r="AD280">
        <f t="shared" si="84"/>
        <v>272</v>
      </c>
      <c r="AE280">
        <f t="shared" si="85"/>
        <v>272</v>
      </c>
      <c r="AF280">
        <f t="shared" si="86"/>
        <v>272</v>
      </c>
      <c r="AG280">
        <f t="shared" si="87"/>
        <v>272</v>
      </c>
      <c r="AH280">
        <f t="shared" si="88"/>
        <v>272</v>
      </c>
      <c r="AI280">
        <f t="shared" si="89"/>
        <v>0</v>
      </c>
      <c r="AJ280">
        <f t="shared" si="90"/>
        <v>0</v>
      </c>
      <c r="AK280">
        <f t="shared" si="91"/>
        <v>0</v>
      </c>
      <c r="AL280">
        <f t="shared" si="92"/>
        <v>0</v>
      </c>
      <c r="AM280">
        <f t="shared" si="93"/>
        <v>0</v>
      </c>
      <c r="AN280">
        <f t="shared" si="94"/>
        <v>272</v>
      </c>
      <c r="AO280">
        <f t="shared" si="95"/>
        <v>272</v>
      </c>
      <c r="AP280">
        <f t="shared" si="96"/>
        <v>272</v>
      </c>
      <c r="AQ280">
        <f t="shared" si="97"/>
        <v>272</v>
      </c>
      <c r="AR280" s="6">
        <f t="shared" si="98"/>
        <v>272</v>
      </c>
      <c r="AS280">
        <f t="shared" si="99"/>
        <v>272</v>
      </c>
      <c r="AV280" s="1" t="str">
        <f>IF(IFERROR(INDEX($A$9:$W$304,$AS280,COLUMNS($AV$9:AV279)),"")=0,"",IFERROR(INDEX($A$9:$W$304,$AS280,COLUMNS($AV$9:AV279)),""))</f>
        <v>Velden, Frost Titan</v>
      </c>
      <c r="AW280" s="1">
        <f>IFERROR(INDEX($A$9:$W$304,$AS280,COLUMNS($AV$9:AW279)),"")</f>
        <v>1</v>
      </c>
      <c r="AX280" s="1" t="str">
        <f>IF(IFERROR(INDEX($A$9:$X$304,$AS280,COLUMNS($AV$9:AX279)),"")=0,"",IFERROR(INDEX($A$9:$X$304,$AS280,COLUMNS($AV$9:AX279)),""))</f>
        <v>SAGE</v>
      </c>
      <c r="AY280" s="1" t="str">
        <f>IF(IFERROR(INDEX($A$9:$X$304,$AS280,COLUMNS($AV$9:AY279)),"")=0,"",IFERROR(INDEX($A$9:$X$304,$AS280,COLUMNS($AV$9:AY279)),""))</f>
        <v/>
      </c>
      <c r="AZ280" s="1" t="str">
        <f>IF(IFERROR(INDEX($A$9:$X$304,$AS280,COLUMNS($AV$9:AZ279)),"")=0,"",IFERROR(INDEX($A$9:$X$304,$AS280,COLUMNS($AV$9:AZ279)),""))</f>
        <v>CHAMPION</v>
      </c>
      <c r="BA280" s="1">
        <f>IF(IFERROR(INDEX($A$9:$X$304,$AS280,COLUMNS($AV$9:BA279)),"")=0,"",IFERROR(INDEX($A$9:$X$304,$AS280,COLUMNS($AV$9:BA279)),""))</f>
        <v>10</v>
      </c>
      <c r="BB280" s="1">
        <f>IF(IFERROR(INDEX($A$9:$X$304,$AS280,COLUMNS($AV$9:BB279)),"")=0,"",IFERROR(INDEX($A$9:$X$304,$AS280,COLUMNS($AV$9:BB279)),""))</f>
        <v>13</v>
      </c>
      <c r="BC280" s="1" t="str">
        <f>IF(IFERROR(INDEX($A$9:$X$304,$AS280,COLUMNS($AV$9:BC279)),"")=0,"",IFERROR(INDEX($A$9:$X$304,$AS280,COLUMNS($AV$9:BC279)),""))</f>
        <v>Blitz</v>
      </c>
      <c r="BD280" s="1" t="str">
        <f>IF(IFERROR(INDEX($A$9:$X$304,$AS280,COLUMNS($AV$9:BD279)),"")=0,"",IFERROR(INDEX($A$9:$X$304,$AS280,COLUMNS($AV$9:BD279)),""))</f>
        <v>Loyalty X → For each card revealed, you may return a target opposing champion to its owner's hand.</v>
      </c>
      <c r="BE280" s="1" t="str">
        <f>IF(IFERROR(INDEX($A$9:$X$304,$AS280,COLUMNS($AV$9:BE279)),"")=0,"",IFERROR(INDEX($A$9:$X$304,$AS280,COLUMNS($AV$9:BE279)),""))</f>
        <v/>
      </c>
      <c r="BF280" s="1" t="str">
        <f>IF(IFERROR(INDEX($A$9:$X$304,$AS280,COLUMNS($AV$9:BF279)),"")=0,"",IFERROR(INDEX($A$9:$X$304,$AS280,COLUMNS($AV$9:BF279)),""))</f>
        <v/>
      </c>
      <c r="BG280" s="1" t="str">
        <f>IF(IFERROR(INDEX($A$9:$X$304,$AS280,COLUMNS($AV$9:BG279)),"")=0,"",IFERROR(INDEX($A$9:$X$304,$AS280,COLUMNS($AV$9:BG279)),""))</f>
        <v/>
      </c>
      <c r="BH280" s="1" t="str">
        <f>IF(IFERROR(INDEX($A$9:$X$304,$AS280,COLUMNS($AV$9:BH279)),"")=0,"",IFERROR(INDEX($A$9:$X$304,$AS280,COLUMNS($AV$9:BH279)),""))</f>
        <v/>
      </c>
      <c r="BI280" s="1" t="str">
        <f>IF(IFERROR(INDEX($A$9:$X$304,$AS280,COLUMNS($AV$9:BI279)),"")=0,"",IFERROR(INDEX($A$9:$X$304,$AS280,COLUMNS($AV$9:BI279)),""))</f>
        <v/>
      </c>
      <c r="BJ280" s="1" t="str">
        <f>IF(IFERROR(INDEX($A$9:$X$304,$AS280,COLUMNS($AV$9:BJ279)),"")=0,"",IFERROR(INDEX($A$9:$X$304,$AS280,COLUMNS($AV$9:BJ279)),""))</f>
        <v>GIANT</v>
      </c>
      <c r="BK280" s="1" t="str">
        <f>IF(IFERROR(INDEX($A$9:$X$304,$AS280,COLUMNS($AV$9:BK279)),"")=0,"",IFERROR(INDEX($A$9:$X$304,$AS280,COLUMNS($AV$9:BK279)),""))</f>
        <v>Rare</v>
      </c>
      <c r="BL280" s="1" t="str">
        <f>IF(IFERROR(INDEX($A$9:$X$304,$AS280,COLUMNS($AV$9:BL279)),"")=0,"",IFERROR(INDEX($A$9:$X$304,$AS280,COLUMNS($AV$9:BL279)),""))</f>
        <v>Jawad Tariq</v>
      </c>
      <c r="BM280" s="1" t="str">
        <f>IF(IFERROR(INDEX($A$9:$X$304,$AS280,COLUMNS($AV$9:BM279)),"")=0,"",IFERROR(INDEX($A$9:$X$304,$AS280,COLUMNS($AV$9:BM279)),""))</f>
        <v>Uprising: Velden's Wrath</v>
      </c>
      <c r="BN280" s="3" t="b">
        <f>IF(IFERROR(INDEX($A$9:$X$304,$AS280,COLUMNS($AV$9:BN279)),"")=0,"",IFERROR(INDEX($A$9:$X$304,$AS280,COLUMNS($AV$9:BN279)),""))</f>
        <v>1</v>
      </c>
      <c r="BO280" s="3" t="b">
        <f>IF(IFERROR(INDEX($A$9:$X$304,$AS280,COLUMNS($AV$9:BO279)),"")=0,"",IFERROR(INDEX($A$9:$X$304,$AS280,COLUMNS($AV$9:BO279)),""))</f>
        <v>0</v>
      </c>
      <c r="BP280" s="3" t="b">
        <f>IF(IFERROR(INDEX($A$9:$X$304,$AS280,COLUMNS($AV$9:BP279)),"")=0,"",IFERROR(INDEX($A$9:$X$304,$AS280,COLUMNS($AV$9:BP279)),""))</f>
        <v>0</v>
      </c>
      <c r="BQ280" s="3" t="b">
        <f>IF(IFERROR(INDEX($A$9:$X$304,$AS280,COLUMNS($AV$9:BQ279)),"")=0,"",IFERROR(INDEX($A$9:$X$304,$AS280,COLUMNS($AV$9:BQ279)),""))</f>
        <v>0</v>
      </c>
      <c r="BR280" s="3" t="str">
        <f>IF(IFERROR(INDEX($A$9:$X$304,$AS280,COLUMNS($AV$9:BR279)),"")=0,"",IFERROR(INDEX($A$9:$X$304,$AS280,COLUMNS($AV$9:BR279)),""))</f>
        <v>https://www.epiccardgame.com/wp-content/uploads/2017/11/UPV-EN-velden-frost-titan.jpg</v>
      </c>
      <c r="BS280" s="3" t="str">
        <f>IF(IFERROR(INDEX($A$9:$X$304,$AS280,COLUMNS($AV$9:BS279)),"")=0,"",IFERROR(INDEX($A$9:$X$304,$AS280,COLUMNS($AV$9:BS279)),""))</f>
        <v/>
      </c>
      <c r="BT280" s="3"/>
      <c r="BU280" s="15"/>
      <c r="BV280" t="s">
        <v>301</v>
      </c>
    </row>
    <row r="281" spans="1:74" ht="225.2" customHeight="1" x14ac:dyDescent="0.25">
      <c r="A281" t="s">
        <v>591</v>
      </c>
      <c r="B281">
        <v>1</v>
      </c>
      <c r="C281" t="s">
        <v>617</v>
      </c>
      <c r="E281" t="s">
        <v>620</v>
      </c>
      <c r="F281">
        <v>10</v>
      </c>
      <c r="G281">
        <v>3</v>
      </c>
      <c r="H281" t="s">
        <v>21</v>
      </c>
      <c r="I281" t="s">
        <v>674</v>
      </c>
      <c r="J281" t="s">
        <v>1020</v>
      </c>
      <c r="O281" t="s">
        <v>1063</v>
      </c>
      <c r="P281" t="s">
        <v>1112</v>
      </c>
      <c r="Q281" t="s">
        <v>1144</v>
      </c>
      <c r="R281" t="s">
        <v>1172</v>
      </c>
      <c r="S281" t="b">
        <v>1</v>
      </c>
      <c r="T281" t="b">
        <v>0</v>
      </c>
      <c r="U281" t="b">
        <v>0</v>
      </c>
      <c r="V281" t="b">
        <v>0</v>
      </c>
      <c r="W281" s="2" t="s">
        <v>1456</v>
      </c>
      <c r="X281" s="2"/>
      <c r="Y281" s="24">
        <v>273</v>
      </c>
      <c r="Z281">
        <f t="shared" si="80"/>
        <v>273</v>
      </c>
      <c r="AA281">
        <f t="shared" si="81"/>
        <v>273</v>
      </c>
      <c r="AB281">
        <f t="shared" si="82"/>
        <v>273</v>
      </c>
      <c r="AC281">
        <f t="shared" si="83"/>
        <v>0</v>
      </c>
      <c r="AD281">
        <f t="shared" si="84"/>
        <v>273</v>
      </c>
      <c r="AE281">
        <f t="shared" si="85"/>
        <v>273</v>
      </c>
      <c r="AF281">
        <f t="shared" si="86"/>
        <v>273</v>
      </c>
      <c r="AG281">
        <f t="shared" si="87"/>
        <v>273</v>
      </c>
      <c r="AH281">
        <f t="shared" si="88"/>
        <v>273</v>
      </c>
      <c r="AI281">
        <f t="shared" si="89"/>
        <v>273</v>
      </c>
      <c r="AJ281">
        <f t="shared" si="90"/>
        <v>0</v>
      </c>
      <c r="AK281">
        <f t="shared" si="91"/>
        <v>0</v>
      </c>
      <c r="AL281">
        <f t="shared" si="92"/>
        <v>0</v>
      </c>
      <c r="AM281">
        <f t="shared" si="93"/>
        <v>0</v>
      </c>
      <c r="AN281">
        <f t="shared" si="94"/>
        <v>273</v>
      </c>
      <c r="AO281">
        <f t="shared" si="95"/>
        <v>273</v>
      </c>
      <c r="AP281">
        <f t="shared" si="96"/>
        <v>273</v>
      </c>
      <c r="AQ281">
        <f t="shared" si="97"/>
        <v>273</v>
      </c>
      <c r="AR281" s="6">
        <f t="shared" si="98"/>
        <v>273</v>
      </c>
      <c r="AS281">
        <f t="shared" si="99"/>
        <v>273</v>
      </c>
      <c r="AV281" s="1" t="str">
        <f>IF(IFERROR(INDEX($A$9:$W$304,$AS281,COLUMNS($AV$9:AV280)),"")=0,"",IFERROR(INDEX($A$9:$W$304,$AS281,COLUMNS($AV$9:AV280)),""))</f>
        <v>Village Protector</v>
      </c>
      <c r="AW281" s="1">
        <f>IFERROR(INDEX($A$9:$W$304,$AS281,COLUMNS($AV$9:AW280)),"")</f>
        <v>1</v>
      </c>
      <c r="AX281" s="1" t="str">
        <f>IF(IFERROR(INDEX($A$9:$X$304,$AS281,COLUMNS($AV$9:AX280)),"")=0,"",IFERROR(INDEX($A$9:$X$304,$AS281,COLUMNS($AV$9:AX280)),""))</f>
        <v>GOOD</v>
      </c>
      <c r="AY281" s="1" t="str">
        <f>IF(IFERROR(INDEX($A$9:$X$304,$AS281,COLUMNS($AV$9:AY280)),"")=0,"",IFERROR(INDEX($A$9:$X$304,$AS281,COLUMNS($AV$9:AY280)),""))</f>
        <v/>
      </c>
      <c r="AZ281" s="1" t="str">
        <f>IF(IFERROR(INDEX($A$9:$X$304,$AS281,COLUMNS($AV$9:AZ280)),"")=0,"",IFERROR(INDEX($A$9:$X$304,$AS281,COLUMNS($AV$9:AZ280)),""))</f>
        <v>CHAMPION</v>
      </c>
      <c r="BA281" s="1">
        <f>IF(IFERROR(INDEX($A$9:$X$304,$AS281,COLUMNS($AV$9:BA280)),"")=0,"",IFERROR(INDEX($A$9:$X$304,$AS281,COLUMNS($AV$9:BA280)),""))</f>
        <v>10</v>
      </c>
      <c r="BB281" s="1">
        <f>IF(IFERROR(INDEX($A$9:$X$304,$AS281,COLUMNS($AV$9:BB280)),"")=0,"",IFERROR(INDEX($A$9:$X$304,$AS281,COLUMNS($AV$9:BB280)),""))</f>
        <v>3</v>
      </c>
      <c r="BC281" s="1" t="str">
        <f>IF(IFERROR(INDEX($A$9:$X$304,$AS281,COLUMNS($AV$9:BC280)),"")=0,"",IFERROR(INDEX($A$9:$X$304,$AS281,COLUMNS($AV$9:BC280)),""))</f>
        <v>Ambush</v>
      </c>
      <c r="BD281" s="1" t="str">
        <f>IF(IFERROR(INDEX($A$9:$X$304,$AS281,COLUMNS($AV$9:BD280)),"")=0,"",IFERROR(INDEX($A$9:$X$304,$AS281,COLUMNS($AV$9:BD280)),""))</f>
        <v>Loyalty 2 → Blitz</v>
      </c>
      <c r="BE281" s="1" t="str">
        <f>IF(IFERROR(INDEX($A$9:$X$304,$AS281,COLUMNS($AV$9:BE280)),"")=0,"",IFERROR(INDEX($A$9:$X$304,$AS281,COLUMNS($AV$9:BE280)),""))</f>
        <v>{expend}: Remove another target champion from combat. (It remains expended or flipped.)</v>
      </c>
      <c r="BF281" s="1" t="str">
        <f>IF(IFERROR(INDEX($A$9:$X$304,$AS281,COLUMNS($AV$9:BF280)),"")=0,"",IFERROR(INDEX($A$9:$X$304,$AS281,COLUMNS($AV$9:BF280)),""))</f>
        <v/>
      </c>
      <c r="BG281" s="1" t="str">
        <f>IF(IFERROR(INDEX($A$9:$X$304,$AS281,COLUMNS($AV$9:BG280)),"")=0,"",IFERROR(INDEX($A$9:$X$304,$AS281,COLUMNS($AV$9:BG280)),""))</f>
        <v/>
      </c>
      <c r="BH281" s="1" t="str">
        <f>IF(IFERROR(INDEX($A$9:$X$304,$AS281,COLUMNS($AV$9:BH280)),"")=0,"",IFERROR(INDEX($A$9:$X$304,$AS281,COLUMNS($AV$9:BH280)),""))</f>
        <v/>
      </c>
      <c r="BI281" s="1" t="str">
        <f>IF(IFERROR(INDEX($A$9:$X$304,$AS281,COLUMNS($AV$9:BI280)),"")=0,"",IFERROR(INDEX($A$9:$X$304,$AS281,COLUMNS($AV$9:BI280)),""))</f>
        <v/>
      </c>
      <c r="BJ281" s="1" t="str">
        <f>IF(IFERROR(INDEX($A$9:$X$304,$AS281,COLUMNS($AV$9:BJ280)),"")=0,"",IFERROR(INDEX($A$9:$X$304,$AS281,COLUMNS($AV$9:BJ280)),""))</f>
        <v>HUMAN</v>
      </c>
      <c r="BK281" s="1" t="str">
        <f>IF(IFERROR(INDEX($A$9:$X$304,$AS281,COLUMNS($AV$9:BK280)),"")=0,"",IFERROR(INDEX($A$9:$X$304,$AS281,COLUMNS($AV$9:BK280)),""))</f>
        <v>Common</v>
      </c>
      <c r="BL281" s="1" t="str">
        <f>IF(IFERROR(INDEX($A$9:$X$304,$AS281,COLUMNS($AV$9:BL280)),"")=0,"",IFERROR(INDEX($A$9:$X$304,$AS281,COLUMNS($AV$9:BL280)),""))</f>
        <v>Melvin Chan</v>
      </c>
      <c r="BM281" s="1" t="str">
        <f>IF(IFERROR(INDEX($A$9:$X$304,$AS281,COLUMNS($AV$9:BM280)),"")=0,"",IFERROR(INDEX($A$9:$X$304,$AS281,COLUMNS($AV$9:BM280)),""))</f>
        <v>Uprising: Velden's Wrath</v>
      </c>
      <c r="BN281" s="3" t="b">
        <f>IF(IFERROR(INDEX($A$9:$X$304,$AS281,COLUMNS($AV$9:BN280)),"")=0,"",IFERROR(INDEX($A$9:$X$304,$AS281,COLUMNS($AV$9:BN280)),""))</f>
        <v>1</v>
      </c>
      <c r="BO281" s="3" t="b">
        <f>IF(IFERROR(INDEX($A$9:$X$304,$AS281,COLUMNS($AV$9:BO280)),"")=0,"",IFERROR(INDEX($A$9:$X$304,$AS281,COLUMNS($AV$9:BO280)),""))</f>
        <v>0</v>
      </c>
      <c r="BP281" s="3" t="b">
        <f>IF(IFERROR(INDEX($A$9:$X$304,$AS281,COLUMNS($AV$9:BP280)),"")=0,"",IFERROR(INDEX($A$9:$X$304,$AS281,COLUMNS($AV$9:BP280)),""))</f>
        <v>0</v>
      </c>
      <c r="BQ281" s="3" t="b">
        <f>IF(IFERROR(INDEX($A$9:$X$304,$AS281,COLUMNS($AV$9:BQ280)),"")=0,"",IFERROR(INDEX($A$9:$X$304,$AS281,COLUMNS($AV$9:BQ280)),""))</f>
        <v>0</v>
      </c>
      <c r="BR281" s="3" t="str">
        <f>IF(IFERROR(INDEX($A$9:$X$304,$AS281,COLUMNS($AV$9:BR280)),"")=0,"",IFERROR(INDEX($A$9:$X$304,$AS281,COLUMNS($AV$9:BR280)),""))</f>
        <v>https://www.epiccardgame.com/wp-content/uploads/2017/11/UPV-EN-village-protector.jpg</v>
      </c>
      <c r="BS281" s="3" t="str">
        <f>IF(IFERROR(INDEX($A$9:$X$304,$AS281,COLUMNS($AV$9:BS280)),"")=0,"",IFERROR(INDEX($A$9:$X$304,$AS281,COLUMNS($AV$9:BS280)),""))</f>
        <v/>
      </c>
      <c r="BT281" s="3"/>
      <c r="BU281" s="15"/>
      <c r="BV281" t="s">
        <v>302</v>
      </c>
    </row>
    <row r="282" spans="1:74" ht="225.2" customHeight="1" x14ac:dyDescent="0.25">
      <c r="A282" t="s">
        <v>592</v>
      </c>
      <c r="B282">
        <v>1</v>
      </c>
      <c r="C282" t="s">
        <v>617</v>
      </c>
      <c r="E282" t="s">
        <v>619</v>
      </c>
      <c r="H282" t="s">
        <v>752</v>
      </c>
      <c r="I282" t="s">
        <v>954</v>
      </c>
      <c r="O282" t="s">
        <v>1062</v>
      </c>
      <c r="P282" t="s">
        <v>1112</v>
      </c>
      <c r="Q282" t="s">
        <v>1118</v>
      </c>
      <c r="R282" t="s">
        <v>1171</v>
      </c>
      <c r="S282" t="b">
        <v>1</v>
      </c>
      <c r="T282" t="b">
        <v>0</v>
      </c>
      <c r="U282" t="b">
        <v>0</v>
      </c>
      <c r="V282" t="b">
        <v>0</v>
      </c>
      <c r="W282" s="2" t="s">
        <v>1457</v>
      </c>
      <c r="X282" s="2"/>
      <c r="Y282" s="24">
        <v>274</v>
      </c>
      <c r="Z282">
        <f t="shared" si="80"/>
        <v>274</v>
      </c>
      <c r="AA282">
        <f t="shared" si="81"/>
        <v>274</v>
      </c>
      <c r="AB282">
        <f t="shared" si="82"/>
        <v>274</v>
      </c>
      <c r="AC282">
        <f t="shared" si="83"/>
        <v>0</v>
      </c>
      <c r="AD282">
        <f t="shared" si="84"/>
        <v>274</v>
      </c>
      <c r="AE282">
        <f t="shared" si="85"/>
        <v>0</v>
      </c>
      <c r="AF282">
        <f t="shared" si="86"/>
        <v>0</v>
      </c>
      <c r="AG282">
        <f t="shared" si="87"/>
        <v>274</v>
      </c>
      <c r="AH282">
        <f t="shared" si="88"/>
        <v>274</v>
      </c>
      <c r="AI282">
        <f t="shared" si="89"/>
        <v>0</v>
      </c>
      <c r="AJ282">
        <f t="shared" si="90"/>
        <v>0</v>
      </c>
      <c r="AK282">
        <f t="shared" si="91"/>
        <v>0</v>
      </c>
      <c r="AL282">
        <f t="shared" si="92"/>
        <v>0</v>
      </c>
      <c r="AM282">
        <f t="shared" si="93"/>
        <v>0</v>
      </c>
      <c r="AN282">
        <f t="shared" si="94"/>
        <v>274</v>
      </c>
      <c r="AO282">
        <f t="shared" si="95"/>
        <v>274</v>
      </c>
      <c r="AP282">
        <f t="shared" si="96"/>
        <v>274</v>
      </c>
      <c r="AQ282">
        <f t="shared" si="97"/>
        <v>274</v>
      </c>
      <c r="AR282" s="6">
        <f t="shared" si="98"/>
        <v>274</v>
      </c>
      <c r="AS282">
        <f t="shared" si="99"/>
        <v>274</v>
      </c>
      <c r="AV282" s="1" t="str">
        <f>IF(IFERROR(INDEX($A$9:$W$304,$AS282,COLUMNS($AV$9:AV281)),"")=0,"",IFERROR(INDEX($A$9:$W$304,$AS282,COLUMNS($AV$9:AV281)),""))</f>
        <v>Vital Mission</v>
      </c>
      <c r="AW282" s="1">
        <f>IFERROR(INDEX($A$9:$W$304,$AS282,COLUMNS($AV$9:AW281)),"")</f>
        <v>1</v>
      </c>
      <c r="AX282" s="1" t="str">
        <f>IF(IFERROR(INDEX($A$9:$X$304,$AS282,COLUMNS($AV$9:AX281)),"")=0,"",IFERROR(INDEX($A$9:$X$304,$AS282,COLUMNS($AV$9:AX281)),""))</f>
        <v>GOOD</v>
      </c>
      <c r="AY282" s="1" t="str">
        <f>IF(IFERROR(INDEX($A$9:$X$304,$AS282,COLUMNS($AV$9:AY281)),"")=0,"",IFERROR(INDEX($A$9:$X$304,$AS282,COLUMNS($AV$9:AY281)),""))</f>
        <v/>
      </c>
      <c r="AZ282" s="1" t="str">
        <f>IF(IFERROR(INDEX($A$9:$X$304,$AS282,COLUMNS($AV$9:AZ281)),"")=0,"",IFERROR(INDEX($A$9:$X$304,$AS282,COLUMNS($AV$9:AZ281)),""))</f>
        <v>EVENT</v>
      </c>
      <c r="BA282" s="1" t="str">
        <f>IF(IFERROR(INDEX($A$9:$X$304,$AS282,COLUMNS($AV$9:BA281)),"")=0,"",IFERROR(INDEX($A$9:$X$304,$AS282,COLUMNS($AV$9:BA281)),""))</f>
        <v/>
      </c>
      <c r="BB282" s="1" t="str">
        <f>IF(IFERROR(INDEX($A$9:$X$304,$AS282,COLUMNS($AV$9:BB281)),"")=0,"",IFERROR(INDEX($A$9:$X$304,$AS282,COLUMNS($AV$9:BB281)),""))</f>
        <v/>
      </c>
      <c r="BC282" s="1" t="str">
        <f>IF(IFERROR(INDEX($A$9:$X$304,$AS282,COLUMNS($AV$9:BC281)),"")=0,"",IFERROR(INDEX($A$9:$X$304,$AS282,COLUMNS($AV$9:BC281)),""))</f>
        <v>Banish target champion. Its controller gains health equal to its offense.</v>
      </c>
      <c r="BD282" s="1" t="str">
        <f>IF(IFERROR(INDEX($A$9:$X$304,$AS282,COLUMNS($AV$9:BD281)),"")=0,"",IFERROR(INDEX($A$9:$X$304,$AS282,COLUMNS($AV$9:BD281)),""))</f>
        <v>If you were the champion's controller, draw two cards.</v>
      </c>
      <c r="BE282" s="1" t="str">
        <f>IF(IFERROR(INDEX($A$9:$X$304,$AS282,COLUMNS($AV$9:BE281)),"")=0,"",IFERROR(INDEX($A$9:$X$304,$AS282,COLUMNS($AV$9:BE281)),""))</f>
        <v/>
      </c>
      <c r="BF282" s="1" t="str">
        <f>IF(IFERROR(INDEX($A$9:$X$304,$AS282,COLUMNS($AV$9:BF281)),"")=0,"",IFERROR(INDEX($A$9:$X$304,$AS282,COLUMNS($AV$9:BF281)),""))</f>
        <v/>
      </c>
      <c r="BG282" s="1" t="str">
        <f>IF(IFERROR(INDEX($A$9:$X$304,$AS282,COLUMNS($AV$9:BG281)),"")=0,"",IFERROR(INDEX($A$9:$X$304,$AS282,COLUMNS($AV$9:BG281)),""))</f>
        <v/>
      </c>
      <c r="BH282" s="1" t="str">
        <f>IF(IFERROR(INDEX($A$9:$X$304,$AS282,COLUMNS($AV$9:BH281)),"")=0,"",IFERROR(INDEX($A$9:$X$304,$AS282,COLUMNS($AV$9:BH281)),""))</f>
        <v/>
      </c>
      <c r="BI282" s="1" t="str">
        <f>IF(IFERROR(INDEX($A$9:$X$304,$AS282,COLUMNS($AV$9:BI281)),"")=0,"",IFERROR(INDEX($A$9:$X$304,$AS282,COLUMNS($AV$9:BI281)),""))</f>
        <v/>
      </c>
      <c r="BJ282" s="1" t="str">
        <f>IF(IFERROR(INDEX($A$9:$X$304,$AS282,COLUMNS($AV$9:BJ281)),"")=0,"",IFERROR(INDEX($A$9:$X$304,$AS282,COLUMNS($AV$9:BJ281)),""))</f>
        <v>None</v>
      </c>
      <c r="BK282" s="1" t="str">
        <f>IF(IFERROR(INDEX($A$9:$X$304,$AS282,COLUMNS($AV$9:BK281)),"")=0,"",IFERROR(INDEX($A$9:$X$304,$AS282,COLUMNS($AV$9:BK281)),""))</f>
        <v>Common</v>
      </c>
      <c r="BL282" s="1" t="str">
        <f>IF(IFERROR(INDEX($A$9:$X$304,$AS282,COLUMNS($AV$9:BL281)),"")=0,"",IFERROR(INDEX($A$9:$X$304,$AS282,COLUMNS($AV$9:BL281)),""))</f>
        <v>L.Sean</v>
      </c>
      <c r="BM282" s="1" t="str">
        <f>IF(IFERROR(INDEX($A$9:$X$304,$AS282,COLUMNS($AV$9:BM281)),"")=0,"",IFERROR(INDEX($A$9:$X$304,$AS282,COLUMNS($AV$9:BM281)),""))</f>
        <v>Base Set</v>
      </c>
      <c r="BN282" s="3" t="b">
        <f>IF(IFERROR(INDEX($A$9:$X$304,$AS282,COLUMNS($AV$9:BN281)),"")=0,"",IFERROR(INDEX($A$9:$X$304,$AS282,COLUMNS($AV$9:BN281)),""))</f>
        <v>1</v>
      </c>
      <c r="BO282" s="3" t="b">
        <f>IF(IFERROR(INDEX($A$9:$X$304,$AS282,COLUMNS($AV$9:BO281)),"")=0,"",IFERROR(INDEX($A$9:$X$304,$AS282,COLUMNS($AV$9:BO281)),""))</f>
        <v>0</v>
      </c>
      <c r="BP282" s="3" t="b">
        <f>IF(IFERROR(INDEX($A$9:$X$304,$AS282,COLUMNS($AV$9:BP281)),"")=0,"",IFERROR(INDEX($A$9:$X$304,$AS282,COLUMNS($AV$9:BP281)),""))</f>
        <v>0</v>
      </c>
      <c r="BQ282" s="3" t="b">
        <f>IF(IFERROR(INDEX($A$9:$X$304,$AS282,COLUMNS($AV$9:BQ281)),"")=0,"",IFERROR(INDEX($A$9:$X$304,$AS282,COLUMNS($AV$9:BQ281)),""))</f>
        <v>0</v>
      </c>
      <c r="BR282" s="3" t="str">
        <f>IF(IFERROR(INDEX($A$9:$X$304,$AS282,COLUMNS($AV$9:BR281)),"")=0,"",IFERROR(INDEX($A$9:$X$304,$AS282,COLUMNS($AV$9:BR281)),""))</f>
        <v>http://www.epiccardgame.com/wp-content/uploads/2015/09/vital_mission-215x300.jpg</v>
      </c>
      <c r="BS282" s="3" t="str">
        <f>IF(IFERROR(INDEX($A$9:$X$304,$AS282,COLUMNS($AV$9:BS281)),"")=0,"",IFERROR(INDEX($A$9:$X$304,$AS282,COLUMNS($AV$9:BS281)),""))</f>
        <v/>
      </c>
      <c r="BT282" s="3"/>
      <c r="BU282" s="15"/>
      <c r="BV282" t="s">
        <v>303</v>
      </c>
    </row>
    <row r="283" spans="1:74" ht="225" customHeight="1" x14ac:dyDescent="0.25">
      <c r="A283" t="s">
        <v>593</v>
      </c>
      <c r="B283">
        <v>1</v>
      </c>
      <c r="C283" t="s">
        <v>616</v>
      </c>
      <c r="E283" t="s">
        <v>620</v>
      </c>
      <c r="F283">
        <v>10</v>
      </c>
      <c r="G283">
        <v>10</v>
      </c>
      <c r="H283" t="s">
        <v>674</v>
      </c>
      <c r="I283" t="s">
        <v>955</v>
      </c>
      <c r="O283" t="s">
        <v>1075</v>
      </c>
      <c r="P283" t="s">
        <v>1112</v>
      </c>
      <c r="Q283" t="s">
        <v>1144</v>
      </c>
      <c r="R283" t="s">
        <v>1180</v>
      </c>
      <c r="S283" t="b">
        <v>1</v>
      </c>
      <c r="T283" t="b">
        <v>0</v>
      </c>
      <c r="U283" t="b">
        <v>0</v>
      </c>
      <c r="V283" t="b">
        <v>0</v>
      </c>
      <c r="W283" s="2" t="s">
        <v>1458</v>
      </c>
      <c r="X283" s="2"/>
      <c r="Y283" s="24">
        <v>275</v>
      </c>
      <c r="Z283">
        <f t="shared" si="80"/>
        <v>275</v>
      </c>
      <c r="AA283">
        <f t="shared" si="81"/>
        <v>275</v>
      </c>
      <c r="AB283">
        <f t="shared" si="82"/>
        <v>275</v>
      </c>
      <c r="AC283">
        <f t="shared" si="83"/>
        <v>0</v>
      </c>
      <c r="AD283">
        <f t="shared" si="84"/>
        <v>275</v>
      </c>
      <c r="AE283">
        <f t="shared" si="85"/>
        <v>275</v>
      </c>
      <c r="AF283">
        <f t="shared" si="86"/>
        <v>275</v>
      </c>
      <c r="AG283">
        <f t="shared" si="87"/>
        <v>275</v>
      </c>
      <c r="AH283">
        <f t="shared" si="88"/>
        <v>275</v>
      </c>
      <c r="AI283">
        <f t="shared" si="89"/>
        <v>0</v>
      </c>
      <c r="AJ283">
        <f t="shared" si="90"/>
        <v>0</v>
      </c>
      <c r="AK283">
        <f t="shared" si="91"/>
        <v>0</v>
      </c>
      <c r="AL283">
        <f t="shared" si="92"/>
        <v>0</v>
      </c>
      <c r="AM283">
        <f t="shared" si="93"/>
        <v>0</v>
      </c>
      <c r="AN283">
        <f t="shared" si="94"/>
        <v>275</v>
      </c>
      <c r="AO283">
        <f t="shared" si="95"/>
        <v>275</v>
      </c>
      <c r="AP283">
        <f t="shared" si="96"/>
        <v>275</v>
      </c>
      <c r="AQ283">
        <f t="shared" si="97"/>
        <v>275</v>
      </c>
      <c r="AR283" s="6">
        <f t="shared" si="98"/>
        <v>275</v>
      </c>
      <c r="AS283">
        <f t="shared" si="99"/>
        <v>275</v>
      </c>
      <c r="AV283" s="1" t="str">
        <f>IF(IFERROR(INDEX($A$9:$W$304,$AS283,COLUMNS($AV$9:AV282)),"")=0,"",IFERROR(INDEX($A$9:$W$304,$AS283,COLUMNS($AV$9:AV282)),""))</f>
        <v>War Machine</v>
      </c>
      <c r="AW283" s="1">
        <f>IFERROR(INDEX($A$9:$W$304,$AS283,COLUMNS($AV$9:AW282)),"")</f>
        <v>1</v>
      </c>
      <c r="AX283" s="1" t="str">
        <f>IF(IFERROR(INDEX($A$9:$X$304,$AS283,COLUMNS($AV$9:AX282)),"")=0,"",IFERROR(INDEX($A$9:$X$304,$AS283,COLUMNS($AV$9:AX282)),""))</f>
        <v>SAGE</v>
      </c>
      <c r="AY283" s="1" t="str">
        <f>IF(IFERROR(INDEX($A$9:$X$304,$AS283,COLUMNS($AV$9:AY282)),"")=0,"",IFERROR(INDEX($A$9:$X$304,$AS283,COLUMNS($AV$9:AY282)),""))</f>
        <v/>
      </c>
      <c r="AZ283" s="1" t="str">
        <f>IF(IFERROR(INDEX($A$9:$X$304,$AS283,COLUMNS($AV$9:AZ282)),"")=0,"",IFERROR(INDEX($A$9:$X$304,$AS283,COLUMNS($AV$9:AZ282)),""))</f>
        <v>CHAMPION</v>
      </c>
      <c r="BA283" s="1">
        <f>IF(IFERROR(INDEX($A$9:$X$304,$AS283,COLUMNS($AV$9:BA282)),"")=0,"",IFERROR(INDEX($A$9:$X$304,$AS283,COLUMNS($AV$9:BA282)),""))</f>
        <v>10</v>
      </c>
      <c r="BB283" s="1">
        <f>IF(IFERROR(INDEX($A$9:$X$304,$AS283,COLUMNS($AV$9:BB282)),"")=0,"",IFERROR(INDEX($A$9:$X$304,$AS283,COLUMNS($AV$9:BB282)),""))</f>
        <v>10</v>
      </c>
      <c r="BC283" s="1" t="str">
        <f>IF(IFERROR(INDEX($A$9:$X$304,$AS283,COLUMNS($AV$9:BC282)),"")=0,"",IFERROR(INDEX($A$9:$X$304,$AS283,COLUMNS($AV$9:BC282)),""))</f>
        <v>Loyalty 2 → Blitz</v>
      </c>
      <c r="BD283" s="1" t="str">
        <f>IF(IFERROR(INDEX($A$9:$X$304,$AS283,COLUMNS($AV$9:BD282)),"")=0,"",IFERROR(INDEX($A$9:$X$304,$AS283,COLUMNS($AV$9:BD282)),""))</f>
        <v>Tribute → Banish all opposing {0} champions.</v>
      </c>
      <c r="BE283" s="1" t="str">
        <f>IF(IFERROR(INDEX($A$9:$X$304,$AS283,COLUMNS($AV$9:BE282)),"")=0,"",IFERROR(INDEX($A$9:$X$304,$AS283,COLUMNS($AV$9:BE282)),""))</f>
        <v/>
      </c>
      <c r="BF283" s="1" t="str">
        <f>IF(IFERROR(INDEX($A$9:$X$304,$AS283,COLUMNS($AV$9:BF282)),"")=0,"",IFERROR(INDEX($A$9:$X$304,$AS283,COLUMNS($AV$9:BF282)),""))</f>
        <v/>
      </c>
      <c r="BG283" s="1" t="str">
        <f>IF(IFERROR(INDEX($A$9:$X$304,$AS283,COLUMNS($AV$9:BG282)),"")=0,"",IFERROR(INDEX($A$9:$X$304,$AS283,COLUMNS($AV$9:BG282)),""))</f>
        <v/>
      </c>
      <c r="BH283" s="1" t="str">
        <f>IF(IFERROR(INDEX($A$9:$X$304,$AS283,COLUMNS($AV$9:BH282)),"")=0,"",IFERROR(INDEX($A$9:$X$304,$AS283,COLUMNS($AV$9:BH282)),""))</f>
        <v/>
      </c>
      <c r="BI283" s="1" t="str">
        <f>IF(IFERROR(INDEX($A$9:$X$304,$AS283,COLUMNS($AV$9:BI282)),"")=0,"",IFERROR(INDEX($A$9:$X$304,$AS283,COLUMNS($AV$9:BI282)),""))</f>
        <v/>
      </c>
      <c r="BJ283" s="1" t="str">
        <f>IF(IFERROR(INDEX($A$9:$X$304,$AS283,COLUMNS($AV$9:BJ282)),"")=0,"",IFERROR(INDEX($A$9:$X$304,$AS283,COLUMNS($AV$9:BJ282)),""))</f>
        <v>CONSTRUCT</v>
      </c>
      <c r="BK283" s="1" t="str">
        <f>IF(IFERROR(INDEX($A$9:$X$304,$AS283,COLUMNS($AV$9:BK282)),"")=0,"",IFERROR(INDEX($A$9:$X$304,$AS283,COLUMNS($AV$9:BK282)),""))</f>
        <v>Common</v>
      </c>
      <c r="BL283" s="1" t="str">
        <f>IF(IFERROR(INDEX($A$9:$X$304,$AS283,COLUMNS($AV$9:BL282)),"")=0,"",IFERROR(INDEX($A$9:$X$304,$AS283,COLUMNS($AV$9:BL282)),""))</f>
        <v>Melvin Chan</v>
      </c>
      <c r="BM283" s="1" t="str">
        <f>IF(IFERROR(INDEX($A$9:$X$304,$AS283,COLUMNS($AV$9:BM282)),"")=0,"",IFERROR(INDEX($A$9:$X$304,$AS283,COLUMNS($AV$9:BM282)),""))</f>
        <v>Uprising: Flames of Scarros</v>
      </c>
      <c r="BN283" s="3" t="b">
        <f>IF(IFERROR(INDEX($A$9:$X$304,$AS283,COLUMNS($AV$9:BN282)),"")=0,"",IFERROR(INDEX($A$9:$X$304,$AS283,COLUMNS($AV$9:BN282)),""))</f>
        <v>1</v>
      </c>
      <c r="BO283" s="3" t="b">
        <f>IF(IFERROR(INDEX($A$9:$X$304,$AS283,COLUMNS($AV$9:BO282)),"")=0,"",IFERROR(INDEX($A$9:$X$304,$AS283,COLUMNS($AV$9:BO282)),""))</f>
        <v>0</v>
      </c>
      <c r="BP283" s="3" t="b">
        <f>IF(IFERROR(INDEX($A$9:$X$304,$AS283,COLUMNS($AV$9:BP282)),"")=0,"",IFERROR(INDEX($A$9:$X$304,$AS283,COLUMNS($AV$9:BP282)),""))</f>
        <v>0</v>
      </c>
      <c r="BQ283" s="3" t="b">
        <f>IF(IFERROR(INDEX($A$9:$X$304,$AS283,COLUMNS($AV$9:BQ282)),"")=0,"",IFERROR(INDEX($A$9:$X$304,$AS283,COLUMNS($AV$9:BQ282)),""))</f>
        <v>0</v>
      </c>
      <c r="BR283" s="3" t="str">
        <f>IF(IFERROR(INDEX($A$9:$X$304,$AS283,COLUMNS($AV$9:BR282)),"")=0,"",IFERROR(INDEX($A$9:$X$304,$AS283,COLUMNS($AV$9:BR282)),""))</f>
        <v>https://www.epiccardgame.com/wp-content/uploads/2017/11/UPS-EN-war-machine.jpg</v>
      </c>
      <c r="BS283" s="3" t="str">
        <f>IF(IFERROR(INDEX($A$9:$X$304,$AS283,COLUMNS($AV$9:BS282)),"")=0,"",IFERROR(INDEX($A$9:$X$304,$AS283,COLUMNS($AV$9:BS282)),""))</f>
        <v/>
      </c>
      <c r="BT283" s="3"/>
      <c r="BU283" s="15"/>
      <c r="BV283" t="s">
        <v>304</v>
      </c>
    </row>
    <row r="284" spans="1:74" ht="225.2" customHeight="1" x14ac:dyDescent="0.25">
      <c r="A284" t="s">
        <v>594</v>
      </c>
      <c r="B284">
        <v>1</v>
      </c>
      <c r="C284" t="s">
        <v>617</v>
      </c>
      <c r="E284" t="s">
        <v>620</v>
      </c>
      <c r="F284">
        <v>9</v>
      </c>
      <c r="G284">
        <v>9</v>
      </c>
      <c r="H284" t="s">
        <v>676</v>
      </c>
      <c r="I284" t="s">
        <v>956</v>
      </c>
      <c r="O284" t="s">
        <v>1064</v>
      </c>
      <c r="P284" t="s">
        <v>1112</v>
      </c>
      <c r="Q284" t="s">
        <v>1168</v>
      </c>
      <c r="R284" t="s">
        <v>1169</v>
      </c>
      <c r="S284" t="b">
        <v>1</v>
      </c>
      <c r="T284" t="b">
        <v>0</v>
      </c>
      <c r="U284" t="b">
        <v>0</v>
      </c>
      <c r="V284" t="b">
        <v>0</v>
      </c>
      <c r="W284" s="2" t="s">
        <v>1459</v>
      </c>
      <c r="X284" s="2"/>
      <c r="Y284" s="24">
        <v>276</v>
      </c>
      <c r="Z284">
        <f t="shared" si="80"/>
        <v>276</v>
      </c>
      <c r="AA284">
        <f t="shared" si="81"/>
        <v>276</v>
      </c>
      <c r="AB284">
        <f t="shared" si="82"/>
        <v>276</v>
      </c>
      <c r="AC284">
        <f t="shared" si="83"/>
        <v>0</v>
      </c>
      <c r="AD284">
        <f t="shared" si="84"/>
        <v>276</v>
      </c>
      <c r="AE284">
        <f t="shared" si="85"/>
        <v>276</v>
      </c>
      <c r="AF284">
        <f t="shared" si="86"/>
        <v>276</v>
      </c>
      <c r="AG284">
        <f t="shared" si="87"/>
        <v>276</v>
      </c>
      <c r="AH284">
        <f t="shared" si="88"/>
        <v>276</v>
      </c>
      <c r="AI284">
        <f t="shared" si="89"/>
        <v>0</v>
      </c>
      <c r="AJ284">
        <f t="shared" si="90"/>
        <v>0</v>
      </c>
      <c r="AK284">
        <f t="shared" si="91"/>
        <v>0</v>
      </c>
      <c r="AL284">
        <f t="shared" si="92"/>
        <v>0</v>
      </c>
      <c r="AM284">
        <f t="shared" si="93"/>
        <v>0</v>
      </c>
      <c r="AN284">
        <f t="shared" si="94"/>
        <v>276</v>
      </c>
      <c r="AO284">
        <f t="shared" si="95"/>
        <v>276</v>
      </c>
      <c r="AP284">
        <f t="shared" si="96"/>
        <v>276</v>
      </c>
      <c r="AQ284">
        <f t="shared" si="97"/>
        <v>276</v>
      </c>
      <c r="AR284" s="6">
        <f t="shared" si="98"/>
        <v>276</v>
      </c>
      <c r="AS284">
        <f t="shared" si="99"/>
        <v>276</v>
      </c>
      <c r="AV284" s="1" t="str">
        <f>IF(IFERROR(INDEX($A$9:$W$304,$AS284,COLUMNS($AV$9:AV283)),"")=0,"",IFERROR(INDEX($A$9:$W$304,$AS284,COLUMNS($AV$9:AV283)),""))</f>
        <v>Warrior Angel</v>
      </c>
      <c r="AW284" s="1">
        <f>IFERROR(INDEX($A$9:$W$304,$AS284,COLUMNS($AV$9:AW283)),"")</f>
        <v>1</v>
      </c>
      <c r="AX284" s="1" t="str">
        <f>IF(IFERROR(INDEX($A$9:$X$304,$AS284,COLUMNS($AV$9:AX283)),"")=0,"",IFERROR(INDEX($A$9:$X$304,$AS284,COLUMNS($AV$9:AX283)),""))</f>
        <v>GOOD</v>
      </c>
      <c r="AY284" s="1" t="str">
        <f>IF(IFERROR(INDEX($A$9:$X$304,$AS284,COLUMNS($AV$9:AY283)),"")=0,"",IFERROR(INDEX($A$9:$X$304,$AS284,COLUMNS($AV$9:AY283)),""))</f>
        <v/>
      </c>
      <c r="AZ284" s="1" t="str">
        <f>IF(IFERROR(INDEX($A$9:$X$304,$AS284,COLUMNS($AV$9:AZ283)),"")=0,"",IFERROR(INDEX($A$9:$X$304,$AS284,COLUMNS($AV$9:AZ283)),""))</f>
        <v>CHAMPION</v>
      </c>
      <c r="BA284" s="1">
        <f>IF(IFERROR(INDEX($A$9:$X$304,$AS284,COLUMNS($AV$9:BA283)),"")=0,"",IFERROR(INDEX($A$9:$X$304,$AS284,COLUMNS($AV$9:BA283)),""))</f>
        <v>9</v>
      </c>
      <c r="BB284" s="1">
        <f>IF(IFERROR(INDEX($A$9:$X$304,$AS284,COLUMNS($AV$9:BB283)),"")=0,"",IFERROR(INDEX($A$9:$X$304,$AS284,COLUMNS($AV$9:BB283)),""))</f>
        <v>9</v>
      </c>
      <c r="BC284" s="1" t="str">
        <f>IF(IFERROR(INDEX($A$9:$X$304,$AS284,COLUMNS($AV$9:BC283)),"")=0,"",IFERROR(INDEX($A$9:$X$304,$AS284,COLUMNS($AV$9:BC283)),""))</f>
        <v>Airborne ◆ Blitz</v>
      </c>
      <c r="BD284" s="1" t="str">
        <f>IF(IFERROR(INDEX($A$9:$X$304,$AS284,COLUMNS($AV$9:BD283)),"")=0,"",IFERROR(INDEX($A$9:$X$304,$AS284,COLUMNS($AV$9:BD283)),""))</f>
        <v>When this card attacks → You may banish target evil token champion.</v>
      </c>
      <c r="BE284" s="1" t="str">
        <f>IF(IFERROR(INDEX($A$9:$X$304,$AS284,COLUMNS($AV$9:BE283)),"")=0,"",IFERROR(INDEX($A$9:$X$304,$AS284,COLUMNS($AV$9:BE283)),""))</f>
        <v/>
      </c>
      <c r="BF284" s="1" t="str">
        <f>IF(IFERROR(INDEX($A$9:$X$304,$AS284,COLUMNS($AV$9:BF283)),"")=0,"",IFERROR(INDEX($A$9:$X$304,$AS284,COLUMNS($AV$9:BF283)),""))</f>
        <v/>
      </c>
      <c r="BG284" s="1" t="str">
        <f>IF(IFERROR(INDEX($A$9:$X$304,$AS284,COLUMNS($AV$9:BG283)),"")=0,"",IFERROR(INDEX($A$9:$X$304,$AS284,COLUMNS($AV$9:BG283)),""))</f>
        <v/>
      </c>
      <c r="BH284" s="1" t="str">
        <f>IF(IFERROR(INDEX($A$9:$X$304,$AS284,COLUMNS($AV$9:BH283)),"")=0,"",IFERROR(INDEX($A$9:$X$304,$AS284,COLUMNS($AV$9:BH283)),""))</f>
        <v/>
      </c>
      <c r="BI284" s="1" t="str">
        <f>IF(IFERROR(INDEX($A$9:$X$304,$AS284,COLUMNS($AV$9:BI283)),"")=0,"",IFERROR(INDEX($A$9:$X$304,$AS284,COLUMNS($AV$9:BI283)),""))</f>
        <v/>
      </c>
      <c r="BJ284" s="1" t="str">
        <f>IF(IFERROR(INDEX($A$9:$X$304,$AS284,COLUMNS($AV$9:BJ283)),"")=0,"",IFERROR(INDEX($A$9:$X$304,$AS284,COLUMNS($AV$9:BJ283)),""))</f>
        <v>ANGEL</v>
      </c>
      <c r="BK284" s="1" t="str">
        <f>IF(IFERROR(INDEX($A$9:$X$304,$AS284,COLUMNS($AV$9:BK283)),"")=0,"",IFERROR(INDEX($A$9:$X$304,$AS284,COLUMNS($AV$9:BK283)),""))</f>
        <v>Common</v>
      </c>
      <c r="BL284" s="1" t="str">
        <f>IF(IFERROR(INDEX($A$9:$X$304,$AS284,COLUMNS($AV$9:BL283)),"")=0,"",IFERROR(INDEX($A$9:$X$304,$AS284,COLUMNS($AV$9:BL283)),""))</f>
        <v>La Capitana</v>
      </c>
      <c r="BM284" s="1" t="str">
        <f>IF(IFERROR(INDEX($A$9:$X$304,$AS284,COLUMNS($AV$9:BM283)),"")=0,"",IFERROR(INDEX($A$9:$X$304,$AS284,COLUMNS($AV$9:BM283)),""))</f>
        <v>Kickstarter Promo</v>
      </c>
      <c r="BN284" s="3" t="b">
        <f>IF(IFERROR(INDEX($A$9:$X$304,$AS284,COLUMNS($AV$9:BN283)),"")=0,"",IFERROR(INDEX($A$9:$X$304,$AS284,COLUMNS($AV$9:BN283)),""))</f>
        <v>1</v>
      </c>
      <c r="BO284" s="3" t="b">
        <f>IF(IFERROR(INDEX($A$9:$X$304,$AS284,COLUMNS($AV$9:BO283)),"")=0,"",IFERROR(INDEX($A$9:$X$304,$AS284,COLUMNS($AV$9:BO283)),""))</f>
        <v>0</v>
      </c>
      <c r="BP284" s="3" t="b">
        <f>IF(IFERROR(INDEX($A$9:$X$304,$AS284,COLUMNS($AV$9:BP283)),"")=0,"",IFERROR(INDEX($A$9:$X$304,$AS284,COLUMNS($AV$9:BP283)),""))</f>
        <v>0</v>
      </c>
      <c r="BQ284" s="3" t="b">
        <f>IF(IFERROR(INDEX($A$9:$X$304,$AS284,COLUMNS($AV$9:BQ283)),"")=0,"",IFERROR(INDEX($A$9:$X$304,$AS284,COLUMNS($AV$9:BQ283)),""))</f>
        <v>0</v>
      </c>
      <c r="BR284" s="3" t="str">
        <f>IF(IFERROR(INDEX($A$9:$X$304,$AS284,COLUMNS($AV$9:BR283)),"")=0,"",IFERROR(INDEX($A$9:$X$304,$AS284,COLUMNS($AV$9:BR283)),""))</f>
        <v>http://www.epiccardgame.com/wp-content/uploads/2015/09/warrior_angel-215x300.jpg</v>
      </c>
      <c r="BS284" s="3" t="str">
        <f>IF(IFERROR(INDEX($A$9:$X$304,$AS284,COLUMNS($AV$9:BS283)),"")=0,"",IFERROR(INDEX($A$9:$X$304,$AS284,COLUMNS($AV$9:BS283)),""))</f>
        <v/>
      </c>
      <c r="BT284" s="3"/>
      <c r="BU284" s="15"/>
      <c r="BV284" t="s">
        <v>305</v>
      </c>
    </row>
    <row r="285" spans="1:74" ht="225" customHeight="1" x14ac:dyDescent="0.25">
      <c r="A285" t="s">
        <v>595</v>
      </c>
      <c r="B285">
        <v>0</v>
      </c>
      <c r="C285" t="s">
        <v>616</v>
      </c>
      <c r="E285" t="s">
        <v>620</v>
      </c>
      <c r="F285">
        <v>4</v>
      </c>
      <c r="G285">
        <v>2</v>
      </c>
      <c r="H285" t="s">
        <v>674</v>
      </c>
      <c r="I285" t="s">
        <v>957</v>
      </c>
      <c r="O285" t="s">
        <v>1075</v>
      </c>
      <c r="P285" t="s">
        <v>1112</v>
      </c>
      <c r="Q285" t="s">
        <v>1119</v>
      </c>
      <c r="R285" t="s">
        <v>1171</v>
      </c>
      <c r="S285" t="b">
        <v>0</v>
      </c>
      <c r="T285" t="b">
        <v>0</v>
      </c>
      <c r="U285" t="b">
        <v>0</v>
      </c>
      <c r="V285" t="b">
        <v>0</v>
      </c>
      <c r="W285" s="2" t="s">
        <v>1460</v>
      </c>
      <c r="X285" s="2"/>
      <c r="Y285" s="24">
        <v>277</v>
      </c>
      <c r="Z285">
        <f t="shared" si="80"/>
        <v>277</v>
      </c>
      <c r="AA285">
        <f t="shared" si="81"/>
        <v>277</v>
      </c>
      <c r="AB285">
        <f t="shared" si="82"/>
        <v>277</v>
      </c>
      <c r="AC285">
        <f t="shared" si="83"/>
        <v>0</v>
      </c>
      <c r="AD285">
        <f t="shared" si="84"/>
        <v>277</v>
      </c>
      <c r="AE285">
        <f t="shared" si="85"/>
        <v>277</v>
      </c>
      <c r="AF285">
        <f t="shared" si="86"/>
        <v>277</v>
      </c>
      <c r="AG285">
        <f t="shared" si="87"/>
        <v>277</v>
      </c>
      <c r="AH285">
        <f t="shared" si="88"/>
        <v>277</v>
      </c>
      <c r="AI285">
        <f t="shared" si="89"/>
        <v>0</v>
      </c>
      <c r="AJ285">
        <f t="shared" si="90"/>
        <v>0</v>
      </c>
      <c r="AK285">
        <f t="shared" si="91"/>
        <v>0</v>
      </c>
      <c r="AL285">
        <f t="shared" si="92"/>
        <v>0</v>
      </c>
      <c r="AM285">
        <f t="shared" si="93"/>
        <v>0</v>
      </c>
      <c r="AN285">
        <f t="shared" si="94"/>
        <v>277</v>
      </c>
      <c r="AO285">
        <f t="shared" si="95"/>
        <v>277</v>
      </c>
      <c r="AP285">
        <f t="shared" si="96"/>
        <v>277</v>
      </c>
      <c r="AQ285">
        <f t="shared" si="97"/>
        <v>277</v>
      </c>
      <c r="AR285" s="6">
        <f t="shared" si="98"/>
        <v>277</v>
      </c>
      <c r="AS285">
        <f t="shared" si="99"/>
        <v>277</v>
      </c>
      <c r="AV285" s="1" t="str">
        <f>IF(IFERROR(INDEX($A$9:$W$304,$AS285,COLUMNS($AV$9:AV284)),"")=0,"",IFERROR(INDEX($A$9:$W$304,$AS285,COLUMNS($AV$9:AV284)),""))</f>
        <v>Warrior Golem</v>
      </c>
      <c r="AW285" s="1">
        <f>IFERROR(INDEX($A$9:$W$304,$AS285,COLUMNS($AV$9:AW284)),"")</f>
        <v>0</v>
      </c>
      <c r="AX285" s="1" t="str">
        <f>IF(IFERROR(INDEX($A$9:$X$304,$AS285,COLUMNS($AV$9:AX284)),"")=0,"",IFERROR(INDEX($A$9:$X$304,$AS285,COLUMNS($AV$9:AX284)),""))</f>
        <v>SAGE</v>
      </c>
      <c r="AY285" s="1" t="str">
        <f>IF(IFERROR(INDEX($A$9:$X$304,$AS285,COLUMNS($AV$9:AY284)),"")=0,"",IFERROR(INDEX($A$9:$X$304,$AS285,COLUMNS($AV$9:AY284)),""))</f>
        <v/>
      </c>
      <c r="AZ285" s="1" t="str">
        <f>IF(IFERROR(INDEX($A$9:$X$304,$AS285,COLUMNS($AV$9:AZ284)),"")=0,"",IFERROR(INDEX($A$9:$X$304,$AS285,COLUMNS($AV$9:AZ284)),""))</f>
        <v>CHAMPION</v>
      </c>
      <c r="BA285" s="1">
        <f>IF(IFERROR(INDEX($A$9:$X$304,$AS285,COLUMNS($AV$9:BA284)),"")=0,"",IFERROR(INDEX($A$9:$X$304,$AS285,COLUMNS($AV$9:BA284)),""))</f>
        <v>4</v>
      </c>
      <c r="BB285" s="1">
        <f>IF(IFERROR(INDEX($A$9:$X$304,$AS285,COLUMNS($AV$9:BB284)),"")=0,"",IFERROR(INDEX($A$9:$X$304,$AS285,COLUMNS($AV$9:BB284)),""))</f>
        <v>2</v>
      </c>
      <c r="BC285" s="1" t="str">
        <f>IF(IFERROR(INDEX($A$9:$X$304,$AS285,COLUMNS($AV$9:BC284)),"")=0,"",IFERROR(INDEX($A$9:$X$304,$AS285,COLUMNS($AV$9:BC284)),""))</f>
        <v>Loyalty 2 → Blitz</v>
      </c>
      <c r="BD285" s="1" t="str">
        <f>IF(IFERROR(INDEX($A$9:$X$304,$AS285,COLUMNS($AV$9:BD284)),"")=0,"",IFERROR(INDEX($A$9:$X$304,$AS285,COLUMNS($AV$9:BD284)),""))</f>
        <v>When this card goes into your discard pile from anywhere → Recycle.</v>
      </c>
      <c r="BE285" s="1" t="str">
        <f>IF(IFERROR(INDEX($A$9:$X$304,$AS285,COLUMNS($AV$9:BE284)),"")=0,"",IFERROR(INDEX($A$9:$X$304,$AS285,COLUMNS($AV$9:BE284)),""))</f>
        <v/>
      </c>
      <c r="BF285" s="1" t="str">
        <f>IF(IFERROR(INDEX($A$9:$X$304,$AS285,COLUMNS($AV$9:BF284)),"")=0,"",IFERROR(INDEX($A$9:$X$304,$AS285,COLUMNS($AV$9:BF284)),""))</f>
        <v/>
      </c>
      <c r="BG285" s="1" t="str">
        <f>IF(IFERROR(INDEX($A$9:$X$304,$AS285,COLUMNS($AV$9:BG284)),"")=0,"",IFERROR(INDEX($A$9:$X$304,$AS285,COLUMNS($AV$9:BG284)),""))</f>
        <v/>
      </c>
      <c r="BH285" s="1" t="str">
        <f>IF(IFERROR(INDEX($A$9:$X$304,$AS285,COLUMNS($AV$9:BH284)),"")=0,"",IFERROR(INDEX($A$9:$X$304,$AS285,COLUMNS($AV$9:BH284)),""))</f>
        <v/>
      </c>
      <c r="BI285" s="1" t="str">
        <f>IF(IFERROR(INDEX($A$9:$X$304,$AS285,COLUMNS($AV$9:BI284)),"")=0,"",IFERROR(INDEX($A$9:$X$304,$AS285,COLUMNS($AV$9:BI284)),""))</f>
        <v/>
      </c>
      <c r="BJ285" s="1" t="str">
        <f>IF(IFERROR(INDEX($A$9:$X$304,$AS285,COLUMNS($AV$9:BJ284)),"")=0,"",IFERROR(INDEX($A$9:$X$304,$AS285,COLUMNS($AV$9:BJ284)),""))</f>
        <v>CONSTRUCT</v>
      </c>
      <c r="BK285" s="1" t="str">
        <f>IF(IFERROR(INDEX($A$9:$X$304,$AS285,COLUMNS($AV$9:BK284)),"")=0,"",IFERROR(INDEX($A$9:$X$304,$AS285,COLUMNS($AV$9:BK284)),""))</f>
        <v>Common</v>
      </c>
      <c r="BL285" s="1" t="str">
        <f>IF(IFERROR(INDEX($A$9:$X$304,$AS285,COLUMNS($AV$9:BL284)),"")=0,"",IFERROR(INDEX($A$9:$X$304,$AS285,COLUMNS($AV$9:BL284)),""))</f>
        <v>Sarah McCulloch</v>
      </c>
      <c r="BM285" s="1" t="str">
        <f>IF(IFERROR(INDEX($A$9:$X$304,$AS285,COLUMNS($AV$9:BM284)),"")=0,"",IFERROR(INDEX($A$9:$X$304,$AS285,COLUMNS($AV$9:BM284)),""))</f>
        <v>Base Set</v>
      </c>
      <c r="BN285" s="3" t="b">
        <f>IF(IFERROR(INDEX($A$9:$X$304,$AS285,COLUMNS($AV$9:BN284)),"")=0,"",IFERROR(INDEX($A$9:$X$304,$AS285,COLUMNS($AV$9:BN284)),""))</f>
        <v>0</v>
      </c>
      <c r="BO285" s="3" t="b">
        <f>IF(IFERROR(INDEX($A$9:$X$304,$AS285,COLUMNS($AV$9:BO284)),"")=0,"",IFERROR(INDEX($A$9:$X$304,$AS285,COLUMNS($AV$9:BO284)),""))</f>
        <v>0</v>
      </c>
      <c r="BP285" s="3" t="b">
        <f>IF(IFERROR(INDEX($A$9:$X$304,$AS285,COLUMNS($AV$9:BP284)),"")=0,"",IFERROR(INDEX($A$9:$X$304,$AS285,COLUMNS($AV$9:BP284)),""))</f>
        <v>0</v>
      </c>
      <c r="BQ285" s="3" t="b">
        <f>IF(IFERROR(INDEX($A$9:$X$304,$AS285,COLUMNS($AV$9:BQ284)),"")=0,"",IFERROR(INDEX($A$9:$X$304,$AS285,COLUMNS($AV$9:BQ284)),""))</f>
        <v>0</v>
      </c>
      <c r="BR285" s="3" t="str">
        <f>IF(IFERROR(INDEX($A$9:$X$304,$AS285,COLUMNS($AV$9:BR284)),"")=0,"",IFERROR(INDEX($A$9:$X$304,$AS285,COLUMNS($AV$9:BR284)),""))</f>
        <v>http://www.epiccardgame.com/wp-content/uploads/2015/09/warrior_golem-215x300.jpg</v>
      </c>
      <c r="BS285" s="3" t="str">
        <f>IF(IFERROR(INDEX($A$9:$X$304,$AS285,COLUMNS($AV$9:BS284)),"")=0,"",IFERROR(INDEX($A$9:$X$304,$AS285,COLUMNS($AV$9:BS284)),""))</f>
        <v/>
      </c>
      <c r="BT285" s="3"/>
      <c r="BU285" s="15"/>
      <c r="BV285" t="s">
        <v>306</v>
      </c>
    </row>
    <row r="286" spans="1:74" ht="225.2" customHeight="1" x14ac:dyDescent="0.25">
      <c r="A286" t="s">
        <v>596</v>
      </c>
      <c r="B286">
        <v>0</v>
      </c>
      <c r="C286" t="s">
        <v>617</v>
      </c>
      <c r="E286" t="s">
        <v>620</v>
      </c>
      <c r="F286">
        <v>2</v>
      </c>
      <c r="G286">
        <v>3</v>
      </c>
      <c r="H286" t="s">
        <v>690</v>
      </c>
      <c r="I286" t="s">
        <v>709</v>
      </c>
      <c r="O286" t="s">
        <v>1109</v>
      </c>
      <c r="P286" t="s">
        <v>1112</v>
      </c>
      <c r="Q286" t="s">
        <v>1119</v>
      </c>
      <c r="R286" t="s">
        <v>1171</v>
      </c>
      <c r="S286" t="b">
        <v>0</v>
      </c>
      <c r="T286" t="b">
        <v>0</v>
      </c>
      <c r="U286" t="b">
        <v>0</v>
      </c>
      <c r="V286" t="b">
        <v>0</v>
      </c>
      <c r="W286" s="2" t="s">
        <v>1461</v>
      </c>
      <c r="X286" s="2"/>
      <c r="Y286" s="24">
        <v>278</v>
      </c>
      <c r="Z286">
        <f t="shared" si="80"/>
        <v>278</v>
      </c>
      <c r="AA286">
        <f t="shared" si="81"/>
        <v>278</v>
      </c>
      <c r="AB286">
        <f t="shared" si="82"/>
        <v>278</v>
      </c>
      <c r="AC286">
        <f t="shared" si="83"/>
        <v>0</v>
      </c>
      <c r="AD286">
        <f t="shared" si="84"/>
        <v>278</v>
      </c>
      <c r="AE286">
        <f t="shared" si="85"/>
        <v>278</v>
      </c>
      <c r="AF286">
        <f t="shared" si="86"/>
        <v>278</v>
      </c>
      <c r="AG286">
        <f t="shared" si="87"/>
        <v>278</v>
      </c>
      <c r="AH286">
        <f t="shared" si="88"/>
        <v>278</v>
      </c>
      <c r="AI286">
        <f t="shared" si="89"/>
        <v>0</v>
      </c>
      <c r="AJ286">
        <f t="shared" si="90"/>
        <v>0</v>
      </c>
      <c r="AK286">
        <f t="shared" si="91"/>
        <v>0</v>
      </c>
      <c r="AL286">
        <f t="shared" si="92"/>
        <v>0</v>
      </c>
      <c r="AM286">
        <f t="shared" si="93"/>
        <v>0</v>
      </c>
      <c r="AN286">
        <f t="shared" si="94"/>
        <v>278</v>
      </c>
      <c r="AO286">
        <f t="shared" si="95"/>
        <v>278</v>
      </c>
      <c r="AP286">
        <f t="shared" si="96"/>
        <v>278</v>
      </c>
      <c r="AQ286">
        <f t="shared" si="97"/>
        <v>278</v>
      </c>
      <c r="AR286" s="6">
        <f t="shared" si="98"/>
        <v>278</v>
      </c>
      <c r="AS286">
        <f t="shared" si="99"/>
        <v>278</v>
      </c>
      <c r="AV286" s="1" t="str">
        <f>IF(IFERROR(INDEX($A$9:$W$304,$AS286,COLUMNS($AV$9:AV285)),"")=0,"",IFERROR(INDEX($A$9:$W$304,$AS286,COLUMNS($AV$9:AV285)),""))</f>
        <v>Watchful Gargoyle</v>
      </c>
      <c r="AW286" s="1">
        <f>IFERROR(INDEX($A$9:$W$304,$AS286,COLUMNS($AV$9:AW285)),"")</f>
        <v>0</v>
      </c>
      <c r="AX286" s="1" t="str">
        <f>IF(IFERROR(INDEX($A$9:$X$304,$AS286,COLUMNS($AV$9:AX285)),"")=0,"",IFERROR(INDEX($A$9:$X$304,$AS286,COLUMNS($AV$9:AX285)),""))</f>
        <v>GOOD</v>
      </c>
      <c r="AY286" s="1" t="str">
        <f>IF(IFERROR(INDEX($A$9:$X$304,$AS286,COLUMNS($AV$9:AY285)),"")=0,"",IFERROR(INDEX($A$9:$X$304,$AS286,COLUMNS($AV$9:AY285)),""))</f>
        <v/>
      </c>
      <c r="AZ286" s="1" t="str">
        <f>IF(IFERROR(INDEX($A$9:$X$304,$AS286,COLUMNS($AV$9:AZ285)),"")=0,"",IFERROR(INDEX($A$9:$X$304,$AS286,COLUMNS($AV$9:AZ285)),""))</f>
        <v>CHAMPION</v>
      </c>
      <c r="BA286" s="1">
        <f>IF(IFERROR(INDEX($A$9:$X$304,$AS286,COLUMNS($AV$9:BA285)),"")=0,"",IFERROR(INDEX($A$9:$X$304,$AS286,COLUMNS($AV$9:BA285)),""))</f>
        <v>2</v>
      </c>
      <c r="BB286" s="1">
        <f>IF(IFERROR(INDEX($A$9:$X$304,$AS286,COLUMNS($AV$9:BB285)),"")=0,"",IFERROR(INDEX($A$9:$X$304,$AS286,COLUMNS($AV$9:BB285)),""))</f>
        <v>3</v>
      </c>
      <c r="BC286" s="1" t="str">
        <f>IF(IFERROR(INDEX($A$9:$X$304,$AS286,COLUMNS($AV$9:BC285)),"")=0,"",IFERROR(INDEX($A$9:$X$304,$AS286,COLUMNS($AV$9:BC285)),""))</f>
        <v>Airborne ◆ Ambush</v>
      </c>
      <c r="BD286" s="1" t="str">
        <f>IF(IFERROR(INDEX($A$9:$X$304,$AS286,COLUMNS($AV$9:BD285)),"")=0,"",IFERROR(INDEX($A$9:$X$304,$AS286,COLUMNS($AV$9:BD285)),""))</f>
        <v>Tribute → Recycle</v>
      </c>
      <c r="BE286" s="1" t="str">
        <f>IF(IFERROR(INDEX($A$9:$X$304,$AS286,COLUMNS($AV$9:BE285)),"")=0,"",IFERROR(INDEX($A$9:$X$304,$AS286,COLUMNS($AV$9:BE285)),""))</f>
        <v/>
      </c>
      <c r="BF286" s="1" t="str">
        <f>IF(IFERROR(INDEX($A$9:$X$304,$AS286,COLUMNS($AV$9:BF285)),"")=0,"",IFERROR(INDEX($A$9:$X$304,$AS286,COLUMNS($AV$9:BF285)),""))</f>
        <v/>
      </c>
      <c r="BG286" s="1" t="str">
        <f>IF(IFERROR(INDEX($A$9:$X$304,$AS286,COLUMNS($AV$9:BG285)),"")=0,"",IFERROR(INDEX($A$9:$X$304,$AS286,COLUMNS($AV$9:BG285)),""))</f>
        <v/>
      </c>
      <c r="BH286" s="1" t="str">
        <f>IF(IFERROR(INDEX($A$9:$X$304,$AS286,COLUMNS($AV$9:BH285)),"")=0,"",IFERROR(INDEX($A$9:$X$304,$AS286,COLUMNS($AV$9:BH285)),""))</f>
        <v/>
      </c>
      <c r="BI286" s="1" t="str">
        <f>IF(IFERROR(INDEX($A$9:$X$304,$AS286,COLUMNS($AV$9:BI285)),"")=0,"",IFERROR(INDEX($A$9:$X$304,$AS286,COLUMNS($AV$9:BI285)),""))</f>
        <v/>
      </c>
      <c r="BJ286" s="1" t="str">
        <f>IF(IFERROR(INDEX($A$9:$X$304,$AS286,COLUMNS($AV$9:BJ285)),"")=0,"",IFERROR(INDEX($A$9:$X$304,$AS286,COLUMNS($AV$9:BJ285)),""))</f>
        <v>GARGOYLE</v>
      </c>
      <c r="BK286" s="1" t="str">
        <f>IF(IFERROR(INDEX($A$9:$X$304,$AS286,COLUMNS($AV$9:BK285)),"")=0,"",IFERROR(INDEX($A$9:$X$304,$AS286,COLUMNS($AV$9:BK285)),""))</f>
        <v>Common</v>
      </c>
      <c r="BL286" s="1" t="str">
        <f>IF(IFERROR(INDEX($A$9:$X$304,$AS286,COLUMNS($AV$9:BL285)),"")=0,"",IFERROR(INDEX($A$9:$X$304,$AS286,COLUMNS($AV$9:BL285)),""))</f>
        <v>Sarah McCulloch</v>
      </c>
      <c r="BM286" s="1" t="str">
        <f>IF(IFERROR(INDEX($A$9:$X$304,$AS286,COLUMNS($AV$9:BM285)),"")=0,"",IFERROR(INDEX($A$9:$X$304,$AS286,COLUMNS($AV$9:BM285)),""))</f>
        <v>Base Set</v>
      </c>
      <c r="BN286" s="3" t="b">
        <f>IF(IFERROR(INDEX($A$9:$X$304,$AS286,COLUMNS($AV$9:BN285)),"")=0,"",IFERROR(INDEX($A$9:$X$304,$AS286,COLUMNS($AV$9:BN285)),""))</f>
        <v>0</v>
      </c>
      <c r="BO286" s="3" t="b">
        <f>IF(IFERROR(INDEX($A$9:$X$304,$AS286,COLUMNS($AV$9:BO285)),"")=0,"",IFERROR(INDEX($A$9:$X$304,$AS286,COLUMNS($AV$9:BO285)),""))</f>
        <v>0</v>
      </c>
      <c r="BP286" s="3" t="b">
        <f>IF(IFERROR(INDEX($A$9:$X$304,$AS286,COLUMNS($AV$9:BP285)),"")=0,"",IFERROR(INDEX($A$9:$X$304,$AS286,COLUMNS($AV$9:BP285)),""))</f>
        <v>0</v>
      </c>
      <c r="BQ286" s="3" t="b">
        <f>IF(IFERROR(INDEX($A$9:$X$304,$AS286,COLUMNS($AV$9:BQ285)),"")=0,"",IFERROR(INDEX($A$9:$X$304,$AS286,COLUMNS($AV$9:BQ285)),""))</f>
        <v>0</v>
      </c>
      <c r="BR286" s="3" t="str">
        <f>IF(IFERROR(INDEX($A$9:$X$304,$AS286,COLUMNS($AV$9:BR285)),"")=0,"",IFERROR(INDEX($A$9:$X$304,$AS286,COLUMNS($AV$9:BR285)),""))</f>
        <v>http://www.epiccardgame.com/wp-content/uploads/2015/09/watchful_gargoyle-215x300.jpg</v>
      </c>
      <c r="BS286" s="3" t="str">
        <f>IF(IFERROR(INDEX($A$9:$X$304,$AS286,COLUMNS($AV$9:BS285)),"")=0,"",IFERROR(INDEX($A$9:$X$304,$AS286,COLUMNS($AV$9:BS285)),""))</f>
        <v/>
      </c>
      <c r="BT286" s="3"/>
      <c r="BU286" s="15"/>
      <c r="BV286" t="s">
        <v>307</v>
      </c>
    </row>
    <row r="287" spans="1:74" ht="225" customHeight="1" x14ac:dyDescent="0.25">
      <c r="A287" t="s">
        <v>597</v>
      </c>
      <c r="B287">
        <v>1</v>
      </c>
      <c r="C287" t="s">
        <v>616</v>
      </c>
      <c r="E287" t="s">
        <v>619</v>
      </c>
      <c r="H287" t="s">
        <v>627</v>
      </c>
      <c r="I287" t="s">
        <v>958</v>
      </c>
      <c r="J287" t="s">
        <v>1035</v>
      </c>
      <c r="O287" t="s">
        <v>1062</v>
      </c>
      <c r="P287" t="s">
        <v>1112</v>
      </c>
      <c r="Q287" t="s">
        <v>1118</v>
      </c>
      <c r="R287" t="s">
        <v>1171</v>
      </c>
      <c r="S287" t="b">
        <v>1</v>
      </c>
      <c r="T287" t="b">
        <v>1</v>
      </c>
      <c r="U287" t="b">
        <v>0</v>
      </c>
      <c r="V287" t="b">
        <v>0</v>
      </c>
      <c r="W287" s="2" t="s">
        <v>1462</v>
      </c>
      <c r="X287" s="2"/>
      <c r="Y287" s="24">
        <v>279</v>
      </c>
      <c r="Z287">
        <f t="shared" si="80"/>
        <v>279</v>
      </c>
      <c r="AA287">
        <f t="shared" si="81"/>
        <v>279</v>
      </c>
      <c r="AB287">
        <f t="shared" si="82"/>
        <v>279</v>
      </c>
      <c r="AC287">
        <f t="shared" si="83"/>
        <v>0</v>
      </c>
      <c r="AD287">
        <f t="shared" si="84"/>
        <v>279</v>
      </c>
      <c r="AE287">
        <f t="shared" si="85"/>
        <v>0</v>
      </c>
      <c r="AF287">
        <f t="shared" si="86"/>
        <v>0</v>
      </c>
      <c r="AG287">
        <f t="shared" si="87"/>
        <v>279</v>
      </c>
      <c r="AH287">
        <f t="shared" si="88"/>
        <v>279</v>
      </c>
      <c r="AI287">
        <f t="shared" si="89"/>
        <v>279</v>
      </c>
      <c r="AJ287">
        <f t="shared" si="90"/>
        <v>0</v>
      </c>
      <c r="AK287">
        <f t="shared" si="91"/>
        <v>0</v>
      </c>
      <c r="AL287">
        <f t="shared" si="92"/>
        <v>0</v>
      </c>
      <c r="AM287">
        <f t="shared" si="93"/>
        <v>0</v>
      </c>
      <c r="AN287">
        <f t="shared" si="94"/>
        <v>279</v>
      </c>
      <c r="AO287">
        <f t="shared" si="95"/>
        <v>279</v>
      </c>
      <c r="AP287">
        <f t="shared" si="96"/>
        <v>279</v>
      </c>
      <c r="AQ287">
        <f t="shared" si="97"/>
        <v>279</v>
      </c>
      <c r="AR287" s="6">
        <f t="shared" si="98"/>
        <v>279</v>
      </c>
      <c r="AS287">
        <f t="shared" si="99"/>
        <v>279</v>
      </c>
      <c r="AV287" s="1" t="str">
        <f>IF(IFERROR(INDEX($A$9:$W$304,$AS287,COLUMNS($AV$9:AV286)),"")=0,"",IFERROR(INDEX($A$9:$W$304,$AS287,COLUMNS($AV$9:AV286)),""))</f>
        <v>Wave of Transformation</v>
      </c>
      <c r="AW287" s="1">
        <f>IFERROR(INDEX($A$9:$W$304,$AS287,COLUMNS($AV$9:AW286)),"")</f>
        <v>1</v>
      </c>
      <c r="AX287" s="1" t="str">
        <f>IF(IFERROR(INDEX($A$9:$X$304,$AS287,COLUMNS($AV$9:AX286)),"")=0,"",IFERROR(INDEX($A$9:$X$304,$AS287,COLUMNS($AV$9:AX286)),""))</f>
        <v>SAGE</v>
      </c>
      <c r="AY287" s="1" t="str">
        <f>IF(IFERROR(INDEX($A$9:$X$304,$AS287,COLUMNS($AV$9:AY286)),"")=0,"",IFERROR(INDEX($A$9:$X$304,$AS287,COLUMNS($AV$9:AY286)),""))</f>
        <v/>
      </c>
      <c r="AZ287" s="1" t="str">
        <f>IF(IFERROR(INDEX($A$9:$X$304,$AS287,COLUMNS($AV$9:AZ286)),"")=0,"",IFERROR(INDEX($A$9:$X$304,$AS287,COLUMNS($AV$9:AZ286)),""))</f>
        <v>EVENT</v>
      </c>
      <c r="BA287" s="1" t="str">
        <f>IF(IFERROR(INDEX($A$9:$X$304,$AS287,COLUMNS($AV$9:BA286)),"")=0,"",IFERROR(INDEX($A$9:$X$304,$AS287,COLUMNS($AV$9:BA286)),""))</f>
        <v/>
      </c>
      <c r="BB287" s="1" t="str">
        <f>IF(IFERROR(INDEX($A$9:$X$304,$AS287,COLUMNS($AV$9:BB286)),"")=0,"",IFERROR(INDEX($A$9:$X$304,$AS287,COLUMNS($AV$9:BB286)),""))</f>
        <v/>
      </c>
      <c r="BC287" s="1" t="str">
        <f>IF(IFERROR(INDEX($A$9:$X$304,$AS287,COLUMNS($AV$9:BC286)),"")=0,"",IFERROR(INDEX($A$9:$X$304,$AS287,COLUMNS($AV$9:BC286)),""))</f>
        <v>Draw two cards.</v>
      </c>
      <c r="BD287" s="1" t="str">
        <f>IF(IFERROR(INDEX($A$9:$X$304,$AS287,COLUMNS($AV$9:BD286)),"")=0,"",IFERROR(INDEX($A$9:$X$304,$AS287,COLUMNS($AV$9:BD286)),""))</f>
        <v>Transform each champion into a wolf token.</v>
      </c>
      <c r="BE287" s="1" t="str">
        <f>IF(IFERROR(INDEX($A$9:$X$304,$AS287,COLUMNS($AV$9:BE286)),"")=0,"",IFERROR(INDEX($A$9:$X$304,$AS287,COLUMNS($AV$9:BE286)),""))</f>
        <v>(This card received errata in November 2015.)</v>
      </c>
      <c r="BF287" s="1" t="str">
        <f>IF(IFERROR(INDEX($A$9:$X$304,$AS287,COLUMNS($AV$9:BF286)),"")=0,"",IFERROR(INDEX($A$9:$X$304,$AS287,COLUMNS($AV$9:BF286)),""))</f>
        <v/>
      </c>
      <c r="BG287" s="1" t="str">
        <f>IF(IFERROR(INDEX($A$9:$X$304,$AS287,COLUMNS($AV$9:BG286)),"")=0,"",IFERROR(INDEX($A$9:$X$304,$AS287,COLUMNS($AV$9:BG286)),""))</f>
        <v/>
      </c>
      <c r="BH287" s="1" t="str">
        <f>IF(IFERROR(INDEX($A$9:$X$304,$AS287,COLUMNS($AV$9:BH286)),"")=0,"",IFERROR(INDEX($A$9:$X$304,$AS287,COLUMNS($AV$9:BH286)),""))</f>
        <v/>
      </c>
      <c r="BI287" s="1" t="str">
        <f>IF(IFERROR(INDEX($A$9:$X$304,$AS287,COLUMNS($AV$9:BI286)),"")=0,"",IFERROR(INDEX($A$9:$X$304,$AS287,COLUMNS($AV$9:BI286)),""))</f>
        <v/>
      </c>
      <c r="BJ287" s="1" t="str">
        <f>IF(IFERROR(INDEX($A$9:$X$304,$AS287,COLUMNS($AV$9:BJ286)),"")=0,"",IFERROR(INDEX($A$9:$X$304,$AS287,COLUMNS($AV$9:BJ286)),""))</f>
        <v>None</v>
      </c>
      <c r="BK287" s="1" t="str">
        <f>IF(IFERROR(INDEX($A$9:$X$304,$AS287,COLUMNS($AV$9:BK286)),"")=0,"",IFERROR(INDEX($A$9:$X$304,$AS287,COLUMNS($AV$9:BK286)),""))</f>
        <v>Common</v>
      </c>
      <c r="BL287" s="1" t="str">
        <f>IF(IFERROR(INDEX($A$9:$X$304,$AS287,COLUMNS($AV$9:BL286)),"")=0,"",IFERROR(INDEX($A$9:$X$304,$AS287,COLUMNS($AV$9:BL286)),""))</f>
        <v>L.Sean</v>
      </c>
      <c r="BM287" s="1" t="str">
        <f>IF(IFERROR(INDEX($A$9:$X$304,$AS287,COLUMNS($AV$9:BM286)),"")=0,"",IFERROR(INDEX($A$9:$X$304,$AS287,COLUMNS($AV$9:BM286)),""))</f>
        <v>Base Set</v>
      </c>
      <c r="BN287" s="3" t="b">
        <f>IF(IFERROR(INDEX($A$9:$X$304,$AS287,COLUMNS($AV$9:BN286)),"")=0,"",IFERROR(INDEX($A$9:$X$304,$AS287,COLUMNS($AV$9:BN286)),""))</f>
        <v>1</v>
      </c>
      <c r="BO287" s="3" t="b">
        <f>IF(IFERROR(INDEX($A$9:$X$304,$AS287,COLUMNS($AV$9:BO286)),"")=0,"",IFERROR(INDEX($A$9:$X$304,$AS287,COLUMNS($AV$9:BO286)),""))</f>
        <v>1</v>
      </c>
      <c r="BP287" s="3" t="b">
        <f>IF(IFERROR(INDEX($A$9:$X$304,$AS287,COLUMNS($AV$9:BP286)),"")=0,"",IFERROR(INDEX($A$9:$X$304,$AS287,COLUMNS($AV$9:BP286)),""))</f>
        <v>0</v>
      </c>
      <c r="BQ287" s="3" t="b">
        <f>IF(IFERROR(INDEX($A$9:$X$304,$AS287,COLUMNS($AV$9:BQ286)),"")=0,"",IFERROR(INDEX($A$9:$X$304,$AS287,COLUMNS($AV$9:BQ286)),""))</f>
        <v>0</v>
      </c>
      <c r="BR287" s="3" t="str">
        <f>IF(IFERROR(INDEX($A$9:$X$304,$AS287,COLUMNS($AV$9:BR286)),"")=0,"",IFERROR(INDEX($A$9:$X$304,$AS287,COLUMNS($AV$9:BR286)),""))</f>
        <v>http://www.epiccardgame.com/wp-content/uploads/2015/09/wave_of_transformation-215x300.jpg</v>
      </c>
      <c r="BS287" s="3" t="str">
        <f>IF(IFERROR(INDEX($A$9:$X$304,$AS287,COLUMNS($AV$9:BS286)),"")=0,"",IFERROR(INDEX($A$9:$X$304,$AS287,COLUMNS($AV$9:BS286)),""))</f>
        <v/>
      </c>
      <c r="BT287" s="3"/>
      <c r="BU287" s="15"/>
      <c r="BV287" t="s">
        <v>308</v>
      </c>
    </row>
    <row r="288" spans="1:74" ht="225.2" customHeight="1" x14ac:dyDescent="0.25">
      <c r="A288" t="s">
        <v>598</v>
      </c>
      <c r="B288">
        <v>0</v>
      </c>
      <c r="C288" t="s">
        <v>617</v>
      </c>
      <c r="E288" t="s">
        <v>620</v>
      </c>
      <c r="F288">
        <v>5</v>
      </c>
      <c r="G288">
        <v>5</v>
      </c>
      <c r="H288" t="s">
        <v>25</v>
      </c>
      <c r="I288" t="s">
        <v>959</v>
      </c>
      <c r="O288" t="s">
        <v>1069</v>
      </c>
      <c r="P288" t="s">
        <v>1113</v>
      </c>
      <c r="Q288" t="s">
        <v>1168</v>
      </c>
      <c r="R288" t="s">
        <v>1171</v>
      </c>
      <c r="S288" t="b">
        <v>1</v>
      </c>
      <c r="T288" t="b">
        <v>0</v>
      </c>
      <c r="U288" t="b">
        <v>0</v>
      </c>
      <c r="V288" t="b">
        <v>0</v>
      </c>
      <c r="W288" s="2" t="s">
        <v>1463</v>
      </c>
      <c r="X288" s="2"/>
      <c r="Y288" s="24">
        <v>280</v>
      </c>
      <c r="Z288">
        <f t="shared" si="80"/>
        <v>280</v>
      </c>
      <c r="AA288">
        <f t="shared" si="81"/>
        <v>280</v>
      </c>
      <c r="AB288">
        <f t="shared" si="82"/>
        <v>280</v>
      </c>
      <c r="AC288">
        <f t="shared" si="83"/>
        <v>0</v>
      </c>
      <c r="AD288">
        <f t="shared" si="84"/>
        <v>280</v>
      </c>
      <c r="AE288">
        <f t="shared" si="85"/>
        <v>280</v>
      </c>
      <c r="AF288">
        <f t="shared" si="86"/>
        <v>280</v>
      </c>
      <c r="AG288">
        <f t="shared" si="87"/>
        <v>280</v>
      </c>
      <c r="AH288">
        <f t="shared" si="88"/>
        <v>280</v>
      </c>
      <c r="AI288">
        <f t="shared" si="89"/>
        <v>0</v>
      </c>
      <c r="AJ288">
        <f t="shared" si="90"/>
        <v>0</v>
      </c>
      <c r="AK288">
        <f t="shared" si="91"/>
        <v>0</v>
      </c>
      <c r="AL288">
        <f t="shared" si="92"/>
        <v>0</v>
      </c>
      <c r="AM288">
        <f t="shared" si="93"/>
        <v>0</v>
      </c>
      <c r="AN288">
        <f t="shared" si="94"/>
        <v>280</v>
      </c>
      <c r="AO288">
        <f t="shared" si="95"/>
        <v>280</v>
      </c>
      <c r="AP288">
        <f t="shared" si="96"/>
        <v>280</v>
      </c>
      <c r="AQ288">
        <f t="shared" si="97"/>
        <v>280</v>
      </c>
      <c r="AR288" s="6">
        <f t="shared" si="98"/>
        <v>280</v>
      </c>
      <c r="AS288">
        <f t="shared" si="99"/>
        <v>280</v>
      </c>
      <c r="AV288" s="1" t="str">
        <f>IF(IFERROR(INDEX($A$9:$W$304,$AS288,COLUMNS($AV$9:AV287)),"")=0,"",IFERROR(INDEX($A$9:$W$304,$AS288,COLUMNS($AV$9:AV287)),""))</f>
        <v>White Dragon</v>
      </c>
      <c r="AW288" s="1">
        <f>IFERROR(INDEX($A$9:$W$304,$AS288,COLUMNS($AV$9:AW287)),"")</f>
        <v>0</v>
      </c>
      <c r="AX288" s="1" t="str">
        <f>IF(IFERROR(INDEX($A$9:$X$304,$AS288,COLUMNS($AV$9:AX287)),"")=0,"",IFERROR(INDEX($A$9:$X$304,$AS288,COLUMNS($AV$9:AX287)),""))</f>
        <v>GOOD</v>
      </c>
      <c r="AY288" s="1" t="str">
        <f>IF(IFERROR(INDEX($A$9:$X$304,$AS288,COLUMNS($AV$9:AY287)),"")=0,"",IFERROR(INDEX($A$9:$X$304,$AS288,COLUMNS($AV$9:AY287)),""))</f>
        <v/>
      </c>
      <c r="AZ288" s="1" t="str">
        <f>IF(IFERROR(INDEX($A$9:$X$304,$AS288,COLUMNS($AV$9:AZ287)),"")=0,"",IFERROR(INDEX($A$9:$X$304,$AS288,COLUMNS($AV$9:AZ287)),""))</f>
        <v>CHAMPION</v>
      </c>
      <c r="BA288" s="1">
        <f>IF(IFERROR(INDEX($A$9:$X$304,$AS288,COLUMNS($AV$9:BA287)),"")=0,"",IFERROR(INDEX($A$9:$X$304,$AS288,COLUMNS($AV$9:BA287)),""))</f>
        <v>5</v>
      </c>
      <c r="BB288" s="1">
        <f>IF(IFERROR(INDEX($A$9:$X$304,$AS288,COLUMNS($AV$9:BB287)),"")=0,"",IFERROR(INDEX($A$9:$X$304,$AS288,COLUMNS($AV$9:BB287)),""))</f>
        <v>5</v>
      </c>
      <c r="BC288" s="1" t="str">
        <f>IF(IFERROR(INDEX($A$9:$X$304,$AS288,COLUMNS($AV$9:BC287)),"")=0,"",IFERROR(INDEX($A$9:$X$304,$AS288,COLUMNS($AV$9:BC287)),""))</f>
        <v>Airborne</v>
      </c>
      <c r="BD288" s="1" t="str">
        <f>IF(IFERROR(INDEX($A$9:$X$304,$AS288,COLUMNS($AV$9:BD287)),"")=0,"",IFERROR(INDEX($A$9:$X$304,$AS288,COLUMNS($AV$9:BD287)),""))</f>
        <v>Tribute → If you played a {1} good card this turn, recycle.</v>
      </c>
      <c r="BE288" s="1" t="str">
        <f>IF(IFERROR(INDEX($A$9:$X$304,$AS288,COLUMNS($AV$9:BE287)),"")=0,"",IFERROR(INDEX($A$9:$X$304,$AS288,COLUMNS($AV$9:BE287)),""))</f>
        <v/>
      </c>
      <c r="BF288" s="1" t="str">
        <f>IF(IFERROR(INDEX($A$9:$X$304,$AS288,COLUMNS($AV$9:BF287)),"")=0,"",IFERROR(INDEX($A$9:$X$304,$AS288,COLUMNS($AV$9:BF287)),""))</f>
        <v/>
      </c>
      <c r="BG288" s="1" t="str">
        <f>IF(IFERROR(INDEX($A$9:$X$304,$AS288,COLUMNS($AV$9:BG287)),"")=0,"",IFERROR(INDEX($A$9:$X$304,$AS288,COLUMNS($AV$9:BG287)),""))</f>
        <v/>
      </c>
      <c r="BH288" s="1" t="str">
        <f>IF(IFERROR(INDEX($A$9:$X$304,$AS288,COLUMNS($AV$9:BH287)),"")=0,"",IFERROR(INDEX($A$9:$X$304,$AS288,COLUMNS($AV$9:BH287)),""))</f>
        <v/>
      </c>
      <c r="BI288" s="1" t="str">
        <f>IF(IFERROR(INDEX($A$9:$X$304,$AS288,COLUMNS($AV$9:BI287)),"")=0,"",IFERROR(INDEX($A$9:$X$304,$AS288,COLUMNS($AV$9:BI287)),""))</f>
        <v/>
      </c>
      <c r="BJ288" s="1" t="str">
        <f>IF(IFERROR(INDEX($A$9:$X$304,$AS288,COLUMNS($AV$9:BJ287)),"")=0,"",IFERROR(INDEX($A$9:$X$304,$AS288,COLUMNS($AV$9:BJ287)),""))</f>
        <v>DRAGON</v>
      </c>
      <c r="BK288" s="1" t="str">
        <f>IF(IFERROR(INDEX($A$9:$X$304,$AS288,COLUMNS($AV$9:BK287)),"")=0,"",IFERROR(INDEX($A$9:$X$304,$AS288,COLUMNS($AV$9:BK287)),""))</f>
        <v>Rare</v>
      </c>
      <c r="BL288" s="1" t="str">
        <f>IF(IFERROR(INDEX($A$9:$X$304,$AS288,COLUMNS($AV$9:BL287)),"")=0,"",IFERROR(INDEX($A$9:$X$304,$AS288,COLUMNS($AV$9:BL287)),""))</f>
        <v>La Capitana</v>
      </c>
      <c r="BM288" s="1" t="str">
        <f>IF(IFERROR(INDEX($A$9:$X$304,$AS288,COLUMNS($AV$9:BM287)),"")=0,"",IFERROR(INDEX($A$9:$X$304,$AS288,COLUMNS($AV$9:BM287)),""))</f>
        <v>Base Set</v>
      </c>
      <c r="BN288" s="3" t="b">
        <f>IF(IFERROR(INDEX($A$9:$X$304,$AS288,COLUMNS($AV$9:BN287)),"")=0,"",IFERROR(INDEX($A$9:$X$304,$AS288,COLUMNS($AV$9:BN287)),""))</f>
        <v>1</v>
      </c>
      <c r="BO288" s="3" t="b">
        <f>IF(IFERROR(INDEX($A$9:$X$304,$AS288,COLUMNS($AV$9:BO287)),"")=0,"",IFERROR(INDEX($A$9:$X$304,$AS288,COLUMNS($AV$9:BO287)),""))</f>
        <v>0</v>
      </c>
      <c r="BP288" s="3" t="b">
        <f>IF(IFERROR(INDEX($A$9:$X$304,$AS288,COLUMNS($AV$9:BP287)),"")=0,"",IFERROR(INDEX($A$9:$X$304,$AS288,COLUMNS($AV$9:BP287)),""))</f>
        <v>0</v>
      </c>
      <c r="BQ288" s="3" t="b">
        <f>IF(IFERROR(INDEX($A$9:$X$304,$AS288,COLUMNS($AV$9:BQ287)),"")=0,"",IFERROR(INDEX($A$9:$X$304,$AS288,COLUMNS($AV$9:BQ287)),""))</f>
        <v>0</v>
      </c>
      <c r="BR288" s="3" t="str">
        <f>IF(IFERROR(INDEX($A$9:$X$304,$AS288,COLUMNS($AV$9:BR287)),"")=0,"",IFERROR(INDEX($A$9:$X$304,$AS288,COLUMNS($AV$9:BR287)),""))</f>
        <v>http://www.epiccardgame.com/wp-content/uploads/2015/09/white_dragon-215x300.jpg</v>
      </c>
      <c r="BS288" s="3" t="str">
        <f>IF(IFERROR(INDEX($A$9:$X$304,$AS288,COLUMNS($AV$9:BS287)),"")=0,"",IFERROR(INDEX($A$9:$X$304,$AS288,COLUMNS($AV$9:BS287)),""))</f>
        <v/>
      </c>
      <c r="BT288" s="3"/>
      <c r="BU288" s="15"/>
      <c r="BV288" t="s">
        <v>309</v>
      </c>
    </row>
    <row r="289" spans="1:74" ht="225.2" customHeight="1" x14ac:dyDescent="0.25">
      <c r="A289" t="s">
        <v>599</v>
      </c>
      <c r="B289">
        <v>1</v>
      </c>
      <c r="C289" t="s">
        <v>617</v>
      </c>
      <c r="E289" t="s">
        <v>620</v>
      </c>
      <c r="F289">
        <v>9</v>
      </c>
      <c r="G289">
        <v>9</v>
      </c>
      <c r="H289" t="s">
        <v>682</v>
      </c>
      <c r="I289" t="s">
        <v>674</v>
      </c>
      <c r="J289" t="s">
        <v>1036</v>
      </c>
      <c r="O289" t="s">
        <v>1063</v>
      </c>
      <c r="P289" t="s">
        <v>1112</v>
      </c>
      <c r="Q289" t="s">
        <v>1118</v>
      </c>
      <c r="R289" t="s">
        <v>1171</v>
      </c>
      <c r="S289" t="b">
        <v>1</v>
      </c>
      <c r="T289" t="b">
        <v>0</v>
      </c>
      <c r="U289" t="b">
        <v>0</v>
      </c>
      <c r="V289" t="b">
        <v>0</v>
      </c>
      <c r="W289" s="2" t="s">
        <v>1464</v>
      </c>
      <c r="X289" s="2"/>
      <c r="Y289" s="24">
        <v>281</v>
      </c>
      <c r="Z289">
        <f t="shared" si="80"/>
        <v>281</v>
      </c>
      <c r="AA289">
        <f t="shared" si="81"/>
        <v>281</v>
      </c>
      <c r="AB289">
        <f t="shared" si="82"/>
        <v>281</v>
      </c>
      <c r="AC289">
        <f t="shared" si="83"/>
        <v>0</v>
      </c>
      <c r="AD289">
        <f t="shared" si="84"/>
        <v>281</v>
      </c>
      <c r="AE289">
        <f t="shared" si="85"/>
        <v>281</v>
      </c>
      <c r="AF289">
        <f t="shared" si="86"/>
        <v>281</v>
      </c>
      <c r="AG289">
        <f t="shared" si="87"/>
        <v>281</v>
      </c>
      <c r="AH289">
        <f t="shared" si="88"/>
        <v>281</v>
      </c>
      <c r="AI289">
        <f t="shared" si="89"/>
        <v>281</v>
      </c>
      <c r="AJ289">
        <f t="shared" si="90"/>
        <v>0</v>
      </c>
      <c r="AK289">
        <f t="shared" si="91"/>
        <v>0</v>
      </c>
      <c r="AL289">
        <f t="shared" si="92"/>
        <v>0</v>
      </c>
      <c r="AM289">
        <f t="shared" si="93"/>
        <v>0</v>
      </c>
      <c r="AN289">
        <f t="shared" si="94"/>
        <v>281</v>
      </c>
      <c r="AO289">
        <f t="shared" si="95"/>
        <v>281</v>
      </c>
      <c r="AP289">
        <f t="shared" si="96"/>
        <v>281</v>
      </c>
      <c r="AQ289">
        <f t="shared" si="97"/>
        <v>281</v>
      </c>
      <c r="AR289" s="6">
        <f t="shared" si="98"/>
        <v>281</v>
      </c>
      <c r="AS289">
        <f t="shared" si="99"/>
        <v>281</v>
      </c>
      <c r="AV289" s="1" t="str">
        <f>IF(IFERROR(INDEX($A$9:$W$304,$AS289,COLUMNS($AV$9:AV288)),"")=0,"",IFERROR(INDEX($A$9:$W$304,$AS289,COLUMNS($AV$9:AV288)),""))</f>
        <v>White Knight</v>
      </c>
      <c r="AW289" s="1">
        <f>IFERROR(INDEX($A$9:$W$304,$AS289,COLUMNS($AV$9:AW288)),"")</f>
        <v>1</v>
      </c>
      <c r="AX289" s="1" t="str">
        <f>IF(IFERROR(INDEX($A$9:$X$304,$AS289,COLUMNS($AV$9:AX288)),"")=0,"",IFERROR(INDEX($A$9:$X$304,$AS289,COLUMNS($AV$9:AX288)),""))</f>
        <v>GOOD</v>
      </c>
      <c r="AY289" s="1" t="str">
        <f>IF(IFERROR(INDEX($A$9:$X$304,$AS289,COLUMNS($AV$9:AY288)),"")=0,"",IFERROR(INDEX($A$9:$X$304,$AS289,COLUMNS($AV$9:AY288)),""))</f>
        <v/>
      </c>
      <c r="AZ289" s="1" t="str">
        <f>IF(IFERROR(INDEX($A$9:$X$304,$AS289,COLUMNS($AV$9:AZ288)),"")=0,"",IFERROR(INDEX($A$9:$X$304,$AS289,COLUMNS($AV$9:AZ288)),""))</f>
        <v>CHAMPION</v>
      </c>
      <c r="BA289" s="1">
        <f>IF(IFERROR(INDEX($A$9:$X$304,$AS289,COLUMNS($AV$9:BA288)),"")=0,"",IFERROR(INDEX($A$9:$X$304,$AS289,COLUMNS($AV$9:BA288)),""))</f>
        <v>9</v>
      </c>
      <c r="BB289" s="1">
        <f>IF(IFERROR(INDEX($A$9:$X$304,$AS289,COLUMNS($AV$9:BB288)),"")=0,"",IFERROR(INDEX($A$9:$X$304,$AS289,COLUMNS($AV$9:BB288)),""))</f>
        <v>9</v>
      </c>
      <c r="BC289" s="1" t="str">
        <f>IF(IFERROR(INDEX($A$9:$X$304,$AS289,COLUMNS($AV$9:BC288)),"")=0,"",IFERROR(INDEX($A$9:$X$304,$AS289,COLUMNS($AV$9:BC288)),""))</f>
        <v>Tribute → Draw a card.</v>
      </c>
      <c r="BD289" s="1" t="str">
        <f>IF(IFERROR(INDEX($A$9:$X$304,$AS289,COLUMNS($AV$9:BD288)),"")=0,"",IFERROR(INDEX($A$9:$X$304,$AS289,COLUMNS($AV$9:BD288)),""))</f>
        <v>Loyalty 2 → Blitz</v>
      </c>
      <c r="BE289" s="1" t="str">
        <f>IF(IFERROR(INDEX($A$9:$X$304,$AS289,COLUMNS($AV$9:BE288)),"")=0,"",IFERROR(INDEX($A$9:$X$304,$AS289,COLUMNS($AV$9:BE288)),""))</f>
        <v>{expend}: Break target evil champion.</v>
      </c>
      <c r="BF289" s="1" t="str">
        <f>IF(IFERROR(INDEX($A$9:$X$304,$AS289,COLUMNS($AV$9:BF288)),"")=0,"",IFERROR(INDEX($A$9:$X$304,$AS289,COLUMNS($AV$9:BF288)),""))</f>
        <v/>
      </c>
      <c r="BG289" s="1" t="str">
        <f>IF(IFERROR(INDEX($A$9:$X$304,$AS289,COLUMNS($AV$9:BG288)),"")=0,"",IFERROR(INDEX($A$9:$X$304,$AS289,COLUMNS($AV$9:BG288)),""))</f>
        <v/>
      </c>
      <c r="BH289" s="1" t="str">
        <f>IF(IFERROR(INDEX($A$9:$X$304,$AS289,COLUMNS($AV$9:BH288)),"")=0,"",IFERROR(INDEX($A$9:$X$304,$AS289,COLUMNS($AV$9:BH288)),""))</f>
        <v/>
      </c>
      <c r="BI289" s="1" t="str">
        <f>IF(IFERROR(INDEX($A$9:$X$304,$AS289,COLUMNS($AV$9:BI288)),"")=0,"",IFERROR(INDEX($A$9:$X$304,$AS289,COLUMNS($AV$9:BI288)),""))</f>
        <v/>
      </c>
      <c r="BJ289" s="1" t="str">
        <f>IF(IFERROR(INDEX($A$9:$X$304,$AS289,COLUMNS($AV$9:BJ288)),"")=0,"",IFERROR(INDEX($A$9:$X$304,$AS289,COLUMNS($AV$9:BJ288)),""))</f>
        <v>HUMAN</v>
      </c>
      <c r="BK289" s="1" t="str">
        <f>IF(IFERROR(INDEX($A$9:$X$304,$AS289,COLUMNS($AV$9:BK288)),"")=0,"",IFERROR(INDEX($A$9:$X$304,$AS289,COLUMNS($AV$9:BK288)),""))</f>
        <v>Common</v>
      </c>
      <c r="BL289" s="1" t="str">
        <f>IF(IFERROR(INDEX($A$9:$X$304,$AS289,COLUMNS($AV$9:BL288)),"")=0,"",IFERROR(INDEX($A$9:$X$304,$AS289,COLUMNS($AV$9:BL288)),""))</f>
        <v>L.Sean</v>
      </c>
      <c r="BM289" s="1" t="str">
        <f>IF(IFERROR(INDEX($A$9:$X$304,$AS289,COLUMNS($AV$9:BM288)),"")=0,"",IFERROR(INDEX($A$9:$X$304,$AS289,COLUMNS($AV$9:BM288)),""))</f>
        <v>Base Set</v>
      </c>
      <c r="BN289" s="3" t="b">
        <f>IF(IFERROR(INDEX($A$9:$X$304,$AS289,COLUMNS($AV$9:BN288)),"")=0,"",IFERROR(INDEX($A$9:$X$304,$AS289,COLUMNS($AV$9:BN288)),""))</f>
        <v>1</v>
      </c>
      <c r="BO289" s="3" t="b">
        <f>IF(IFERROR(INDEX($A$9:$X$304,$AS289,COLUMNS($AV$9:BO288)),"")=0,"",IFERROR(INDEX($A$9:$X$304,$AS289,COLUMNS($AV$9:BO288)),""))</f>
        <v>0</v>
      </c>
      <c r="BP289" s="3" t="b">
        <f>IF(IFERROR(INDEX($A$9:$X$304,$AS289,COLUMNS($AV$9:BP288)),"")=0,"",IFERROR(INDEX($A$9:$X$304,$AS289,COLUMNS($AV$9:BP288)),""))</f>
        <v>0</v>
      </c>
      <c r="BQ289" s="3" t="b">
        <f>IF(IFERROR(INDEX($A$9:$X$304,$AS289,COLUMNS($AV$9:BQ288)),"")=0,"",IFERROR(INDEX($A$9:$X$304,$AS289,COLUMNS($AV$9:BQ288)),""))</f>
        <v>0</v>
      </c>
      <c r="BR289" s="3" t="str">
        <f>IF(IFERROR(INDEX($A$9:$X$304,$AS289,COLUMNS($AV$9:BR288)),"")=0,"",IFERROR(INDEX($A$9:$X$304,$AS289,COLUMNS($AV$9:BR288)),""))</f>
        <v>http://www.epiccardgame.com/wp-content/uploads/2015/09/white_knight-215x300.jpg</v>
      </c>
      <c r="BS289" s="3" t="str">
        <f>IF(IFERROR(INDEX($A$9:$X$304,$AS289,COLUMNS($AV$9:BS288)),"")=0,"",IFERROR(INDEX($A$9:$X$304,$AS289,COLUMNS($AV$9:BS288)),""))</f>
        <v/>
      </c>
      <c r="BT289" s="3"/>
      <c r="BU289" s="15"/>
      <c r="BV289" t="s">
        <v>310</v>
      </c>
    </row>
    <row r="290" spans="1:74" ht="225.2" customHeight="1" x14ac:dyDescent="0.25">
      <c r="A290" t="s">
        <v>600</v>
      </c>
      <c r="B290">
        <v>1</v>
      </c>
      <c r="C290" t="s">
        <v>615</v>
      </c>
      <c r="E290" t="s">
        <v>619</v>
      </c>
      <c r="H290" t="s">
        <v>753</v>
      </c>
      <c r="I290" t="s">
        <v>960</v>
      </c>
      <c r="O290" t="s">
        <v>1062</v>
      </c>
      <c r="P290" t="s">
        <v>1113</v>
      </c>
      <c r="Q290" t="s">
        <v>1156</v>
      </c>
      <c r="R290" t="s">
        <v>1172</v>
      </c>
      <c r="S290" t="b">
        <v>1</v>
      </c>
      <c r="T290" t="b">
        <v>1</v>
      </c>
      <c r="U290" t="b">
        <v>0</v>
      </c>
      <c r="V290" t="b">
        <v>0</v>
      </c>
      <c r="W290" s="2" t="s">
        <v>1465</v>
      </c>
      <c r="X290" s="2"/>
      <c r="Y290" s="24">
        <v>282</v>
      </c>
      <c r="Z290">
        <f t="shared" si="80"/>
        <v>282</v>
      </c>
      <c r="AA290">
        <f t="shared" si="81"/>
        <v>282</v>
      </c>
      <c r="AB290">
        <f t="shared" si="82"/>
        <v>282</v>
      </c>
      <c r="AC290">
        <f t="shared" si="83"/>
        <v>0</v>
      </c>
      <c r="AD290">
        <f t="shared" si="84"/>
        <v>282</v>
      </c>
      <c r="AE290">
        <f t="shared" si="85"/>
        <v>0</v>
      </c>
      <c r="AF290">
        <f t="shared" si="86"/>
        <v>0</v>
      </c>
      <c r="AG290">
        <f t="shared" si="87"/>
        <v>282</v>
      </c>
      <c r="AH290">
        <f t="shared" si="88"/>
        <v>282</v>
      </c>
      <c r="AI290">
        <f t="shared" si="89"/>
        <v>0</v>
      </c>
      <c r="AJ290">
        <f t="shared" si="90"/>
        <v>0</v>
      </c>
      <c r="AK290">
        <f t="shared" si="91"/>
        <v>0</v>
      </c>
      <c r="AL290">
        <f t="shared" si="92"/>
        <v>0</v>
      </c>
      <c r="AM290">
        <f t="shared" si="93"/>
        <v>0</v>
      </c>
      <c r="AN290">
        <f t="shared" si="94"/>
        <v>282</v>
      </c>
      <c r="AO290">
        <f t="shared" si="95"/>
        <v>282</v>
      </c>
      <c r="AP290">
        <f t="shared" si="96"/>
        <v>282</v>
      </c>
      <c r="AQ290">
        <f t="shared" si="97"/>
        <v>282</v>
      </c>
      <c r="AR290" s="6">
        <f t="shared" si="98"/>
        <v>282</v>
      </c>
      <c r="AS290">
        <f t="shared" si="99"/>
        <v>282</v>
      </c>
      <c r="AV290" s="1" t="str">
        <f>IF(IFERROR(INDEX($A$9:$W$304,$AS290,COLUMNS($AV$9:AV289)),"")=0,"",IFERROR(INDEX($A$9:$W$304,$AS290,COLUMNS($AV$9:AV289)),""))</f>
        <v>Winds of Change</v>
      </c>
      <c r="AW290" s="1">
        <f>IFERROR(INDEX($A$9:$W$304,$AS290,COLUMNS($AV$9:AW289)),"")</f>
        <v>1</v>
      </c>
      <c r="AX290" s="1" t="str">
        <f>IF(IFERROR(INDEX($A$9:$X$304,$AS290,COLUMNS($AV$9:AX289)),"")=0,"",IFERROR(INDEX($A$9:$X$304,$AS290,COLUMNS($AV$9:AX289)),""))</f>
        <v>WILD</v>
      </c>
      <c r="AY290" s="1" t="str">
        <f>IF(IFERROR(INDEX($A$9:$X$304,$AS290,COLUMNS($AV$9:AY289)),"")=0,"",IFERROR(INDEX($A$9:$X$304,$AS290,COLUMNS($AV$9:AY289)),""))</f>
        <v/>
      </c>
      <c r="AZ290" s="1" t="str">
        <f>IF(IFERROR(INDEX($A$9:$X$304,$AS290,COLUMNS($AV$9:AZ289)),"")=0,"",IFERROR(INDEX($A$9:$X$304,$AS290,COLUMNS($AV$9:AZ289)),""))</f>
        <v>EVENT</v>
      </c>
      <c r="BA290" s="1" t="str">
        <f>IF(IFERROR(INDEX($A$9:$X$304,$AS290,COLUMNS($AV$9:BA289)),"")=0,"",IFERROR(INDEX($A$9:$X$304,$AS290,COLUMNS($AV$9:BA289)),""))</f>
        <v/>
      </c>
      <c r="BB290" s="1" t="str">
        <f>IF(IFERROR(INDEX($A$9:$X$304,$AS290,COLUMNS($AV$9:BB289)),"")=0,"",IFERROR(INDEX($A$9:$X$304,$AS290,COLUMNS($AV$9:BB289)),""))</f>
        <v/>
      </c>
      <c r="BC290" s="1" t="str">
        <f>IF(IFERROR(INDEX($A$9:$X$304,$AS290,COLUMNS($AV$9:BC289)),"")=0,"",IFERROR(INDEX($A$9:$X$304,$AS290,COLUMNS($AV$9:BC289)),""))</f>
        <v>Your champions gain breakthrough this turn. Put two +1 {offense} +1 {defense} counters on each of them.</v>
      </c>
      <c r="BD290" s="1" t="str">
        <f>IF(IFERROR(INDEX($A$9:$X$304,$AS290,COLUMNS($AV$9:BD289)),"")=0,"",IFERROR(INDEX($A$9:$X$304,$AS290,COLUMNS($AV$9:BD289)),""))</f>
        <v>Target champion gains breakthrough this turn. Put five +1 {offense} +1 {defense} counters on it. Draw a card.</v>
      </c>
      <c r="BE290" s="1" t="str">
        <f>IF(IFERROR(INDEX($A$9:$X$304,$AS290,COLUMNS($AV$9:BE289)),"")=0,"",IFERROR(INDEX($A$9:$X$304,$AS290,COLUMNS($AV$9:BE289)),""))</f>
        <v/>
      </c>
      <c r="BF290" s="1" t="str">
        <f>IF(IFERROR(INDEX($A$9:$X$304,$AS290,COLUMNS($AV$9:BF289)),"")=0,"",IFERROR(INDEX($A$9:$X$304,$AS290,COLUMNS($AV$9:BF289)),""))</f>
        <v/>
      </c>
      <c r="BG290" s="1" t="str">
        <f>IF(IFERROR(INDEX($A$9:$X$304,$AS290,COLUMNS($AV$9:BG289)),"")=0,"",IFERROR(INDEX($A$9:$X$304,$AS290,COLUMNS($AV$9:BG289)),""))</f>
        <v/>
      </c>
      <c r="BH290" s="1" t="str">
        <f>IF(IFERROR(INDEX($A$9:$X$304,$AS290,COLUMNS($AV$9:BH289)),"")=0,"",IFERROR(INDEX($A$9:$X$304,$AS290,COLUMNS($AV$9:BH289)),""))</f>
        <v/>
      </c>
      <c r="BI290" s="1" t="str">
        <f>IF(IFERROR(INDEX($A$9:$X$304,$AS290,COLUMNS($AV$9:BI289)),"")=0,"",IFERROR(INDEX($A$9:$X$304,$AS290,COLUMNS($AV$9:BI289)),""))</f>
        <v/>
      </c>
      <c r="BJ290" s="1" t="str">
        <f>IF(IFERROR(INDEX($A$9:$X$304,$AS290,COLUMNS($AV$9:BJ289)),"")=0,"",IFERROR(INDEX($A$9:$X$304,$AS290,COLUMNS($AV$9:BJ289)),""))</f>
        <v>None</v>
      </c>
      <c r="BK290" s="1" t="str">
        <f>IF(IFERROR(INDEX($A$9:$X$304,$AS290,COLUMNS($AV$9:BK289)),"")=0,"",IFERROR(INDEX($A$9:$X$304,$AS290,COLUMNS($AV$9:BK289)),""))</f>
        <v>Rare</v>
      </c>
      <c r="BL290" s="1" t="str">
        <f>IF(IFERROR(INDEX($A$9:$X$304,$AS290,COLUMNS($AV$9:BL289)),"")=0,"",IFERROR(INDEX($A$9:$X$304,$AS290,COLUMNS($AV$9:BL289)),""))</f>
        <v>Dhennis Balontong</v>
      </c>
      <c r="BM290" s="1" t="str">
        <f>IF(IFERROR(INDEX($A$9:$X$304,$AS290,COLUMNS($AV$9:BM289)),"")=0,"",IFERROR(INDEX($A$9:$X$304,$AS290,COLUMNS($AV$9:BM289)),""))</f>
        <v>Uprising: Velden's Wrath</v>
      </c>
      <c r="BN290" s="3" t="b">
        <f>IF(IFERROR(INDEX($A$9:$X$304,$AS290,COLUMNS($AV$9:BN289)),"")=0,"",IFERROR(INDEX($A$9:$X$304,$AS290,COLUMNS($AV$9:BN289)),""))</f>
        <v>1</v>
      </c>
      <c r="BO290" s="3" t="b">
        <f>IF(IFERROR(INDEX($A$9:$X$304,$AS290,COLUMNS($AV$9:BO289)),"")=0,"",IFERROR(INDEX($A$9:$X$304,$AS290,COLUMNS($AV$9:BO289)),""))</f>
        <v>1</v>
      </c>
      <c r="BP290" s="3" t="b">
        <f>IF(IFERROR(INDEX($A$9:$X$304,$AS290,COLUMNS($AV$9:BP289)),"")=0,"",IFERROR(INDEX($A$9:$X$304,$AS290,COLUMNS($AV$9:BP289)),""))</f>
        <v>0</v>
      </c>
      <c r="BQ290" s="3" t="b">
        <f>IF(IFERROR(INDEX($A$9:$X$304,$AS290,COLUMNS($AV$9:BQ289)),"")=0,"",IFERROR(INDEX($A$9:$X$304,$AS290,COLUMNS($AV$9:BQ289)),""))</f>
        <v>0</v>
      </c>
      <c r="BR290" s="3" t="str">
        <f>IF(IFERROR(INDEX($A$9:$X$304,$AS290,COLUMNS($AV$9:BR289)),"")=0,"",IFERROR(INDEX($A$9:$X$304,$AS290,COLUMNS($AV$9:BR289)),""))</f>
        <v>https://www.epiccardgame.com/wp-content/uploads/2017/11/UPV-EN-winds-of-change.jpg</v>
      </c>
      <c r="BS290" s="3" t="str">
        <f>IF(IFERROR(INDEX($A$9:$X$304,$AS290,COLUMNS($AV$9:BS289)),"")=0,"",IFERROR(INDEX($A$9:$X$304,$AS290,COLUMNS($AV$9:BS289)),""))</f>
        <v/>
      </c>
      <c r="BT290" s="3"/>
      <c r="BU290" s="15"/>
      <c r="BV290" t="s">
        <v>311</v>
      </c>
    </row>
    <row r="291" spans="1:74" ht="225.2" customHeight="1" x14ac:dyDescent="0.25">
      <c r="A291" t="s">
        <v>601</v>
      </c>
      <c r="B291">
        <v>1</v>
      </c>
      <c r="C291" t="s">
        <v>618</v>
      </c>
      <c r="E291" t="s">
        <v>620</v>
      </c>
      <c r="F291">
        <v>4</v>
      </c>
      <c r="G291">
        <v>3</v>
      </c>
      <c r="H291" t="s">
        <v>676</v>
      </c>
      <c r="I291" t="s">
        <v>961</v>
      </c>
      <c r="O291" t="s">
        <v>1078</v>
      </c>
      <c r="P291" t="s">
        <v>1112</v>
      </c>
      <c r="Q291" t="s">
        <v>1116</v>
      </c>
      <c r="R291" t="s">
        <v>1181</v>
      </c>
      <c r="S291" t="b">
        <v>1</v>
      </c>
      <c r="T291" t="b">
        <v>0</v>
      </c>
      <c r="U291" t="b">
        <v>0</v>
      </c>
      <c r="V291" t="b">
        <v>0</v>
      </c>
      <c r="W291" s="2" t="s">
        <v>1466</v>
      </c>
      <c r="X291" s="2"/>
      <c r="Y291" s="24">
        <v>283</v>
      </c>
      <c r="Z291">
        <f t="shared" si="80"/>
        <v>283</v>
      </c>
      <c r="AA291">
        <f t="shared" si="81"/>
        <v>283</v>
      </c>
      <c r="AB291">
        <f t="shared" si="82"/>
        <v>283</v>
      </c>
      <c r="AC291">
        <f t="shared" si="83"/>
        <v>0</v>
      </c>
      <c r="AD291">
        <f t="shared" si="84"/>
        <v>283</v>
      </c>
      <c r="AE291">
        <f t="shared" si="85"/>
        <v>283</v>
      </c>
      <c r="AF291">
        <f t="shared" si="86"/>
        <v>283</v>
      </c>
      <c r="AG291">
        <f t="shared" si="87"/>
        <v>283</v>
      </c>
      <c r="AH291">
        <f t="shared" si="88"/>
        <v>283</v>
      </c>
      <c r="AI291">
        <f t="shared" si="89"/>
        <v>0</v>
      </c>
      <c r="AJ291">
        <f t="shared" si="90"/>
        <v>0</v>
      </c>
      <c r="AK291">
        <f t="shared" si="91"/>
        <v>0</v>
      </c>
      <c r="AL291">
        <f t="shared" si="92"/>
        <v>0</v>
      </c>
      <c r="AM291">
        <f t="shared" si="93"/>
        <v>0</v>
      </c>
      <c r="AN291">
        <f t="shared" si="94"/>
        <v>283</v>
      </c>
      <c r="AO291">
        <f t="shared" si="95"/>
        <v>283</v>
      </c>
      <c r="AP291">
        <f t="shared" si="96"/>
        <v>283</v>
      </c>
      <c r="AQ291">
        <f t="shared" si="97"/>
        <v>283</v>
      </c>
      <c r="AR291" s="6">
        <f t="shared" si="98"/>
        <v>283</v>
      </c>
      <c r="AS291">
        <f t="shared" si="99"/>
        <v>283</v>
      </c>
      <c r="AV291" s="1" t="str">
        <f>IF(IFERROR(INDEX($A$9:$W$304,$AS291,COLUMNS($AV$9:AV290)),"")=0,"",IFERROR(INDEX($A$9:$W$304,$AS291,COLUMNS($AV$9:AV290)),""))</f>
        <v>Winged Death</v>
      </c>
      <c r="AW291" s="1">
        <f>IFERROR(INDEX($A$9:$W$304,$AS291,COLUMNS($AV$9:AW290)),"")</f>
        <v>1</v>
      </c>
      <c r="AX291" s="1" t="str">
        <f>IF(IFERROR(INDEX($A$9:$X$304,$AS291,COLUMNS($AV$9:AX290)),"")=0,"",IFERROR(INDEX($A$9:$X$304,$AS291,COLUMNS($AV$9:AX290)),""))</f>
        <v>EVIL</v>
      </c>
      <c r="AY291" s="1" t="str">
        <f>IF(IFERROR(INDEX($A$9:$X$304,$AS291,COLUMNS($AV$9:AY290)),"")=0,"",IFERROR(INDEX($A$9:$X$304,$AS291,COLUMNS($AV$9:AY290)),""))</f>
        <v/>
      </c>
      <c r="AZ291" s="1" t="str">
        <f>IF(IFERROR(INDEX($A$9:$X$304,$AS291,COLUMNS($AV$9:AZ290)),"")=0,"",IFERROR(INDEX($A$9:$X$304,$AS291,COLUMNS($AV$9:AZ290)),""))</f>
        <v>CHAMPION</v>
      </c>
      <c r="BA291" s="1">
        <f>IF(IFERROR(INDEX($A$9:$X$304,$AS291,COLUMNS($AV$9:BA290)),"")=0,"",IFERROR(INDEX($A$9:$X$304,$AS291,COLUMNS($AV$9:BA290)),""))</f>
        <v>4</v>
      </c>
      <c r="BB291" s="1">
        <f>IF(IFERROR(INDEX($A$9:$X$304,$AS291,COLUMNS($AV$9:BB290)),"")=0,"",IFERROR(INDEX($A$9:$X$304,$AS291,COLUMNS($AV$9:BB290)),""))</f>
        <v>3</v>
      </c>
      <c r="BC291" s="1" t="str">
        <f>IF(IFERROR(INDEX($A$9:$X$304,$AS291,COLUMNS($AV$9:BC290)),"")=0,"",IFERROR(INDEX($A$9:$X$304,$AS291,COLUMNS($AV$9:BC290)),""))</f>
        <v>Airborne ◆ Blitz</v>
      </c>
      <c r="BD291" s="1" t="str">
        <f>IF(IFERROR(INDEX($A$9:$X$304,$AS291,COLUMNS($AV$9:BD290)),"")=0,"",IFERROR(INDEX($A$9:$X$304,$AS291,COLUMNS($AV$9:BD290)),""))</f>
        <v>Tribute and/or when this card damages a player → Each opponent must break a champion they control if able.</v>
      </c>
      <c r="BE291" s="1" t="str">
        <f>IF(IFERROR(INDEX($A$9:$X$304,$AS291,COLUMNS($AV$9:BE290)),"")=0,"",IFERROR(INDEX($A$9:$X$304,$AS291,COLUMNS($AV$9:BE290)),""))</f>
        <v/>
      </c>
      <c r="BF291" s="1" t="str">
        <f>IF(IFERROR(INDEX($A$9:$X$304,$AS291,COLUMNS($AV$9:BF290)),"")=0,"",IFERROR(INDEX($A$9:$X$304,$AS291,COLUMNS($AV$9:BF290)),""))</f>
        <v/>
      </c>
      <c r="BG291" s="1" t="str">
        <f>IF(IFERROR(INDEX($A$9:$X$304,$AS291,COLUMNS($AV$9:BG290)),"")=0,"",IFERROR(INDEX($A$9:$X$304,$AS291,COLUMNS($AV$9:BG290)),""))</f>
        <v/>
      </c>
      <c r="BH291" s="1" t="str">
        <f>IF(IFERROR(INDEX($A$9:$X$304,$AS291,COLUMNS($AV$9:BH290)),"")=0,"",IFERROR(INDEX($A$9:$X$304,$AS291,COLUMNS($AV$9:BH290)),""))</f>
        <v/>
      </c>
      <c r="BI291" s="1" t="str">
        <f>IF(IFERROR(INDEX($A$9:$X$304,$AS291,COLUMNS($AV$9:BI290)),"")=0,"",IFERROR(INDEX($A$9:$X$304,$AS291,COLUMNS($AV$9:BI290)),""))</f>
        <v/>
      </c>
      <c r="BJ291" s="1" t="str">
        <f>IF(IFERROR(INDEX($A$9:$X$304,$AS291,COLUMNS($AV$9:BJ290)),"")=0,"",IFERROR(INDEX($A$9:$X$304,$AS291,COLUMNS($AV$9:BJ290)),""))</f>
        <v>DEMON</v>
      </c>
      <c r="BK291" s="1" t="str">
        <f>IF(IFERROR(INDEX($A$9:$X$304,$AS291,COLUMNS($AV$9:BK290)),"")=0,"",IFERROR(INDEX($A$9:$X$304,$AS291,COLUMNS($AV$9:BK290)),""))</f>
        <v>Common</v>
      </c>
      <c r="BL291" s="1" t="str">
        <f>IF(IFERROR(INDEX($A$9:$X$304,$AS291,COLUMNS($AV$9:BL290)),"")=0,"",IFERROR(INDEX($A$9:$X$304,$AS291,COLUMNS($AV$9:BL290)),""))</f>
        <v>Apsara</v>
      </c>
      <c r="BM291" s="1" t="str">
        <f>IF(IFERROR(INDEX($A$9:$X$304,$AS291,COLUMNS($AV$9:BM290)),"")=0,"",IFERROR(INDEX($A$9:$X$304,$AS291,COLUMNS($AV$9:BM290)),""))</f>
        <v>Uprising: Kark's Edict</v>
      </c>
      <c r="BN291" s="3" t="b">
        <f>IF(IFERROR(INDEX($A$9:$X$304,$AS291,COLUMNS($AV$9:BN290)),"")=0,"",IFERROR(INDEX($A$9:$X$304,$AS291,COLUMNS($AV$9:BN290)),""))</f>
        <v>1</v>
      </c>
      <c r="BO291" s="3" t="b">
        <f>IF(IFERROR(INDEX($A$9:$X$304,$AS291,COLUMNS($AV$9:BO290)),"")=0,"",IFERROR(INDEX($A$9:$X$304,$AS291,COLUMNS($AV$9:BO290)),""))</f>
        <v>0</v>
      </c>
      <c r="BP291" s="3" t="b">
        <f>IF(IFERROR(INDEX($A$9:$X$304,$AS291,COLUMNS($AV$9:BP290)),"")=0,"",IFERROR(INDEX($A$9:$X$304,$AS291,COLUMNS($AV$9:BP290)),""))</f>
        <v>0</v>
      </c>
      <c r="BQ291" s="3" t="b">
        <f>IF(IFERROR(INDEX($A$9:$X$304,$AS291,COLUMNS($AV$9:BQ290)),"")=0,"",IFERROR(INDEX($A$9:$X$304,$AS291,COLUMNS($AV$9:BQ290)),""))</f>
        <v>0</v>
      </c>
      <c r="BR291" s="3" t="str">
        <f>IF(IFERROR(INDEX($A$9:$X$304,$AS291,COLUMNS($AV$9:BR290)),"")=0,"",IFERROR(INDEX($A$9:$X$304,$AS291,COLUMNS($AV$9:BR290)),""))</f>
        <v>https://www.epiccardgame.com/wp-content/uploads/2017/11/UPK-EN-winged-death.jpg</v>
      </c>
      <c r="BS291" s="3" t="str">
        <f>IF(IFERROR(INDEX($A$9:$X$304,$AS291,COLUMNS($AV$9:BS290)),"")=0,"",IFERROR(INDEX($A$9:$X$304,$AS291,COLUMNS($AV$9:BS290)),""))</f>
        <v/>
      </c>
      <c r="BT291" s="3"/>
      <c r="BU291" s="15"/>
      <c r="BV291" t="s">
        <v>312</v>
      </c>
    </row>
    <row r="292" spans="1:74" ht="225" customHeight="1" x14ac:dyDescent="0.25">
      <c r="A292" t="s">
        <v>602</v>
      </c>
      <c r="B292">
        <v>1</v>
      </c>
      <c r="C292" t="s">
        <v>616</v>
      </c>
      <c r="E292" t="s">
        <v>620</v>
      </c>
      <c r="F292">
        <v>4</v>
      </c>
      <c r="G292">
        <v>3</v>
      </c>
      <c r="H292" t="s">
        <v>25</v>
      </c>
      <c r="I292" t="s">
        <v>682</v>
      </c>
      <c r="J292" t="s">
        <v>1037</v>
      </c>
      <c r="O292" t="s">
        <v>1086</v>
      </c>
      <c r="P292" t="s">
        <v>1112</v>
      </c>
      <c r="Q292" t="s">
        <v>1116</v>
      </c>
      <c r="R292" t="s">
        <v>1171</v>
      </c>
      <c r="S292" t="b">
        <v>1</v>
      </c>
      <c r="T292" t="b">
        <v>0</v>
      </c>
      <c r="U292" t="b">
        <v>0</v>
      </c>
      <c r="V292" t="b">
        <v>0</v>
      </c>
      <c r="W292" s="2" t="s">
        <v>1467</v>
      </c>
      <c r="X292" s="2"/>
      <c r="Y292" s="24">
        <v>284</v>
      </c>
      <c r="Z292">
        <f t="shared" si="80"/>
        <v>284</v>
      </c>
      <c r="AA292">
        <f t="shared" si="81"/>
        <v>284</v>
      </c>
      <c r="AB292">
        <f t="shared" si="82"/>
        <v>284</v>
      </c>
      <c r="AC292">
        <f t="shared" si="83"/>
        <v>0</v>
      </c>
      <c r="AD292">
        <f t="shared" si="84"/>
        <v>284</v>
      </c>
      <c r="AE292">
        <f t="shared" si="85"/>
        <v>284</v>
      </c>
      <c r="AF292">
        <f t="shared" si="86"/>
        <v>284</v>
      </c>
      <c r="AG292">
        <f t="shared" si="87"/>
        <v>284</v>
      </c>
      <c r="AH292">
        <f t="shared" si="88"/>
        <v>284</v>
      </c>
      <c r="AI292">
        <f t="shared" si="89"/>
        <v>284</v>
      </c>
      <c r="AJ292">
        <f t="shared" si="90"/>
        <v>0</v>
      </c>
      <c r="AK292">
        <f t="shared" si="91"/>
        <v>0</v>
      </c>
      <c r="AL292">
        <f t="shared" si="92"/>
        <v>0</v>
      </c>
      <c r="AM292">
        <f t="shared" si="93"/>
        <v>0</v>
      </c>
      <c r="AN292">
        <f t="shared" si="94"/>
        <v>284</v>
      </c>
      <c r="AO292">
        <f t="shared" si="95"/>
        <v>284</v>
      </c>
      <c r="AP292">
        <f t="shared" si="96"/>
        <v>284</v>
      </c>
      <c r="AQ292">
        <f t="shared" si="97"/>
        <v>284</v>
      </c>
      <c r="AR292" s="6">
        <f t="shared" si="98"/>
        <v>284</v>
      </c>
      <c r="AS292">
        <f t="shared" si="99"/>
        <v>284</v>
      </c>
      <c r="AV292" s="1" t="str">
        <f>IF(IFERROR(INDEX($A$9:$W$304,$AS292,COLUMNS($AV$9:AV291)),"")=0,"",IFERROR(INDEX($A$9:$W$304,$AS292,COLUMNS($AV$9:AV291)),""))</f>
        <v>Winter Fairy</v>
      </c>
      <c r="AW292" s="1">
        <f>IFERROR(INDEX($A$9:$W$304,$AS292,COLUMNS($AV$9:AW291)),"")</f>
        <v>1</v>
      </c>
      <c r="AX292" s="1" t="str">
        <f>IF(IFERROR(INDEX($A$9:$X$304,$AS292,COLUMNS($AV$9:AX291)),"")=0,"",IFERROR(INDEX($A$9:$X$304,$AS292,COLUMNS($AV$9:AX291)),""))</f>
        <v>SAGE</v>
      </c>
      <c r="AY292" s="1" t="str">
        <f>IF(IFERROR(INDEX($A$9:$X$304,$AS292,COLUMNS($AV$9:AY291)),"")=0,"",IFERROR(INDEX($A$9:$X$304,$AS292,COLUMNS($AV$9:AY291)),""))</f>
        <v/>
      </c>
      <c r="AZ292" s="1" t="str">
        <f>IF(IFERROR(INDEX($A$9:$X$304,$AS292,COLUMNS($AV$9:AZ291)),"")=0,"",IFERROR(INDEX($A$9:$X$304,$AS292,COLUMNS($AV$9:AZ291)),""))</f>
        <v>CHAMPION</v>
      </c>
      <c r="BA292" s="1">
        <f>IF(IFERROR(INDEX($A$9:$X$304,$AS292,COLUMNS($AV$9:BA291)),"")=0,"",IFERROR(INDEX($A$9:$X$304,$AS292,COLUMNS($AV$9:BA291)),""))</f>
        <v>4</v>
      </c>
      <c r="BB292" s="1">
        <f>IF(IFERROR(INDEX($A$9:$X$304,$AS292,COLUMNS($AV$9:BB291)),"")=0,"",IFERROR(INDEX($A$9:$X$304,$AS292,COLUMNS($AV$9:BB291)),""))</f>
        <v>3</v>
      </c>
      <c r="BC292" s="1" t="str">
        <f>IF(IFERROR(INDEX($A$9:$X$304,$AS292,COLUMNS($AV$9:BC291)),"")=0,"",IFERROR(INDEX($A$9:$X$304,$AS292,COLUMNS($AV$9:BC291)),""))</f>
        <v>Airborne</v>
      </c>
      <c r="BD292" s="1" t="str">
        <f>IF(IFERROR(INDEX($A$9:$X$304,$AS292,COLUMNS($AV$9:BD291)),"")=0,"",IFERROR(INDEX($A$9:$X$304,$AS292,COLUMNS($AV$9:BD291)),""))</f>
        <v>Tribute → Draw a card.</v>
      </c>
      <c r="BE292" s="1" t="str">
        <f>IF(IFERROR(INDEX($A$9:$X$304,$AS292,COLUMNS($AV$9:BE291)),"")=0,"",IFERROR(INDEX($A$9:$X$304,$AS292,COLUMNS($AV$9:BE291)),""))</f>
        <v>When this card damages an opponent and/or is broken → Draw a card.</v>
      </c>
      <c r="BF292" s="1" t="str">
        <f>IF(IFERROR(INDEX($A$9:$X$304,$AS292,COLUMNS($AV$9:BF291)),"")=0,"",IFERROR(INDEX($A$9:$X$304,$AS292,COLUMNS($AV$9:BF291)),""))</f>
        <v/>
      </c>
      <c r="BG292" s="1" t="str">
        <f>IF(IFERROR(INDEX($A$9:$X$304,$AS292,COLUMNS($AV$9:BG291)),"")=0,"",IFERROR(INDEX($A$9:$X$304,$AS292,COLUMNS($AV$9:BG291)),""))</f>
        <v/>
      </c>
      <c r="BH292" s="1" t="str">
        <f>IF(IFERROR(INDEX($A$9:$X$304,$AS292,COLUMNS($AV$9:BH291)),"")=0,"",IFERROR(INDEX($A$9:$X$304,$AS292,COLUMNS($AV$9:BH291)),""))</f>
        <v/>
      </c>
      <c r="BI292" s="1" t="str">
        <f>IF(IFERROR(INDEX($A$9:$X$304,$AS292,COLUMNS($AV$9:BI291)),"")=0,"",IFERROR(INDEX($A$9:$X$304,$AS292,COLUMNS($AV$9:BI291)),""))</f>
        <v/>
      </c>
      <c r="BJ292" s="1" t="str">
        <f>IF(IFERROR(INDEX($A$9:$X$304,$AS292,COLUMNS($AV$9:BJ291)),"")=0,"",IFERROR(INDEX($A$9:$X$304,$AS292,COLUMNS($AV$9:BJ291)),""))</f>
        <v>FAIRY</v>
      </c>
      <c r="BK292" s="1" t="str">
        <f>IF(IFERROR(INDEX($A$9:$X$304,$AS292,COLUMNS($AV$9:BK291)),"")=0,"",IFERROR(INDEX($A$9:$X$304,$AS292,COLUMNS($AV$9:BK291)),""))</f>
        <v>Common</v>
      </c>
      <c r="BL292" s="1" t="str">
        <f>IF(IFERROR(INDEX($A$9:$X$304,$AS292,COLUMNS($AV$9:BL291)),"")=0,"",IFERROR(INDEX($A$9:$X$304,$AS292,COLUMNS($AV$9:BL291)),""))</f>
        <v>Apsara</v>
      </c>
      <c r="BM292" s="1" t="str">
        <f>IF(IFERROR(INDEX($A$9:$X$304,$AS292,COLUMNS($AV$9:BM291)),"")=0,"",IFERROR(INDEX($A$9:$X$304,$AS292,COLUMNS($AV$9:BM291)),""))</f>
        <v>Base Set</v>
      </c>
      <c r="BN292" s="3" t="b">
        <f>IF(IFERROR(INDEX($A$9:$X$304,$AS292,COLUMNS($AV$9:BN291)),"")=0,"",IFERROR(INDEX($A$9:$X$304,$AS292,COLUMNS($AV$9:BN291)),""))</f>
        <v>1</v>
      </c>
      <c r="BO292" s="3" t="b">
        <f>IF(IFERROR(INDEX($A$9:$X$304,$AS292,COLUMNS($AV$9:BO291)),"")=0,"",IFERROR(INDEX($A$9:$X$304,$AS292,COLUMNS($AV$9:BO291)),""))</f>
        <v>0</v>
      </c>
      <c r="BP292" s="3" t="b">
        <f>IF(IFERROR(INDEX($A$9:$X$304,$AS292,COLUMNS($AV$9:BP291)),"")=0,"",IFERROR(INDEX($A$9:$X$304,$AS292,COLUMNS($AV$9:BP291)),""))</f>
        <v>0</v>
      </c>
      <c r="BQ292" s="3" t="b">
        <f>IF(IFERROR(INDEX($A$9:$X$304,$AS292,COLUMNS($AV$9:BQ291)),"")=0,"",IFERROR(INDEX($A$9:$X$304,$AS292,COLUMNS($AV$9:BQ291)),""))</f>
        <v>0</v>
      </c>
      <c r="BR292" s="3" t="str">
        <f>IF(IFERROR(INDEX($A$9:$X$304,$AS292,COLUMNS($AV$9:BR291)),"")=0,"",IFERROR(INDEX($A$9:$X$304,$AS292,COLUMNS($AV$9:BR291)),""))</f>
        <v>http://www.epiccardgame.com/wp-content/uploads/2015/09/winter_fairy-215x300.jpg</v>
      </c>
      <c r="BS292" s="3" t="str">
        <f>IF(IFERROR(INDEX($A$9:$X$304,$AS292,COLUMNS($AV$9:BS291)),"")=0,"",IFERROR(INDEX($A$9:$X$304,$AS292,COLUMNS($AV$9:BS291)),""))</f>
        <v/>
      </c>
      <c r="BT292" s="3"/>
      <c r="BU292" s="15"/>
      <c r="BV292" t="s">
        <v>313</v>
      </c>
    </row>
    <row r="293" spans="1:74" ht="225.2" customHeight="1" x14ac:dyDescent="0.25">
      <c r="A293" t="s">
        <v>603</v>
      </c>
      <c r="B293">
        <v>0</v>
      </c>
      <c r="C293" t="s">
        <v>618</v>
      </c>
      <c r="E293" t="s">
        <v>619</v>
      </c>
      <c r="H293" t="s">
        <v>754</v>
      </c>
      <c r="I293" t="s">
        <v>962</v>
      </c>
      <c r="O293" t="s">
        <v>1062</v>
      </c>
      <c r="P293" t="s">
        <v>1112</v>
      </c>
      <c r="Q293" t="s">
        <v>1124</v>
      </c>
      <c r="R293" t="s">
        <v>1171</v>
      </c>
      <c r="S293" t="b">
        <v>0</v>
      </c>
      <c r="T293" t="b">
        <v>0</v>
      </c>
      <c r="U293" t="b">
        <v>0</v>
      </c>
      <c r="V293" t="b">
        <v>0</v>
      </c>
      <c r="W293" s="2" t="s">
        <v>1468</v>
      </c>
      <c r="X293" s="2"/>
      <c r="Y293" s="24">
        <v>285</v>
      </c>
      <c r="Z293">
        <f t="shared" si="80"/>
        <v>285</v>
      </c>
      <c r="AA293">
        <f t="shared" si="81"/>
        <v>285</v>
      </c>
      <c r="AB293">
        <f t="shared" si="82"/>
        <v>285</v>
      </c>
      <c r="AC293">
        <f t="shared" si="83"/>
        <v>0</v>
      </c>
      <c r="AD293">
        <f t="shared" si="84"/>
        <v>285</v>
      </c>
      <c r="AE293">
        <f t="shared" si="85"/>
        <v>0</v>
      </c>
      <c r="AF293">
        <f t="shared" si="86"/>
        <v>0</v>
      </c>
      <c r="AG293">
        <f t="shared" si="87"/>
        <v>285</v>
      </c>
      <c r="AH293">
        <f t="shared" si="88"/>
        <v>285</v>
      </c>
      <c r="AI293">
        <f t="shared" si="89"/>
        <v>0</v>
      </c>
      <c r="AJ293">
        <f t="shared" si="90"/>
        <v>0</v>
      </c>
      <c r="AK293">
        <f t="shared" si="91"/>
        <v>0</v>
      </c>
      <c r="AL293">
        <f t="shared" si="92"/>
        <v>0</v>
      </c>
      <c r="AM293">
        <f t="shared" si="93"/>
        <v>0</v>
      </c>
      <c r="AN293">
        <f t="shared" si="94"/>
        <v>285</v>
      </c>
      <c r="AO293">
        <f t="shared" si="95"/>
        <v>285</v>
      </c>
      <c r="AP293">
        <f t="shared" si="96"/>
        <v>285</v>
      </c>
      <c r="AQ293">
        <f t="shared" si="97"/>
        <v>285</v>
      </c>
      <c r="AR293" s="6">
        <f t="shared" si="98"/>
        <v>285</v>
      </c>
      <c r="AS293">
        <f t="shared" si="99"/>
        <v>285</v>
      </c>
      <c r="AV293" s="1" t="str">
        <f>IF(IFERROR(INDEX($A$9:$W$304,$AS293,COLUMNS($AV$9:AV292)),"")=0,"",IFERROR(INDEX($A$9:$W$304,$AS293,COLUMNS($AV$9:AV292)),""))</f>
        <v>Wither</v>
      </c>
      <c r="AW293" s="1">
        <f>IFERROR(INDEX($A$9:$W$304,$AS293,COLUMNS($AV$9:AW292)),"")</f>
        <v>0</v>
      </c>
      <c r="AX293" s="1" t="str">
        <f>IF(IFERROR(INDEX($A$9:$X$304,$AS293,COLUMNS($AV$9:AX292)),"")=0,"",IFERROR(INDEX($A$9:$X$304,$AS293,COLUMNS($AV$9:AX292)),""))</f>
        <v>EVIL</v>
      </c>
      <c r="AY293" s="1" t="str">
        <f>IF(IFERROR(INDEX($A$9:$X$304,$AS293,COLUMNS($AV$9:AY292)),"")=0,"",IFERROR(INDEX($A$9:$X$304,$AS293,COLUMNS($AV$9:AY292)),""))</f>
        <v/>
      </c>
      <c r="AZ293" s="1" t="str">
        <f>IF(IFERROR(INDEX($A$9:$X$304,$AS293,COLUMNS($AV$9:AZ292)),"")=0,"",IFERROR(INDEX($A$9:$X$304,$AS293,COLUMNS($AV$9:AZ292)),""))</f>
        <v>EVENT</v>
      </c>
      <c r="BA293" s="1" t="str">
        <f>IF(IFERROR(INDEX($A$9:$X$304,$AS293,COLUMNS($AV$9:BA292)),"")=0,"",IFERROR(INDEX($A$9:$X$304,$AS293,COLUMNS($AV$9:BA292)),""))</f>
        <v/>
      </c>
      <c r="BB293" s="1" t="str">
        <f>IF(IFERROR(INDEX($A$9:$X$304,$AS293,COLUMNS($AV$9:BB292)),"")=0,"",IFERROR(INDEX($A$9:$X$304,$AS293,COLUMNS($AV$9:BB292)),""))</f>
        <v/>
      </c>
      <c r="BC293" s="1" t="str">
        <f>IF(IFERROR(INDEX($A$9:$X$304,$AS293,COLUMNS($AV$9:BC292)),"")=0,"",IFERROR(INDEX($A$9:$X$304,$AS293,COLUMNS($AV$9:BC292)),""))</f>
        <v>Deal 3 damage to target champion and all other champions with the same name.</v>
      </c>
      <c r="BD293" s="1" t="str">
        <f>IF(IFERROR(INDEX($A$9:$X$304,$AS293,COLUMNS($AV$9:BD292)),"")=0,"",IFERROR(INDEX($A$9:$X$304,$AS293,COLUMNS($AV$9:BD292)),""))</f>
        <v>Champions damaged by this card get -3 {offense} this turn.</v>
      </c>
      <c r="BE293" s="1" t="str">
        <f>IF(IFERROR(INDEX($A$9:$X$304,$AS293,COLUMNS($AV$9:BE292)),"")=0,"",IFERROR(INDEX($A$9:$X$304,$AS293,COLUMNS($AV$9:BE292)),""))</f>
        <v/>
      </c>
      <c r="BF293" s="1" t="str">
        <f>IF(IFERROR(INDEX($A$9:$X$304,$AS293,COLUMNS($AV$9:BF292)),"")=0,"",IFERROR(INDEX($A$9:$X$304,$AS293,COLUMNS($AV$9:BF292)),""))</f>
        <v/>
      </c>
      <c r="BG293" s="1" t="str">
        <f>IF(IFERROR(INDEX($A$9:$X$304,$AS293,COLUMNS($AV$9:BG292)),"")=0,"",IFERROR(INDEX($A$9:$X$304,$AS293,COLUMNS($AV$9:BG292)),""))</f>
        <v/>
      </c>
      <c r="BH293" s="1" t="str">
        <f>IF(IFERROR(INDEX($A$9:$X$304,$AS293,COLUMNS($AV$9:BH292)),"")=0,"",IFERROR(INDEX($A$9:$X$304,$AS293,COLUMNS($AV$9:BH292)),""))</f>
        <v/>
      </c>
      <c r="BI293" s="1" t="str">
        <f>IF(IFERROR(INDEX($A$9:$X$304,$AS293,COLUMNS($AV$9:BI292)),"")=0,"",IFERROR(INDEX($A$9:$X$304,$AS293,COLUMNS($AV$9:BI292)),""))</f>
        <v/>
      </c>
      <c r="BJ293" s="1" t="str">
        <f>IF(IFERROR(INDEX($A$9:$X$304,$AS293,COLUMNS($AV$9:BJ292)),"")=0,"",IFERROR(INDEX($A$9:$X$304,$AS293,COLUMNS($AV$9:BJ292)),""))</f>
        <v>None</v>
      </c>
      <c r="BK293" s="1" t="str">
        <f>IF(IFERROR(INDEX($A$9:$X$304,$AS293,COLUMNS($AV$9:BK292)),"")=0,"",IFERROR(INDEX($A$9:$X$304,$AS293,COLUMNS($AV$9:BK292)),""))</f>
        <v>Common</v>
      </c>
      <c r="BL293" s="1" t="str">
        <f>IF(IFERROR(INDEX($A$9:$X$304,$AS293,COLUMNS($AV$9:BL292)),"")=0,"",IFERROR(INDEX($A$9:$X$304,$AS293,COLUMNS($AV$9:BL292)),""))</f>
        <v>Souveraine</v>
      </c>
      <c r="BM293" s="1" t="str">
        <f>IF(IFERROR(INDEX($A$9:$X$304,$AS293,COLUMNS($AV$9:BM292)),"")=0,"",IFERROR(INDEX($A$9:$X$304,$AS293,COLUMNS($AV$9:BM292)),""))</f>
        <v>Base Set</v>
      </c>
      <c r="BN293" s="3" t="b">
        <f>IF(IFERROR(INDEX($A$9:$X$304,$AS293,COLUMNS($AV$9:BN292)),"")=0,"",IFERROR(INDEX($A$9:$X$304,$AS293,COLUMNS($AV$9:BN292)),""))</f>
        <v>0</v>
      </c>
      <c r="BO293" s="3" t="b">
        <f>IF(IFERROR(INDEX($A$9:$X$304,$AS293,COLUMNS($AV$9:BO292)),"")=0,"",IFERROR(INDEX($A$9:$X$304,$AS293,COLUMNS($AV$9:BO292)),""))</f>
        <v>0</v>
      </c>
      <c r="BP293" s="3" t="b">
        <f>IF(IFERROR(INDEX($A$9:$X$304,$AS293,COLUMNS($AV$9:BP292)),"")=0,"",IFERROR(INDEX($A$9:$X$304,$AS293,COLUMNS($AV$9:BP292)),""))</f>
        <v>0</v>
      </c>
      <c r="BQ293" s="3" t="b">
        <f>IF(IFERROR(INDEX($A$9:$X$304,$AS293,COLUMNS($AV$9:BQ292)),"")=0,"",IFERROR(INDEX($A$9:$X$304,$AS293,COLUMNS($AV$9:BQ292)),""))</f>
        <v>0</v>
      </c>
      <c r="BR293" s="3" t="str">
        <f>IF(IFERROR(INDEX($A$9:$X$304,$AS293,COLUMNS($AV$9:BR292)),"")=0,"",IFERROR(INDEX($A$9:$X$304,$AS293,COLUMNS($AV$9:BR292)),""))</f>
        <v>http://www.epiccardgame.com/wp-content/uploads/2015/09/wither-215x300.jpg</v>
      </c>
      <c r="BS293" s="3" t="str">
        <f>IF(IFERROR(INDEX($A$9:$X$304,$AS293,COLUMNS($AV$9:BS292)),"")=0,"",IFERROR(INDEX($A$9:$X$304,$AS293,COLUMNS($AV$9:BS292)),""))</f>
        <v/>
      </c>
      <c r="BT293" s="3"/>
      <c r="BU293" s="15"/>
      <c r="BV293" t="s">
        <v>314</v>
      </c>
    </row>
    <row r="294" spans="1:74" ht="225.2" customHeight="1" x14ac:dyDescent="0.25">
      <c r="A294" t="s">
        <v>604</v>
      </c>
      <c r="B294">
        <v>0</v>
      </c>
      <c r="C294" t="s">
        <v>615</v>
      </c>
      <c r="E294" t="s">
        <v>619</v>
      </c>
      <c r="H294" t="s">
        <v>755</v>
      </c>
      <c r="L294" t="s">
        <v>1044</v>
      </c>
      <c r="M294" t="s">
        <v>1061</v>
      </c>
      <c r="O294" t="s">
        <v>1080</v>
      </c>
      <c r="P294" t="s">
        <v>1112</v>
      </c>
      <c r="Q294" t="s">
        <v>1124</v>
      </c>
      <c r="R294" t="s">
        <v>1171</v>
      </c>
      <c r="S294" t="b">
        <v>1</v>
      </c>
      <c r="T294" t="b">
        <v>0</v>
      </c>
      <c r="U294" t="b">
        <v>0</v>
      </c>
      <c r="V294" t="b">
        <v>0</v>
      </c>
      <c r="W294" s="2" t="s">
        <v>1469</v>
      </c>
      <c r="X294" s="2"/>
      <c r="Y294" s="24">
        <v>286</v>
      </c>
      <c r="Z294">
        <f t="shared" si="80"/>
        <v>286</v>
      </c>
      <c r="AA294">
        <f t="shared" si="81"/>
        <v>286</v>
      </c>
      <c r="AB294">
        <f t="shared" si="82"/>
        <v>286</v>
      </c>
      <c r="AC294">
        <f t="shared" si="83"/>
        <v>0</v>
      </c>
      <c r="AD294">
        <f t="shared" si="84"/>
        <v>286</v>
      </c>
      <c r="AE294">
        <f t="shared" si="85"/>
        <v>0</v>
      </c>
      <c r="AF294">
        <f t="shared" si="86"/>
        <v>0</v>
      </c>
      <c r="AG294">
        <f t="shared" si="87"/>
        <v>286</v>
      </c>
      <c r="AH294">
        <f t="shared" si="88"/>
        <v>0</v>
      </c>
      <c r="AI294">
        <f t="shared" si="89"/>
        <v>0</v>
      </c>
      <c r="AJ294">
        <f t="shared" si="90"/>
        <v>0</v>
      </c>
      <c r="AK294">
        <f t="shared" si="91"/>
        <v>286</v>
      </c>
      <c r="AL294">
        <f t="shared" si="92"/>
        <v>286</v>
      </c>
      <c r="AM294">
        <f t="shared" si="93"/>
        <v>0</v>
      </c>
      <c r="AN294">
        <f t="shared" si="94"/>
        <v>286</v>
      </c>
      <c r="AO294">
        <f t="shared" si="95"/>
        <v>286</v>
      </c>
      <c r="AP294">
        <f t="shared" si="96"/>
        <v>286</v>
      </c>
      <c r="AQ294">
        <f t="shared" si="97"/>
        <v>286</v>
      </c>
      <c r="AR294" s="6">
        <f t="shared" si="98"/>
        <v>286</v>
      </c>
      <c r="AS294">
        <f t="shared" si="99"/>
        <v>286</v>
      </c>
      <c r="AV294" s="1" t="str">
        <f>IF(IFERROR(INDEX($A$9:$W$304,$AS294,COLUMNS($AV$9:AV293)),"")=0,"",IFERROR(INDEX($A$9:$W$304,$AS294,COLUMNS($AV$9:AV293)),""))</f>
        <v>Wolf Companion</v>
      </c>
      <c r="AW294" s="1">
        <f>IFERROR(INDEX($A$9:$W$304,$AS294,COLUMNS($AV$9:AW293)),"")</f>
        <v>0</v>
      </c>
      <c r="AX294" s="1" t="str">
        <f>IF(IFERROR(INDEX($A$9:$X$304,$AS294,COLUMNS($AV$9:AX293)),"")=0,"",IFERROR(INDEX($A$9:$X$304,$AS294,COLUMNS($AV$9:AX293)),""))</f>
        <v>WILD</v>
      </c>
      <c r="AY294" s="1" t="str">
        <f>IF(IFERROR(INDEX($A$9:$X$304,$AS294,COLUMNS($AV$9:AY293)),"")=0,"",IFERROR(INDEX($A$9:$X$304,$AS294,COLUMNS($AV$9:AY293)),""))</f>
        <v/>
      </c>
      <c r="AZ294" s="1" t="str">
        <f>IF(IFERROR(INDEX($A$9:$X$304,$AS294,COLUMNS($AV$9:AZ293)),"")=0,"",IFERROR(INDEX($A$9:$X$304,$AS294,COLUMNS($AV$9:AZ293)),""))</f>
        <v>EVENT</v>
      </c>
      <c r="BA294" s="1" t="str">
        <f>IF(IFERROR(INDEX($A$9:$X$304,$AS294,COLUMNS($AV$9:BA293)),"")=0,"",IFERROR(INDEX($A$9:$X$304,$AS294,COLUMNS($AV$9:BA293)),""))</f>
        <v/>
      </c>
      <c r="BB294" s="1" t="str">
        <f>IF(IFERROR(INDEX($A$9:$X$304,$AS294,COLUMNS($AV$9:BB293)),"")=0,"",IFERROR(INDEX($A$9:$X$304,$AS294,COLUMNS($AV$9:BB293)),""))</f>
        <v/>
      </c>
      <c r="BC294" s="1" t="str">
        <f>IF(IFERROR(INDEX($A$9:$X$304,$AS294,COLUMNS($AV$9:BC293)),"")=0,"",IFERROR(INDEX($A$9:$X$304,$AS294,COLUMNS($AV$9:BC293)),""))</f>
        <v>Target champion gets +2 {offense} +2 {defense} this turn.</v>
      </c>
      <c r="BD294" s="1" t="str">
        <f>IF(IFERROR(INDEX($A$9:$X$304,$AS294,COLUMNS($AV$9:BD293)),"")=0,"",IFERROR(INDEX($A$9:$X$304,$AS294,COLUMNS($AV$9:BD293)),""))</f>
        <v/>
      </c>
      <c r="BE294" s="1" t="str">
        <f>IF(IFERROR(INDEX($A$9:$X$304,$AS294,COLUMNS($AV$9:BE293)),"")=0,"",IFERROR(INDEX($A$9:$X$304,$AS294,COLUMNS($AV$9:BE293)),""))</f>
        <v/>
      </c>
      <c r="BF294" s="1" t="str">
        <f>IF(IFERROR(INDEX($A$9:$X$304,$AS294,COLUMNS($AV$9:BF293)),"")=0,"",IFERROR(INDEX($A$9:$X$304,$AS294,COLUMNS($AV$9:BF293)),""))</f>
        <v/>
      </c>
      <c r="BG294" s="1" t="str">
        <f>IF(IFERROR(INDEX($A$9:$X$304,$AS294,COLUMNS($AV$9:BG293)),"")=0,"",IFERROR(INDEX($A$9:$X$304,$AS294,COLUMNS($AV$9:BG293)),""))</f>
        <v>{1}: Recall</v>
      </c>
      <c r="BH294" s="1" t="str">
        <f>IF(IFERROR(INDEX($A$9:$X$304,$AS294,COLUMNS($AV$9:BH293)),"")=0,"",IFERROR(INDEX($A$9:$X$304,$AS294,COLUMNS($AV$9:BH293)),""))</f>
        <v>When this card leaves your discard pile → Put a wolf token into play.</v>
      </c>
      <c r="BI294" s="1" t="str">
        <f>IF(IFERROR(INDEX($A$9:$X$304,$AS294,COLUMNS($AV$9:BI293)),"")=0,"",IFERROR(INDEX($A$9:$X$304,$AS294,COLUMNS($AV$9:BI293)),""))</f>
        <v/>
      </c>
      <c r="BJ294" s="1" t="str">
        <f>IF(IFERROR(INDEX($A$9:$X$304,$AS294,COLUMNS($AV$9:BJ293)),"")=0,"",IFERROR(INDEX($A$9:$X$304,$AS294,COLUMNS($AV$9:BJ293)),""))</f>
        <v>WOLF</v>
      </c>
      <c r="BK294" s="1" t="str">
        <f>IF(IFERROR(INDEX($A$9:$X$304,$AS294,COLUMNS($AV$9:BK293)),"")=0,"",IFERROR(INDEX($A$9:$X$304,$AS294,COLUMNS($AV$9:BK293)),""))</f>
        <v>Common</v>
      </c>
      <c r="BL294" s="1" t="str">
        <f>IF(IFERROR(INDEX($A$9:$X$304,$AS294,COLUMNS($AV$9:BL293)),"")=0,"",IFERROR(INDEX($A$9:$X$304,$AS294,COLUMNS($AV$9:BL293)),""))</f>
        <v>Souveraine</v>
      </c>
      <c r="BM294" s="1" t="str">
        <f>IF(IFERROR(INDEX($A$9:$X$304,$AS294,COLUMNS($AV$9:BM293)),"")=0,"",IFERROR(INDEX($A$9:$X$304,$AS294,COLUMNS($AV$9:BM293)),""))</f>
        <v>Base Set</v>
      </c>
      <c r="BN294" s="3" t="b">
        <f>IF(IFERROR(INDEX($A$9:$X$304,$AS294,COLUMNS($AV$9:BN293)),"")=0,"",IFERROR(INDEX($A$9:$X$304,$AS294,COLUMNS($AV$9:BN293)),""))</f>
        <v>1</v>
      </c>
      <c r="BO294" s="3" t="b">
        <f>IF(IFERROR(INDEX($A$9:$X$304,$AS294,COLUMNS($AV$9:BO293)),"")=0,"",IFERROR(INDEX($A$9:$X$304,$AS294,COLUMNS($AV$9:BO293)),""))</f>
        <v>0</v>
      </c>
      <c r="BP294" s="3" t="b">
        <f>IF(IFERROR(INDEX($A$9:$X$304,$AS294,COLUMNS($AV$9:BP293)),"")=0,"",IFERROR(INDEX($A$9:$X$304,$AS294,COLUMNS($AV$9:BP293)),""))</f>
        <v>0</v>
      </c>
      <c r="BQ294" s="3" t="b">
        <f>IF(IFERROR(INDEX($A$9:$X$304,$AS294,COLUMNS($AV$9:BQ293)),"")=0,"",IFERROR(INDEX($A$9:$X$304,$AS294,COLUMNS($AV$9:BQ293)),""))</f>
        <v>0</v>
      </c>
      <c r="BR294" s="3" t="str">
        <f>IF(IFERROR(INDEX($A$9:$X$304,$AS294,COLUMNS($AV$9:BR293)),"")=0,"",IFERROR(INDEX($A$9:$X$304,$AS294,COLUMNS($AV$9:BR293)),""))</f>
        <v>http://www.epiccardgame.com/wp-content/uploads/2015/09/wolf_companion-215x300.jpg</v>
      </c>
      <c r="BS294" s="3" t="str">
        <f>IF(IFERROR(INDEX($A$9:$X$304,$AS294,COLUMNS($AV$9:BS293)),"")=0,"",IFERROR(INDEX($A$9:$X$304,$AS294,COLUMNS($AV$9:BS293)),""))</f>
        <v/>
      </c>
      <c r="BT294" s="3"/>
      <c r="BU294" s="15"/>
      <c r="BV294" t="s">
        <v>315</v>
      </c>
    </row>
    <row r="295" spans="1:74" ht="225.2" customHeight="1" x14ac:dyDescent="0.25">
      <c r="A295" t="s">
        <v>605</v>
      </c>
      <c r="B295">
        <v>0</v>
      </c>
      <c r="C295" t="s">
        <v>615</v>
      </c>
      <c r="E295" t="s">
        <v>622</v>
      </c>
      <c r="F295">
        <v>2</v>
      </c>
      <c r="G295">
        <v>2</v>
      </c>
      <c r="H295" t="s">
        <v>756</v>
      </c>
      <c r="O295" t="s">
        <v>1110</v>
      </c>
      <c r="Q295" t="s">
        <v>1116</v>
      </c>
      <c r="R295" t="s">
        <v>1174</v>
      </c>
      <c r="S295" t="b">
        <v>0</v>
      </c>
      <c r="T295" t="b">
        <v>0</v>
      </c>
      <c r="U295" t="b">
        <v>0</v>
      </c>
      <c r="V295" t="b">
        <v>0</v>
      </c>
      <c r="W295" s="2" t="s">
        <v>1470</v>
      </c>
      <c r="X295" s="2"/>
      <c r="Y295" s="24">
        <v>287</v>
      </c>
      <c r="Z295">
        <f t="shared" si="80"/>
        <v>287</v>
      </c>
      <c r="AA295">
        <f t="shared" si="81"/>
        <v>287</v>
      </c>
      <c r="AB295">
        <f t="shared" si="82"/>
        <v>287</v>
      </c>
      <c r="AC295">
        <f t="shared" si="83"/>
        <v>0</v>
      </c>
      <c r="AD295">
        <f t="shared" si="84"/>
        <v>287</v>
      </c>
      <c r="AE295">
        <f t="shared" si="85"/>
        <v>287</v>
      </c>
      <c r="AF295">
        <f t="shared" si="86"/>
        <v>287</v>
      </c>
      <c r="AG295">
        <f t="shared" si="87"/>
        <v>287</v>
      </c>
      <c r="AH295">
        <f t="shared" si="88"/>
        <v>0</v>
      </c>
      <c r="AI295">
        <f t="shared" si="89"/>
        <v>0</v>
      </c>
      <c r="AJ295">
        <f t="shared" si="90"/>
        <v>0</v>
      </c>
      <c r="AK295">
        <f t="shared" si="91"/>
        <v>0</v>
      </c>
      <c r="AL295">
        <f t="shared" si="92"/>
        <v>0</v>
      </c>
      <c r="AM295">
        <f t="shared" si="93"/>
        <v>0</v>
      </c>
      <c r="AN295">
        <f t="shared" si="94"/>
        <v>287</v>
      </c>
      <c r="AO295">
        <f t="shared" si="95"/>
        <v>0</v>
      </c>
      <c r="AP295">
        <f t="shared" si="96"/>
        <v>287</v>
      </c>
      <c r="AQ295">
        <f t="shared" si="97"/>
        <v>287</v>
      </c>
      <c r="AR295" s="6">
        <f t="shared" si="98"/>
        <v>287</v>
      </c>
      <c r="AS295">
        <f t="shared" si="99"/>
        <v>287</v>
      </c>
      <c r="AV295" s="1" t="str">
        <f>IF(IFERROR(INDEX($A$9:$W$304,$AS295,COLUMNS($AV$9:AV294)),"")=0,"",IFERROR(INDEX($A$9:$W$304,$AS295,COLUMNS($AV$9:AV294)),""))</f>
        <v>Wolf Token</v>
      </c>
      <c r="AW295" s="1">
        <f>IFERROR(INDEX($A$9:$W$304,$AS295,COLUMNS($AV$9:AW294)),"")</f>
        <v>0</v>
      </c>
      <c r="AX295" s="1" t="str">
        <f>IF(IFERROR(INDEX($A$9:$X$304,$AS295,COLUMNS($AV$9:AX294)),"")=0,"",IFERROR(INDEX($A$9:$X$304,$AS295,COLUMNS($AV$9:AX294)),""))</f>
        <v>WILD</v>
      </c>
      <c r="AY295" s="1" t="str">
        <f>IF(IFERROR(INDEX($A$9:$X$304,$AS295,COLUMNS($AV$9:AY294)),"")=0,"",IFERROR(INDEX($A$9:$X$304,$AS295,COLUMNS($AV$9:AY294)),""))</f>
        <v/>
      </c>
      <c r="AZ295" s="1" t="str">
        <f>IF(IFERROR(INDEX($A$9:$X$304,$AS295,COLUMNS($AV$9:AZ294)),"")=0,"",IFERROR(INDEX($A$9:$X$304,$AS295,COLUMNS($AV$9:AZ294)),""))</f>
        <v>TOKEN CHAMPION</v>
      </c>
      <c r="BA295" s="1">
        <f>IF(IFERROR(INDEX($A$9:$X$304,$AS295,COLUMNS($AV$9:BA294)),"")=0,"",IFERROR(INDEX($A$9:$X$304,$AS295,COLUMNS($AV$9:BA294)),""))</f>
        <v>2</v>
      </c>
      <c r="BB295" s="1">
        <f>IF(IFERROR(INDEX($A$9:$X$304,$AS295,COLUMNS($AV$9:BB294)),"")=0,"",IFERROR(INDEX($A$9:$X$304,$AS295,COLUMNS($AV$9:BB294)),""))</f>
        <v>2</v>
      </c>
      <c r="BC295" s="1" t="str">
        <f>IF(IFERROR(INDEX($A$9:$X$304,$AS295,COLUMNS($AV$9:BC294)),"")=0,"",IFERROR(INDEX($A$9:$X$304,$AS295,COLUMNS($AV$9:BC294)),""))</f>
        <v>The eyes of the Huntress.</v>
      </c>
      <c r="BD295" s="1" t="str">
        <f>IF(IFERROR(INDEX($A$9:$X$304,$AS295,COLUMNS($AV$9:BD294)),"")=0,"",IFERROR(INDEX($A$9:$X$304,$AS295,COLUMNS($AV$9:BD294)),""))</f>
        <v/>
      </c>
      <c r="BE295" s="1" t="str">
        <f>IF(IFERROR(INDEX($A$9:$X$304,$AS295,COLUMNS($AV$9:BE294)),"")=0,"",IFERROR(INDEX($A$9:$X$304,$AS295,COLUMNS($AV$9:BE294)),""))</f>
        <v/>
      </c>
      <c r="BF295" s="1" t="str">
        <f>IF(IFERROR(INDEX($A$9:$X$304,$AS295,COLUMNS($AV$9:BF294)),"")=0,"",IFERROR(INDEX($A$9:$X$304,$AS295,COLUMNS($AV$9:BF294)),""))</f>
        <v/>
      </c>
      <c r="BG295" s="1" t="str">
        <f>IF(IFERROR(INDEX($A$9:$X$304,$AS295,COLUMNS($AV$9:BG294)),"")=0,"",IFERROR(INDEX($A$9:$X$304,$AS295,COLUMNS($AV$9:BG294)),""))</f>
        <v/>
      </c>
      <c r="BH295" s="1" t="str">
        <f>IF(IFERROR(INDEX($A$9:$X$304,$AS295,COLUMNS($AV$9:BH294)),"")=0,"",IFERROR(INDEX($A$9:$X$304,$AS295,COLUMNS($AV$9:BH294)),""))</f>
        <v/>
      </c>
      <c r="BI295" s="1" t="str">
        <f>IF(IFERROR(INDEX($A$9:$X$304,$AS295,COLUMNS($AV$9:BI294)),"")=0,"",IFERROR(INDEX($A$9:$X$304,$AS295,COLUMNS($AV$9:BI294)),""))</f>
        <v/>
      </c>
      <c r="BJ295" s="1" t="str">
        <f>IF(IFERROR(INDEX($A$9:$X$304,$AS295,COLUMNS($AV$9:BJ294)),"")=0,"",IFERROR(INDEX($A$9:$X$304,$AS295,COLUMNS($AV$9:BJ294)),""))</f>
        <v>WOLF TOKEN</v>
      </c>
      <c r="BK295" s="1" t="str">
        <f>IF(IFERROR(INDEX($A$9:$X$304,$AS295,COLUMNS($AV$9:BK294)),"")=0,"",IFERROR(INDEX($A$9:$X$304,$AS295,COLUMNS($AV$9:BK294)),""))</f>
        <v/>
      </c>
      <c r="BL295" s="1" t="str">
        <f>IF(IFERROR(INDEX($A$9:$X$304,$AS295,COLUMNS($AV$9:BL294)),"")=0,"",IFERROR(INDEX($A$9:$X$304,$AS295,COLUMNS($AV$9:BL294)),""))</f>
        <v>Apsara</v>
      </c>
      <c r="BM295" s="1" t="str">
        <f>IF(IFERROR(INDEX($A$9:$X$304,$AS295,COLUMNS($AV$9:BM294)),"")=0,"",IFERROR(INDEX($A$9:$X$304,$AS295,COLUMNS($AV$9:BM294)),""))</f>
        <v>Pantheon: Furios vs Maligus</v>
      </c>
      <c r="BN295" s="3" t="b">
        <f>IF(IFERROR(INDEX($A$9:$X$304,$AS295,COLUMNS($AV$9:BN294)),"")=0,"",IFERROR(INDEX($A$9:$X$304,$AS295,COLUMNS($AV$9:BN294)),""))</f>
        <v>0</v>
      </c>
      <c r="BO295" s="3" t="b">
        <f>IF(IFERROR(INDEX($A$9:$X$304,$AS295,COLUMNS($AV$9:BO294)),"")=0,"",IFERROR(INDEX($A$9:$X$304,$AS295,COLUMNS($AV$9:BO294)),""))</f>
        <v>0</v>
      </c>
      <c r="BP295" s="3" t="b">
        <f>IF(IFERROR(INDEX($A$9:$X$304,$AS295,COLUMNS($AV$9:BP294)),"")=0,"",IFERROR(INDEX($A$9:$X$304,$AS295,COLUMNS($AV$9:BP294)),""))</f>
        <v>0</v>
      </c>
      <c r="BQ295" s="3" t="b">
        <f>IF(IFERROR(INDEX($A$9:$X$304,$AS295,COLUMNS($AV$9:BQ294)),"")=0,"",IFERROR(INDEX($A$9:$X$304,$AS295,COLUMNS($AV$9:BQ294)),""))</f>
        <v>0</v>
      </c>
      <c r="BR295" s="3" t="str">
        <f>IF(IFERROR(INDEX($A$9:$X$304,$AS295,COLUMNS($AV$9:BR294)),"")=0,"",IFERROR(INDEX($A$9:$X$304,$AS295,COLUMNS($AV$9:BR294)),""))</f>
        <v>https://www.epiccardgame.com/wp-content/uploads/2017/11/PNA-EN-17-wolf-token.jpg</v>
      </c>
      <c r="BS295" s="3" t="str">
        <f>IF(IFERROR(INDEX($A$9:$X$304,$AS295,COLUMNS($AV$9:BS294)),"")=0,"",IFERROR(INDEX($A$9:$X$304,$AS295,COLUMNS($AV$9:BS294)),""))</f>
        <v/>
      </c>
      <c r="BT295" s="3"/>
      <c r="BU295" s="15"/>
      <c r="BV295" t="s">
        <v>316</v>
      </c>
    </row>
    <row r="296" spans="1:74" ht="225.2" customHeight="1" x14ac:dyDescent="0.25">
      <c r="A296" t="s">
        <v>606</v>
      </c>
      <c r="B296">
        <v>1</v>
      </c>
      <c r="C296" t="s">
        <v>615</v>
      </c>
      <c r="E296" t="s">
        <v>619</v>
      </c>
      <c r="H296" t="s">
        <v>757</v>
      </c>
      <c r="I296" t="s">
        <v>963</v>
      </c>
      <c r="O296" t="s">
        <v>1080</v>
      </c>
      <c r="P296" t="s">
        <v>1112</v>
      </c>
      <c r="Q296" t="s">
        <v>1118</v>
      </c>
      <c r="R296" t="s">
        <v>1171</v>
      </c>
      <c r="S296" t="b">
        <v>1</v>
      </c>
      <c r="T296" t="b">
        <v>0</v>
      </c>
      <c r="U296" t="b">
        <v>0</v>
      </c>
      <c r="V296" t="b">
        <v>0</v>
      </c>
      <c r="W296" s="2" t="s">
        <v>1471</v>
      </c>
      <c r="X296" s="2"/>
      <c r="Y296" s="24">
        <v>288</v>
      </c>
      <c r="Z296">
        <f t="shared" si="80"/>
        <v>288</v>
      </c>
      <c r="AA296">
        <f t="shared" si="81"/>
        <v>288</v>
      </c>
      <c r="AB296">
        <f t="shared" si="82"/>
        <v>288</v>
      </c>
      <c r="AC296">
        <f t="shared" si="83"/>
        <v>0</v>
      </c>
      <c r="AD296">
        <f t="shared" si="84"/>
        <v>288</v>
      </c>
      <c r="AE296">
        <f t="shared" si="85"/>
        <v>0</v>
      </c>
      <c r="AF296">
        <f t="shared" si="86"/>
        <v>0</v>
      </c>
      <c r="AG296">
        <f t="shared" si="87"/>
        <v>288</v>
      </c>
      <c r="AH296">
        <f t="shared" si="88"/>
        <v>288</v>
      </c>
      <c r="AI296">
        <f t="shared" si="89"/>
        <v>0</v>
      </c>
      <c r="AJ296">
        <f t="shared" si="90"/>
        <v>0</v>
      </c>
      <c r="AK296">
        <f t="shared" si="91"/>
        <v>0</v>
      </c>
      <c r="AL296">
        <f t="shared" si="92"/>
        <v>0</v>
      </c>
      <c r="AM296">
        <f t="shared" si="93"/>
        <v>0</v>
      </c>
      <c r="AN296">
        <f t="shared" si="94"/>
        <v>288</v>
      </c>
      <c r="AO296">
        <f t="shared" si="95"/>
        <v>288</v>
      </c>
      <c r="AP296">
        <f t="shared" si="96"/>
        <v>288</v>
      </c>
      <c r="AQ296">
        <f t="shared" si="97"/>
        <v>288</v>
      </c>
      <c r="AR296" s="6">
        <f t="shared" si="98"/>
        <v>288</v>
      </c>
      <c r="AS296">
        <f t="shared" si="99"/>
        <v>288</v>
      </c>
      <c r="AV296" s="1" t="str">
        <f>IF(IFERROR(INDEX($A$9:$W$304,$AS296,COLUMNS($AV$9:AV295)),"")=0,"",IFERROR(INDEX($A$9:$W$304,$AS296,COLUMNS($AV$9:AV295)),""))</f>
        <v>Wolf's Call</v>
      </c>
      <c r="AW296" s="1">
        <f>IFERROR(INDEX($A$9:$W$304,$AS296,COLUMNS($AV$9:AW295)),"")</f>
        <v>1</v>
      </c>
      <c r="AX296" s="1" t="str">
        <f>IF(IFERROR(INDEX($A$9:$X$304,$AS296,COLUMNS($AV$9:AX295)),"")=0,"",IFERROR(INDEX($A$9:$X$304,$AS296,COLUMNS($AV$9:AX295)),""))</f>
        <v>WILD</v>
      </c>
      <c r="AY296" s="1" t="str">
        <f>IF(IFERROR(INDEX($A$9:$X$304,$AS296,COLUMNS($AV$9:AY295)),"")=0,"",IFERROR(INDEX($A$9:$X$304,$AS296,COLUMNS($AV$9:AY295)),""))</f>
        <v/>
      </c>
      <c r="AZ296" s="1" t="str">
        <f>IF(IFERROR(INDEX($A$9:$X$304,$AS296,COLUMNS($AV$9:AZ295)),"")=0,"",IFERROR(INDEX($A$9:$X$304,$AS296,COLUMNS($AV$9:AZ295)),""))</f>
        <v>EVENT</v>
      </c>
      <c r="BA296" s="1" t="str">
        <f>IF(IFERROR(INDEX($A$9:$X$304,$AS296,COLUMNS($AV$9:BA295)),"")=0,"",IFERROR(INDEX($A$9:$X$304,$AS296,COLUMNS($AV$9:BA295)),""))</f>
        <v/>
      </c>
      <c r="BB296" s="1" t="str">
        <f>IF(IFERROR(INDEX($A$9:$X$304,$AS296,COLUMNS($AV$9:BB295)),"")=0,"",IFERROR(INDEX($A$9:$X$304,$AS296,COLUMNS($AV$9:BB295)),""))</f>
        <v/>
      </c>
      <c r="BC296" s="1" t="str">
        <f>IF(IFERROR(INDEX($A$9:$X$304,$AS296,COLUMNS($AV$9:BC295)),"")=0,"",IFERROR(INDEX($A$9:$X$304,$AS296,COLUMNS($AV$9:BC295)),""))</f>
        <v>Put four wolf tokens into play.</v>
      </c>
      <c r="BD296" s="1" t="str">
        <f>IF(IFERROR(INDEX($A$9:$X$304,$AS296,COLUMNS($AV$9:BD295)),"")=0,"",IFERROR(INDEX($A$9:$X$304,$AS296,COLUMNS($AV$9:BD295)),""))</f>
        <v>Your wolf champions gain blitz this turn.</v>
      </c>
      <c r="BE296" s="1" t="str">
        <f>IF(IFERROR(INDEX($A$9:$X$304,$AS296,COLUMNS($AV$9:BE295)),"")=0,"",IFERROR(INDEX($A$9:$X$304,$AS296,COLUMNS($AV$9:BE295)),""))</f>
        <v/>
      </c>
      <c r="BF296" s="1" t="str">
        <f>IF(IFERROR(INDEX($A$9:$X$304,$AS296,COLUMNS($AV$9:BF295)),"")=0,"",IFERROR(INDEX($A$9:$X$304,$AS296,COLUMNS($AV$9:BF295)),""))</f>
        <v/>
      </c>
      <c r="BG296" s="1" t="str">
        <f>IF(IFERROR(INDEX($A$9:$X$304,$AS296,COLUMNS($AV$9:BG295)),"")=0,"",IFERROR(INDEX($A$9:$X$304,$AS296,COLUMNS($AV$9:BG295)),""))</f>
        <v/>
      </c>
      <c r="BH296" s="1" t="str">
        <f>IF(IFERROR(INDEX($A$9:$X$304,$AS296,COLUMNS($AV$9:BH295)),"")=0,"",IFERROR(INDEX($A$9:$X$304,$AS296,COLUMNS($AV$9:BH295)),""))</f>
        <v/>
      </c>
      <c r="BI296" s="1" t="str">
        <f>IF(IFERROR(INDEX($A$9:$X$304,$AS296,COLUMNS($AV$9:BI295)),"")=0,"",IFERROR(INDEX($A$9:$X$304,$AS296,COLUMNS($AV$9:BI295)),""))</f>
        <v/>
      </c>
      <c r="BJ296" s="1" t="str">
        <f>IF(IFERROR(INDEX($A$9:$X$304,$AS296,COLUMNS($AV$9:BJ295)),"")=0,"",IFERROR(INDEX($A$9:$X$304,$AS296,COLUMNS($AV$9:BJ295)),""))</f>
        <v>WOLF</v>
      </c>
      <c r="BK296" s="1" t="str">
        <f>IF(IFERROR(INDEX($A$9:$X$304,$AS296,COLUMNS($AV$9:BK295)),"")=0,"",IFERROR(INDEX($A$9:$X$304,$AS296,COLUMNS($AV$9:BK295)),""))</f>
        <v>Common</v>
      </c>
      <c r="BL296" s="1" t="str">
        <f>IF(IFERROR(INDEX($A$9:$X$304,$AS296,COLUMNS($AV$9:BL295)),"")=0,"",IFERROR(INDEX($A$9:$X$304,$AS296,COLUMNS($AV$9:BL295)),""))</f>
        <v>L.Sean</v>
      </c>
      <c r="BM296" s="1" t="str">
        <f>IF(IFERROR(INDEX($A$9:$X$304,$AS296,COLUMNS($AV$9:BM295)),"")=0,"",IFERROR(INDEX($A$9:$X$304,$AS296,COLUMNS($AV$9:BM295)),""))</f>
        <v>Base Set</v>
      </c>
      <c r="BN296" s="3" t="b">
        <f>IF(IFERROR(INDEX($A$9:$X$304,$AS296,COLUMNS($AV$9:BN295)),"")=0,"",IFERROR(INDEX($A$9:$X$304,$AS296,COLUMNS($AV$9:BN295)),""))</f>
        <v>1</v>
      </c>
      <c r="BO296" s="3" t="b">
        <f>IF(IFERROR(INDEX($A$9:$X$304,$AS296,COLUMNS($AV$9:BO295)),"")=0,"",IFERROR(INDEX($A$9:$X$304,$AS296,COLUMNS($AV$9:BO295)),""))</f>
        <v>0</v>
      </c>
      <c r="BP296" s="3" t="b">
        <f>IF(IFERROR(INDEX($A$9:$X$304,$AS296,COLUMNS($AV$9:BP295)),"")=0,"",IFERROR(INDEX($A$9:$X$304,$AS296,COLUMNS($AV$9:BP295)),""))</f>
        <v>0</v>
      </c>
      <c r="BQ296" s="3" t="b">
        <f>IF(IFERROR(INDEX($A$9:$X$304,$AS296,COLUMNS($AV$9:BQ295)),"")=0,"",IFERROR(INDEX($A$9:$X$304,$AS296,COLUMNS($AV$9:BQ295)),""))</f>
        <v>0</v>
      </c>
      <c r="BR296" s="3" t="str">
        <f>IF(IFERROR(INDEX($A$9:$X$304,$AS296,COLUMNS($AV$9:BR295)),"")=0,"",IFERROR(INDEX($A$9:$X$304,$AS296,COLUMNS($AV$9:BR295)),""))</f>
        <v>http://www.epiccardgame.com/wp-content/uploads/2015/09/wolf_s_call-215x300.jpg</v>
      </c>
      <c r="BS296" s="3" t="str">
        <f>IF(IFERROR(INDEX($A$9:$X$304,$AS296,COLUMNS($AV$9:BS295)),"")=0,"",IFERROR(INDEX($A$9:$X$304,$AS296,COLUMNS($AV$9:BS295)),""))</f>
        <v/>
      </c>
      <c r="BT296" s="3"/>
      <c r="BU296" s="15"/>
      <c r="BV296" t="s">
        <v>317</v>
      </c>
    </row>
    <row r="297" spans="1:74" ht="225.2" customHeight="1" x14ac:dyDescent="0.25">
      <c r="A297" t="s">
        <v>607</v>
      </c>
      <c r="B297">
        <v>0</v>
      </c>
      <c r="C297" t="s">
        <v>615</v>
      </c>
      <c r="E297" t="s">
        <v>619</v>
      </c>
      <c r="H297" t="s">
        <v>758</v>
      </c>
      <c r="I297" t="s">
        <v>964</v>
      </c>
      <c r="J297" t="s">
        <v>23</v>
      </c>
      <c r="O297" t="s">
        <v>1080</v>
      </c>
      <c r="P297" t="s">
        <v>1112</v>
      </c>
      <c r="Q297" t="s">
        <v>1148</v>
      </c>
      <c r="R297" t="s">
        <v>1178</v>
      </c>
      <c r="S297" t="b">
        <v>0</v>
      </c>
      <c r="T297" t="b">
        <v>0</v>
      </c>
      <c r="U297" t="b">
        <v>0</v>
      </c>
      <c r="V297" t="b">
        <v>0</v>
      </c>
      <c r="W297" s="2" t="s">
        <v>1472</v>
      </c>
      <c r="X297" s="2"/>
      <c r="Y297" s="24">
        <v>289</v>
      </c>
      <c r="Z297">
        <f t="shared" si="80"/>
        <v>289</v>
      </c>
      <c r="AA297">
        <f t="shared" si="81"/>
        <v>289</v>
      </c>
      <c r="AB297">
        <f t="shared" si="82"/>
        <v>289</v>
      </c>
      <c r="AC297">
        <f t="shared" si="83"/>
        <v>0</v>
      </c>
      <c r="AD297">
        <f t="shared" si="84"/>
        <v>289</v>
      </c>
      <c r="AE297">
        <f t="shared" si="85"/>
        <v>0</v>
      </c>
      <c r="AF297">
        <f t="shared" si="86"/>
        <v>0</v>
      </c>
      <c r="AG297">
        <f t="shared" si="87"/>
        <v>289</v>
      </c>
      <c r="AH297">
        <f t="shared" si="88"/>
        <v>289</v>
      </c>
      <c r="AI297">
        <f t="shared" si="89"/>
        <v>289</v>
      </c>
      <c r="AJ297">
        <f t="shared" si="90"/>
        <v>0</v>
      </c>
      <c r="AK297">
        <f t="shared" si="91"/>
        <v>0</v>
      </c>
      <c r="AL297">
        <f t="shared" si="92"/>
        <v>0</v>
      </c>
      <c r="AM297">
        <f t="shared" si="93"/>
        <v>0</v>
      </c>
      <c r="AN297">
        <f t="shared" si="94"/>
        <v>289</v>
      </c>
      <c r="AO297">
        <f t="shared" si="95"/>
        <v>289</v>
      </c>
      <c r="AP297">
        <f t="shared" si="96"/>
        <v>289</v>
      </c>
      <c r="AQ297">
        <f t="shared" si="97"/>
        <v>289</v>
      </c>
      <c r="AR297" s="6">
        <f t="shared" si="98"/>
        <v>289</v>
      </c>
      <c r="AS297">
        <f t="shared" si="99"/>
        <v>289</v>
      </c>
      <c r="AV297" s="1" t="str">
        <f>IF(IFERROR(INDEX($A$9:$W$304,$AS297,COLUMNS($AV$9:AV296)),"")=0,"",IFERROR(INDEX($A$9:$W$304,$AS297,COLUMNS($AV$9:AV296)),""))</f>
        <v>Wolf's Bite</v>
      </c>
      <c r="AW297" s="1">
        <f>IFERROR(INDEX($A$9:$W$304,$AS297,COLUMNS($AV$9:AW296)),"")</f>
        <v>0</v>
      </c>
      <c r="AX297" s="1" t="str">
        <f>IF(IFERROR(INDEX($A$9:$X$304,$AS297,COLUMNS($AV$9:AX296)),"")=0,"",IFERROR(INDEX($A$9:$X$304,$AS297,COLUMNS($AV$9:AX296)),""))</f>
        <v>WILD</v>
      </c>
      <c r="AY297" s="1" t="str">
        <f>IF(IFERROR(INDEX($A$9:$X$304,$AS297,COLUMNS($AV$9:AY296)),"")=0,"",IFERROR(INDEX($A$9:$X$304,$AS297,COLUMNS($AV$9:AY296)),""))</f>
        <v/>
      </c>
      <c r="AZ297" s="1" t="str">
        <f>IF(IFERROR(INDEX($A$9:$X$304,$AS297,COLUMNS($AV$9:AZ296)),"")=0,"",IFERROR(INDEX($A$9:$X$304,$AS297,COLUMNS($AV$9:AZ296)),""))</f>
        <v>EVENT</v>
      </c>
      <c r="BA297" s="1" t="str">
        <f>IF(IFERROR(INDEX($A$9:$X$304,$AS297,COLUMNS($AV$9:BA296)),"")=0,"",IFERROR(INDEX($A$9:$X$304,$AS297,COLUMNS($AV$9:BA296)),""))</f>
        <v/>
      </c>
      <c r="BB297" s="1" t="str">
        <f>IF(IFERROR(INDEX($A$9:$X$304,$AS297,COLUMNS($AV$9:BB296)),"")=0,"",IFERROR(INDEX($A$9:$X$304,$AS297,COLUMNS($AV$9:BB296)),""))</f>
        <v/>
      </c>
      <c r="BC297" s="1" t="str">
        <f>IF(IFERROR(INDEX($A$9:$X$304,$AS297,COLUMNS($AV$9:BC296)),"")=0,"",IFERROR(INDEX($A$9:$X$304,$AS297,COLUMNS($AV$9:BC296)),""))</f>
        <v>Put a wolf token into play.</v>
      </c>
      <c r="BD297" s="1" t="str">
        <f>IF(IFERROR(INDEX($A$9:$X$304,$AS297,COLUMNS($AV$9:BD296)),"")=0,"",IFERROR(INDEX($A$9:$X$304,$AS297,COLUMNS($AV$9:BD296)),""))</f>
        <v>Deal 2 damage to target champion.</v>
      </c>
      <c r="BE297" s="1" t="str">
        <f>IF(IFERROR(INDEX($A$9:$X$304,$AS297,COLUMNS($AV$9:BE296)),"")=0,"",IFERROR(INDEX($A$9:$X$304,$AS297,COLUMNS($AV$9:BE296)),""))</f>
        <v>Recycle</v>
      </c>
      <c r="BF297" s="1" t="str">
        <f>IF(IFERROR(INDEX($A$9:$X$304,$AS297,COLUMNS($AV$9:BF296)),"")=0,"",IFERROR(INDEX($A$9:$X$304,$AS297,COLUMNS($AV$9:BF296)),""))</f>
        <v/>
      </c>
      <c r="BG297" s="1" t="str">
        <f>IF(IFERROR(INDEX($A$9:$X$304,$AS297,COLUMNS($AV$9:BG296)),"")=0,"",IFERROR(INDEX($A$9:$X$304,$AS297,COLUMNS($AV$9:BG296)),""))</f>
        <v/>
      </c>
      <c r="BH297" s="1" t="str">
        <f>IF(IFERROR(INDEX($A$9:$X$304,$AS297,COLUMNS($AV$9:BH296)),"")=0,"",IFERROR(INDEX($A$9:$X$304,$AS297,COLUMNS($AV$9:BH296)),""))</f>
        <v/>
      </c>
      <c r="BI297" s="1" t="str">
        <f>IF(IFERROR(INDEX($A$9:$X$304,$AS297,COLUMNS($AV$9:BI296)),"")=0,"",IFERROR(INDEX($A$9:$X$304,$AS297,COLUMNS($AV$9:BI296)),""))</f>
        <v/>
      </c>
      <c r="BJ297" s="1" t="str">
        <f>IF(IFERROR(INDEX($A$9:$X$304,$AS297,COLUMNS($AV$9:BJ296)),"")=0,"",IFERROR(INDEX($A$9:$X$304,$AS297,COLUMNS($AV$9:BJ296)),""))</f>
        <v>WOLF</v>
      </c>
      <c r="BK297" s="1" t="str">
        <f>IF(IFERROR(INDEX($A$9:$X$304,$AS297,COLUMNS($AV$9:BK296)),"")=0,"",IFERROR(INDEX($A$9:$X$304,$AS297,COLUMNS($AV$9:BK296)),""))</f>
        <v>Common</v>
      </c>
      <c r="BL297" s="1" t="str">
        <f>IF(IFERROR(INDEX($A$9:$X$304,$AS297,COLUMNS($AV$9:BL296)),"")=0,"",IFERROR(INDEX($A$9:$X$304,$AS297,COLUMNS($AV$9:BL296)),""))</f>
        <v>Dylan Safford</v>
      </c>
      <c r="BM297" s="1" t="str">
        <f>IF(IFERROR(INDEX($A$9:$X$304,$AS297,COLUMNS($AV$9:BM296)),"")=0,"",IFERROR(INDEX($A$9:$X$304,$AS297,COLUMNS($AV$9:BM296)),""))</f>
        <v>Tyrants: Draka's Rage</v>
      </c>
      <c r="BN297" s="3" t="b">
        <f>IF(IFERROR(INDEX($A$9:$X$304,$AS297,COLUMNS($AV$9:BN296)),"")=0,"",IFERROR(INDEX($A$9:$X$304,$AS297,COLUMNS($AV$9:BN296)),""))</f>
        <v>0</v>
      </c>
      <c r="BO297" s="3" t="b">
        <f>IF(IFERROR(INDEX($A$9:$X$304,$AS297,COLUMNS($AV$9:BO296)),"")=0,"",IFERROR(INDEX($A$9:$X$304,$AS297,COLUMNS($AV$9:BO296)),""))</f>
        <v>0</v>
      </c>
      <c r="BP297" s="3" t="b">
        <f>IF(IFERROR(INDEX($A$9:$X$304,$AS297,COLUMNS($AV$9:BP296)),"")=0,"",IFERROR(INDEX($A$9:$X$304,$AS297,COLUMNS($AV$9:BP296)),""))</f>
        <v>0</v>
      </c>
      <c r="BQ297" s="3" t="b">
        <f>IF(IFERROR(INDEX($A$9:$X$304,$AS297,COLUMNS($AV$9:BQ296)),"")=0,"",IFERROR(INDEX($A$9:$X$304,$AS297,COLUMNS($AV$9:BQ296)),""))</f>
        <v>0</v>
      </c>
      <c r="BR297" s="3" t="str">
        <f>IF(IFERROR(INDEX($A$9:$X$304,$AS297,COLUMNS($AV$9:BR296)),"")=0,"",IFERROR(INDEX($A$9:$X$304,$AS297,COLUMNS($AV$9:BR296)),""))</f>
        <v>http://www.epiccardgame.com/wp-content/uploads/2016/03/wolfs_bite-214x300.jpg</v>
      </c>
      <c r="BS297" s="3" t="str">
        <f>IF(IFERROR(INDEX($A$9:$X$304,$AS297,COLUMNS($AV$9:BS296)),"")=0,"",IFERROR(INDEX($A$9:$X$304,$AS297,COLUMNS($AV$9:BS296)),""))</f>
        <v/>
      </c>
      <c r="BT297" s="3"/>
      <c r="BU297" s="15"/>
      <c r="BV297" t="s">
        <v>318</v>
      </c>
    </row>
    <row r="298" spans="1:74" ht="225.2" customHeight="1" x14ac:dyDescent="0.25">
      <c r="A298" t="s">
        <v>608</v>
      </c>
      <c r="B298">
        <v>0</v>
      </c>
      <c r="C298" t="s">
        <v>618</v>
      </c>
      <c r="E298" t="s">
        <v>619</v>
      </c>
      <c r="H298" t="s">
        <v>759</v>
      </c>
      <c r="I298" t="s">
        <v>23</v>
      </c>
      <c r="O298" t="s">
        <v>1078</v>
      </c>
      <c r="P298" t="s">
        <v>1113</v>
      </c>
      <c r="Q298" t="s">
        <v>1119</v>
      </c>
      <c r="R298" t="s">
        <v>1171</v>
      </c>
      <c r="S298" t="b">
        <v>0</v>
      </c>
      <c r="T298" t="b">
        <v>0</v>
      </c>
      <c r="U298" t="b">
        <v>0</v>
      </c>
      <c r="V298" t="b">
        <v>0</v>
      </c>
      <c r="W298" s="2" t="s">
        <v>1473</v>
      </c>
      <c r="X298" s="2"/>
      <c r="Y298" s="24">
        <v>290</v>
      </c>
      <c r="Z298">
        <f t="shared" si="80"/>
        <v>290</v>
      </c>
      <c r="AA298">
        <f t="shared" si="81"/>
        <v>290</v>
      </c>
      <c r="AB298">
        <f t="shared" si="82"/>
        <v>290</v>
      </c>
      <c r="AC298">
        <f t="shared" si="83"/>
        <v>0</v>
      </c>
      <c r="AD298">
        <f t="shared" si="84"/>
        <v>290</v>
      </c>
      <c r="AE298">
        <f t="shared" si="85"/>
        <v>0</v>
      </c>
      <c r="AF298">
        <f t="shared" si="86"/>
        <v>0</v>
      </c>
      <c r="AG298">
        <f t="shared" si="87"/>
        <v>290</v>
      </c>
      <c r="AH298">
        <f t="shared" si="88"/>
        <v>290</v>
      </c>
      <c r="AI298">
        <f t="shared" si="89"/>
        <v>0</v>
      </c>
      <c r="AJ298">
        <f t="shared" si="90"/>
        <v>0</v>
      </c>
      <c r="AK298">
        <f t="shared" si="91"/>
        <v>0</v>
      </c>
      <c r="AL298">
        <f t="shared" si="92"/>
        <v>0</v>
      </c>
      <c r="AM298">
        <f t="shared" si="93"/>
        <v>0</v>
      </c>
      <c r="AN298">
        <f t="shared" si="94"/>
        <v>290</v>
      </c>
      <c r="AO298">
        <f t="shared" si="95"/>
        <v>290</v>
      </c>
      <c r="AP298">
        <f t="shared" si="96"/>
        <v>290</v>
      </c>
      <c r="AQ298">
        <f t="shared" si="97"/>
        <v>290</v>
      </c>
      <c r="AR298" s="6">
        <f t="shared" si="98"/>
        <v>290</v>
      </c>
      <c r="AS298">
        <f t="shared" si="99"/>
        <v>290</v>
      </c>
      <c r="AV298" s="1" t="str">
        <f>IF(IFERROR(INDEX($A$9:$W$304,$AS298,COLUMNS($AV$9:AV297)),"")=0,"",IFERROR(INDEX($A$9:$W$304,$AS298,COLUMNS($AV$9:AV297)),""))</f>
        <v>Word of Summoning</v>
      </c>
      <c r="AW298" s="1">
        <f>IFERROR(INDEX($A$9:$W$304,$AS298,COLUMNS($AV$9:AW297)),"")</f>
        <v>0</v>
      </c>
      <c r="AX298" s="1" t="str">
        <f>IF(IFERROR(INDEX($A$9:$X$304,$AS298,COLUMNS($AV$9:AX297)),"")=0,"",IFERROR(INDEX($A$9:$X$304,$AS298,COLUMNS($AV$9:AX297)),""))</f>
        <v>EVIL</v>
      </c>
      <c r="AY298" s="1" t="str">
        <f>IF(IFERROR(INDEX($A$9:$X$304,$AS298,COLUMNS($AV$9:AY297)),"")=0,"",IFERROR(INDEX($A$9:$X$304,$AS298,COLUMNS($AV$9:AY297)),""))</f>
        <v/>
      </c>
      <c r="AZ298" s="1" t="str">
        <f>IF(IFERROR(INDEX($A$9:$X$304,$AS298,COLUMNS($AV$9:AZ297)),"")=0,"",IFERROR(INDEX($A$9:$X$304,$AS298,COLUMNS($AV$9:AZ297)),""))</f>
        <v>EVENT</v>
      </c>
      <c r="BA298" s="1" t="str">
        <f>IF(IFERROR(INDEX($A$9:$X$304,$AS298,COLUMNS($AV$9:BA297)),"")=0,"",IFERROR(INDEX($A$9:$X$304,$AS298,COLUMNS($AV$9:BA297)),""))</f>
        <v/>
      </c>
      <c r="BB298" s="1" t="str">
        <f>IF(IFERROR(INDEX($A$9:$X$304,$AS298,COLUMNS($AV$9:BB297)),"")=0,"",IFERROR(INDEX($A$9:$X$304,$AS298,COLUMNS($AV$9:BB297)),""))</f>
        <v/>
      </c>
      <c r="BC298" s="1" t="str">
        <f>IF(IFERROR(INDEX($A$9:$X$304,$AS298,COLUMNS($AV$9:BC297)),"")=0,"",IFERROR(INDEX($A$9:$X$304,$AS298,COLUMNS($AV$9:BC297)),""))</f>
        <v>Put a demon token into play.</v>
      </c>
      <c r="BD298" s="1" t="str">
        <f>IF(IFERROR(INDEX($A$9:$X$304,$AS298,COLUMNS($AV$9:BD297)),"")=0,"",IFERROR(INDEX($A$9:$X$304,$AS298,COLUMNS($AV$9:BD297)),""))</f>
        <v>Recycle</v>
      </c>
      <c r="BE298" s="1" t="str">
        <f>IF(IFERROR(INDEX($A$9:$X$304,$AS298,COLUMNS($AV$9:BE297)),"")=0,"",IFERROR(INDEX($A$9:$X$304,$AS298,COLUMNS($AV$9:BE297)),""))</f>
        <v/>
      </c>
      <c r="BF298" s="1" t="str">
        <f>IF(IFERROR(INDEX($A$9:$X$304,$AS298,COLUMNS($AV$9:BF297)),"")=0,"",IFERROR(INDEX($A$9:$X$304,$AS298,COLUMNS($AV$9:BF297)),""))</f>
        <v/>
      </c>
      <c r="BG298" s="1" t="str">
        <f>IF(IFERROR(INDEX($A$9:$X$304,$AS298,COLUMNS($AV$9:BG297)),"")=0,"",IFERROR(INDEX($A$9:$X$304,$AS298,COLUMNS($AV$9:BG297)),""))</f>
        <v/>
      </c>
      <c r="BH298" s="1" t="str">
        <f>IF(IFERROR(INDEX($A$9:$X$304,$AS298,COLUMNS($AV$9:BH297)),"")=0,"",IFERROR(INDEX($A$9:$X$304,$AS298,COLUMNS($AV$9:BH297)),""))</f>
        <v/>
      </c>
      <c r="BI298" s="1" t="str">
        <f>IF(IFERROR(INDEX($A$9:$X$304,$AS298,COLUMNS($AV$9:BI297)),"")=0,"",IFERROR(INDEX($A$9:$X$304,$AS298,COLUMNS($AV$9:BI297)),""))</f>
        <v/>
      </c>
      <c r="BJ298" s="1" t="str">
        <f>IF(IFERROR(INDEX($A$9:$X$304,$AS298,COLUMNS($AV$9:BJ297)),"")=0,"",IFERROR(INDEX($A$9:$X$304,$AS298,COLUMNS($AV$9:BJ297)),""))</f>
        <v>DEMON</v>
      </c>
      <c r="BK298" s="1" t="str">
        <f>IF(IFERROR(INDEX($A$9:$X$304,$AS298,COLUMNS($AV$9:BK297)),"")=0,"",IFERROR(INDEX($A$9:$X$304,$AS298,COLUMNS($AV$9:BK297)),""))</f>
        <v>Rare</v>
      </c>
      <c r="BL298" s="1" t="str">
        <f>IF(IFERROR(INDEX($A$9:$X$304,$AS298,COLUMNS($AV$9:BL297)),"")=0,"",IFERROR(INDEX($A$9:$X$304,$AS298,COLUMNS($AV$9:BL297)),""))</f>
        <v>Sarah McCulloch</v>
      </c>
      <c r="BM298" s="1" t="str">
        <f>IF(IFERROR(INDEX($A$9:$X$304,$AS298,COLUMNS($AV$9:BM297)),"")=0,"",IFERROR(INDEX($A$9:$X$304,$AS298,COLUMNS($AV$9:BM297)),""))</f>
        <v>Base Set</v>
      </c>
      <c r="BN298" s="3" t="b">
        <f>IF(IFERROR(INDEX($A$9:$X$304,$AS298,COLUMNS($AV$9:BN297)),"")=0,"",IFERROR(INDEX($A$9:$X$304,$AS298,COLUMNS($AV$9:BN297)),""))</f>
        <v>0</v>
      </c>
      <c r="BO298" s="3" t="b">
        <f>IF(IFERROR(INDEX($A$9:$X$304,$AS298,COLUMNS($AV$9:BO297)),"")=0,"",IFERROR(INDEX($A$9:$X$304,$AS298,COLUMNS($AV$9:BO297)),""))</f>
        <v>0</v>
      </c>
      <c r="BP298" s="3" t="b">
        <f>IF(IFERROR(INDEX($A$9:$X$304,$AS298,COLUMNS($AV$9:BP297)),"")=0,"",IFERROR(INDEX($A$9:$X$304,$AS298,COLUMNS($AV$9:BP297)),""))</f>
        <v>0</v>
      </c>
      <c r="BQ298" s="3" t="b">
        <f>IF(IFERROR(INDEX($A$9:$X$304,$AS298,COLUMNS($AV$9:BQ297)),"")=0,"",IFERROR(INDEX($A$9:$X$304,$AS298,COLUMNS($AV$9:BQ297)),""))</f>
        <v>0</v>
      </c>
      <c r="BR298" s="3" t="str">
        <f>IF(IFERROR(INDEX($A$9:$X$304,$AS298,COLUMNS($AV$9:BR297)),"")=0,"",IFERROR(INDEX($A$9:$X$304,$AS298,COLUMNS($AV$9:BR297)),""))</f>
        <v>http://www.epiccardgame.com/wp-content/uploads/2015/09/word_of_summoning-215x300.jpg</v>
      </c>
      <c r="BS298" s="3" t="str">
        <f>IF(IFERROR(INDEX($A$9:$X$304,$AS298,COLUMNS($AV$9:BS297)),"")=0,"",IFERROR(INDEX($A$9:$X$304,$AS298,COLUMNS($AV$9:BS297)),""))</f>
        <v/>
      </c>
      <c r="BT298" s="3"/>
      <c r="BU298" s="15"/>
      <c r="BV298" t="s">
        <v>319</v>
      </c>
    </row>
    <row r="299" spans="1:74" ht="225.2" customHeight="1" x14ac:dyDescent="0.25">
      <c r="A299" t="s">
        <v>609</v>
      </c>
      <c r="B299">
        <v>0</v>
      </c>
      <c r="C299" t="s">
        <v>615</v>
      </c>
      <c r="E299" t="s">
        <v>620</v>
      </c>
      <c r="F299">
        <v>4</v>
      </c>
      <c r="G299">
        <v>4</v>
      </c>
      <c r="H299" t="s">
        <v>24</v>
      </c>
      <c r="I299" t="s">
        <v>965</v>
      </c>
      <c r="O299" t="s">
        <v>1071</v>
      </c>
      <c r="P299" t="s">
        <v>1113</v>
      </c>
      <c r="Q299" t="s">
        <v>1117</v>
      </c>
      <c r="R299" t="s">
        <v>1171</v>
      </c>
      <c r="S299" t="b">
        <v>0</v>
      </c>
      <c r="T299" t="b">
        <v>0</v>
      </c>
      <c r="U299" t="b">
        <v>0</v>
      </c>
      <c r="V299" t="b">
        <v>0</v>
      </c>
      <c r="W299" s="2" t="s">
        <v>1474</v>
      </c>
      <c r="X299" s="2"/>
      <c r="Y299" s="24">
        <v>291</v>
      </c>
      <c r="Z299">
        <f t="shared" si="80"/>
        <v>291</v>
      </c>
      <c r="AA299">
        <f t="shared" si="81"/>
        <v>291</v>
      </c>
      <c r="AB299">
        <f t="shared" si="82"/>
        <v>291</v>
      </c>
      <c r="AC299">
        <f t="shared" si="83"/>
        <v>0</v>
      </c>
      <c r="AD299">
        <f t="shared" si="84"/>
        <v>291</v>
      </c>
      <c r="AE299">
        <f t="shared" si="85"/>
        <v>291</v>
      </c>
      <c r="AF299">
        <f t="shared" si="86"/>
        <v>291</v>
      </c>
      <c r="AG299">
        <f t="shared" si="87"/>
        <v>291</v>
      </c>
      <c r="AH299">
        <f t="shared" si="88"/>
        <v>291</v>
      </c>
      <c r="AI299">
        <f t="shared" si="89"/>
        <v>0</v>
      </c>
      <c r="AJ299">
        <f t="shared" si="90"/>
        <v>0</v>
      </c>
      <c r="AK299">
        <f t="shared" si="91"/>
        <v>0</v>
      </c>
      <c r="AL299">
        <f t="shared" si="92"/>
        <v>0</v>
      </c>
      <c r="AM299">
        <f t="shared" si="93"/>
        <v>0</v>
      </c>
      <c r="AN299">
        <f t="shared" si="94"/>
        <v>291</v>
      </c>
      <c r="AO299">
        <f t="shared" si="95"/>
        <v>291</v>
      </c>
      <c r="AP299">
        <f t="shared" si="96"/>
        <v>291</v>
      </c>
      <c r="AQ299">
        <f t="shared" si="97"/>
        <v>291</v>
      </c>
      <c r="AR299" s="6">
        <f t="shared" si="98"/>
        <v>291</v>
      </c>
      <c r="AS299">
        <f t="shared" si="99"/>
        <v>291</v>
      </c>
      <c r="AV299" s="1" t="str">
        <f>IF(IFERROR(INDEX($A$9:$W$304,$AS299,COLUMNS($AV$9:AV298)),"")=0,"",IFERROR(INDEX($A$9:$W$304,$AS299,COLUMNS($AV$9:AV298)),""))</f>
        <v>Wurm Hatchling</v>
      </c>
      <c r="AW299" s="1">
        <f>IFERROR(INDEX($A$9:$W$304,$AS299,COLUMNS($AV$9:AW298)),"")</f>
        <v>0</v>
      </c>
      <c r="AX299" s="1" t="str">
        <f>IF(IFERROR(INDEX($A$9:$X$304,$AS299,COLUMNS($AV$9:AX298)),"")=0,"",IFERROR(INDEX($A$9:$X$304,$AS299,COLUMNS($AV$9:AX298)),""))</f>
        <v>WILD</v>
      </c>
      <c r="AY299" s="1" t="str">
        <f>IF(IFERROR(INDEX($A$9:$X$304,$AS299,COLUMNS($AV$9:AY298)),"")=0,"",IFERROR(INDEX($A$9:$X$304,$AS299,COLUMNS($AV$9:AY298)),""))</f>
        <v/>
      </c>
      <c r="AZ299" s="1" t="str">
        <f>IF(IFERROR(INDEX($A$9:$X$304,$AS299,COLUMNS($AV$9:AZ298)),"")=0,"",IFERROR(INDEX($A$9:$X$304,$AS299,COLUMNS($AV$9:AZ298)),""))</f>
        <v>CHAMPION</v>
      </c>
      <c r="BA299" s="1">
        <f>IF(IFERROR(INDEX($A$9:$X$304,$AS299,COLUMNS($AV$9:BA298)),"")=0,"",IFERROR(INDEX($A$9:$X$304,$AS299,COLUMNS($AV$9:BA298)),""))</f>
        <v>4</v>
      </c>
      <c r="BB299" s="1">
        <f>IF(IFERROR(INDEX($A$9:$X$304,$AS299,COLUMNS($AV$9:BB298)),"")=0,"",IFERROR(INDEX($A$9:$X$304,$AS299,COLUMNS($AV$9:BB298)),""))</f>
        <v>4</v>
      </c>
      <c r="BC299" s="1" t="str">
        <f>IF(IFERROR(INDEX($A$9:$X$304,$AS299,COLUMNS($AV$9:BC298)),"")=0,"",IFERROR(INDEX($A$9:$X$304,$AS299,COLUMNS($AV$9:BC298)),""))</f>
        <v>Breakthrough</v>
      </c>
      <c r="BD299" s="1" t="str">
        <f>IF(IFERROR(INDEX($A$9:$X$304,$AS299,COLUMNS($AV$9:BD298)),"")=0,"",IFERROR(INDEX($A$9:$X$304,$AS299,COLUMNS($AV$9:BD298)),""))</f>
        <v>{wild} → Put two +1 {offense} +1 {defense} counters on this card.</v>
      </c>
      <c r="BE299" s="1" t="str">
        <f>IF(IFERROR(INDEX($A$9:$X$304,$AS299,COLUMNS($AV$9:BE298)),"")=0,"",IFERROR(INDEX($A$9:$X$304,$AS299,COLUMNS($AV$9:BE298)),""))</f>
        <v/>
      </c>
      <c r="BF299" s="1" t="str">
        <f>IF(IFERROR(INDEX($A$9:$X$304,$AS299,COLUMNS($AV$9:BF298)),"")=0,"",IFERROR(INDEX($A$9:$X$304,$AS299,COLUMNS($AV$9:BF298)),""))</f>
        <v/>
      </c>
      <c r="BG299" s="1" t="str">
        <f>IF(IFERROR(INDEX($A$9:$X$304,$AS299,COLUMNS($AV$9:BG298)),"")=0,"",IFERROR(INDEX($A$9:$X$304,$AS299,COLUMNS($AV$9:BG298)),""))</f>
        <v/>
      </c>
      <c r="BH299" s="1" t="str">
        <f>IF(IFERROR(INDEX($A$9:$X$304,$AS299,COLUMNS($AV$9:BH298)),"")=0,"",IFERROR(INDEX($A$9:$X$304,$AS299,COLUMNS($AV$9:BH298)),""))</f>
        <v/>
      </c>
      <c r="BI299" s="1" t="str">
        <f>IF(IFERROR(INDEX($A$9:$X$304,$AS299,COLUMNS($AV$9:BI298)),"")=0,"",IFERROR(INDEX($A$9:$X$304,$AS299,COLUMNS($AV$9:BI298)),""))</f>
        <v/>
      </c>
      <c r="BJ299" s="1" t="str">
        <f>IF(IFERROR(INDEX($A$9:$X$304,$AS299,COLUMNS($AV$9:BJ298)),"")=0,"",IFERROR(INDEX($A$9:$X$304,$AS299,COLUMNS($AV$9:BJ298)),""))</f>
        <v>WURM</v>
      </c>
      <c r="BK299" s="1" t="str">
        <f>IF(IFERROR(INDEX($A$9:$X$304,$AS299,COLUMNS($AV$9:BK298)),"")=0,"",IFERROR(INDEX($A$9:$X$304,$AS299,COLUMNS($AV$9:BK298)),""))</f>
        <v>Rare</v>
      </c>
      <c r="BL299" s="1" t="str">
        <f>IF(IFERROR(INDEX($A$9:$X$304,$AS299,COLUMNS($AV$9:BL298)),"")=0,"",IFERROR(INDEX($A$9:$X$304,$AS299,COLUMNS($AV$9:BL298)),""))</f>
        <v>Antonis Papantoniou</v>
      </c>
      <c r="BM299" s="1" t="str">
        <f>IF(IFERROR(INDEX($A$9:$X$304,$AS299,COLUMNS($AV$9:BM298)),"")=0,"",IFERROR(INDEX($A$9:$X$304,$AS299,COLUMNS($AV$9:BM298)),""))</f>
        <v>Base Set</v>
      </c>
      <c r="BN299" s="3" t="b">
        <f>IF(IFERROR(INDEX($A$9:$X$304,$AS299,COLUMNS($AV$9:BN298)),"")=0,"",IFERROR(INDEX($A$9:$X$304,$AS299,COLUMNS($AV$9:BN298)),""))</f>
        <v>0</v>
      </c>
      <c r="BO299" s="3" t="b">
        <f>IF(IFERROR(INDEX($A$9:$X$304,$AS299,COLUMNS($AV$9:BO298)),"")=0,"",IFERROR(INDEX($A$9:$X$304,$AS299,COLUMNS($AV$9:BO298)),""))</f>
        <v>0</v>
      </c>
      <c r="BP299" s="3" t="b">
        <f>IF(IFERROR(INDEX($A$9:$X$304,$AS299,COLUMNS($AV$9:BP298)),"")=0,"",IFERROR(INDEX($A$9:$X$304,$AS299,COLUMNS($AV$9:BP298)),""))</f>
        <v>0</v>
      </c>
      <c r="BQ299" s="3" t="b">
        <f>IF(IFERROR(INDEX($A$9:$X$304,$AS299,COLUMNS($AV$9:BQ298)),"")=0,"",IFERROR(INDEX($A$9:$X$304,$AS299,COLUMNS($AV$9:BQ298)),""))</f>
        <v>0</v>
      </c>
      <c r="BR299" s="3" t="str">
        <f>IF(IFERROR(INDEX($A$9:$X$304,$AS299,COLUMNS($AV$9:BR298)),"")=0,"",IFERROR(INDEX($A$9:$X$304,$AS299,COLUMNS($AV$9:BR298)),""))</f>
        <v>http://www.epiccardgame.com/wp-content/uploads/2015/09/wurm_hatchling-215x300.jpg</v>
      </c>
      <c r="BS299" s="3" t="str">
        <f>IF(IFERROR(INDEX($A$9:$X$304,$AS299,COLUMNS($AV$9:BS298)),"")=0,"",IFERROR(INDEX($A$9:$X$304,$AS299,COLUMNS($AV$9:BS298)),""))</f>
        <v/>
      </c>
      <c r="BT299" s="3"/>
      <c r="BU299" s="15"/>
      <c r="BV299" t="s">
        <v>320</v>
      </c>
    </row>
    <row r="300" spans="1:74" ht="161.25" customHeight="1" x14ac:dyDescent="0.25">
      <c r="A300" t="s">
        <v>610</v>
      </c>
      <c r="B300">
        <v>0</v>
      </c>
      <c r="C300" t="s">
        <v>615</v>
      </c>
      <c r="D300" t="s">
        <v>618</v>
      </c>
      <c r="E300" t="s">
        <v>621</v>
      </c>
      <c r="H300" t="s">
        <v>760</v>
      </c>
      <c r="O300" t="s">
        <v>1092</v>
      </c>
      <c r="Q300" t="s">
        <v>1127</v>
      </c>
      <c r="R300" t="s">
        <v>1170</v>
      </c>
      <c r="S300" t="b">
        <v>0</v>
      </c>
      <c r="T300" t="b">
        <v>0</v>
      </c>
      <c r="U300" t="b">
        <v>0</v>
      </c>
      <c r="V300" t="b">
        <v>0</v>
      </c>
      <c r="W300" s="2" t="s">
        <v>1475</v>
      </c>
      <c r="X300" s="2"/>
      <c r="Y300" s="24">
        <v>292</v>
      </c>
      <c r="Z300">
        <f t="shared" si="80"/>
        <v>292</v>
      </c>
      <c r="AA300">
        <f t="shared" si="81"/>
        <v>292</v>
      </c>
      <c r="AB300">
        <f t="shared" si="82"/>
        <v>292</v>
      </c>
      <c r="AC300">
        <f t="shared" si="83"/>
        <v>292</v>
      </c>
      <c r="AD300">
        <f t="shared" si="84"/>
        <v>292</v>
      </c>
      <c r="AE300">
        <f t="shared" si="85"/>
        <v>0</v>
      </c>
      <c r="AF300">
        <f t="shared" si="86"/>
        <v>0</v>
      </c>
      <c r="AG300">
        <f t="shared" si="87"/>
        <v>292</v>
      </c>
      <c r="AH300">
        <f t="shared" si="88"/>
        <v>0</v>
      </c>
      <c r="AI300">
        <f t="shared" si="89"/>
        <v>0</v>
      </c>
      <c r="AJ300">
        <f t="shared" si="90"/>
        <v>0</v>
      </c>
      <c r="AK300">
        <f t="shared" si="91"/>
        <v>0</v>
      </c>
      <c r="AL300">
        <f t="shared" si="92"/>
        <v>0</v>
      </c>
      <c r="AM300">
        <f t="shared" si="93"/>
        <v>0</v>
      </c>
      <c r="AN300">
        <f t="shared" si="94"/>
        <v>292</v>
      </c>
      <c r="AO300">
        <f t="shared" si="95"/>
        <v>0</v>
      </c>
      <c r="AP300">
        <f t="shared" si="96"/>
        <v>292</v>
      </c>
      <c r="AQ300">
        <f t="shared" si="97"/>
        <v>292</v>
      </c>
      <c r="AR300" s="6">
        <f t="shared" si="98"/>
        <v>292</v>
      </c>
      <c r="AS300">
        <f t="shared" si="99"/>
        <v>292</v>
      </c>
      <c r="AV300" s="1" t="str">
        <f>IF(IFERROR(INDEX($A$9:$W$304,$AS300,COLUMNS($AV$9:AV299)),"")=0,"",IFERROR(INDEX($A$9:$W$304,$AS300,COLUMNS($AV$9:AV299)),""))</f>
        <v>Zaltessa, the Huntress</v>
      </c>
      <c r="AW300" s="1">
        <f>IFERROR(INDEX($A$9:$W$304,$AS300,COLUMNS($AV$9:AW299)),"")</f>
        <v>0</v>
      </c>
      <c r="AX300" s="1" t="str">
        <f>IF(IFERROR(INDEX($A$9:$X$304,$AS300,COLUMNS($AV$9:AX299)),"")=0,"",IFERROR(INDEX($A$9:$X$304,$AS300,COLUMNS($AV$9:AX299)),""))</f>
        <v>WILD</v>
      </c>
      <c r="AY300" s="1" t="str">
        <f>IF(IFERROR(INDEX($A$9:$X$304,$AS300,COLUMNS($AV$9:AY299)),"")=0,"",IFERROR(INDEX($A$9:$X$304,$AS300,COLUMNS($AV$9:AY299)),""))</f>
        <v>EVIL</v>
      </c>
      <c r="AZ300" s="1" t="str">
        <f>IF(IFERROR(INDEX($A$9:$X$304,$AS300,COLUMNS($AV$9:AZ299)),"")=0,"",IFERROR(INDEX($A$9:$X$304,$AS300,COLUMNS($AV$9:AZ299)),""))</f>
        <v>DEITY</v>
      </c>
      <c r="BA300" s="1" t="str">
        <f>IF(IFERROR(INDEX($A$9:$X$304,$AS300,COLUMNS($AV$9:BA299)),"")=0,"",IFERROR(INDEX($A$9:$X$304,$AS300,COLUMNS($AV$9:BA299)),""))</f>
        <v/>
      </c>
      <c r="BB300" s="1" t="str">
        <f>IF(IFERROR(INDEX($A$9:$X$304,$AS300,COLUMNS($AV$9:BB299)),"")=0,"",IFERROR(INDEX($A$9:$X$304,$AS300,COLUMNS($AV$9:BB299)),""))</f>
        <v/>
      </c>
      <c r="BC300" s="1" t="str">
        <f>IF(IFERROR(INDEX($A$9:$X$304,$AS300,COLUMNS($AV$9:BC299)),"")=0,"",IFERROR(INDEX($A$9:$X$304,$AS300,COLUMNS($AV$9:BC299)),""))</f>
        <v>At the start of your turn → Either break target champion, or put four wolf tokens into play and they gain blitz this turn.</v>
      </c>
      <c r="BD300" s="1" t="str">
        <f>IF(IFERROR(INDEX($A$9:$X$304,$AS300,COLUMNS($AV$9:BD299)),"")=0,"",IFERROR(INDEX($A$9:$X$304,$AS300,COLUMNS($AV$9:BD299)),""))</f>
        <v/>
      </c>
      <c r="BE300" s="1" t="str">
        <f>IF(IFERROR(INDEX($A$9:$X$304,$AS300,COLUMNS($AV$9:BE299)),"")=0,"",IFERROR(INDEX($A$9:$X$304,$AS300,COLUMNS($AV$9:BE299)),""))</f>
        <v/>
      </c>
      <c r="BF300" s="1" t="str">
        <f>IF(IFERROR(INDEX($A$9:$X$304,$AS300,COLUMNS($AV$9:BF299)),"")=0,"",IFERROR(INDEX($A$9:$X$304,$AS300,COLUMNS($AV$9:BF299)),""))</f>
        <v/>
      </c>
      <c r="BG300" s="1" t="str">
        <f>IF(IFERROR(INDEX($A$9:$X$304,$AS300,COLUMNS($AV$9:BG299)),"")=0,"",IFERROR(INDEX($A$9:$X$304,$AS300,COLUMNS($AV$9:BG299)),""))</f>
        <v/>
      </c>
      <c r="BH300" s="1" t="str">
        <f>IF(IFERROR(INDEX($A$9:$X$304,$AS300,COLUMNS($AV$9:BH299)),"")=0,"",IFERROR(INDEX($A$9:$X$304,$AS300,COLUMNS($AV$9:BH299)),""))</f>
        <v/>
      </c>
      <c r="BI300" s="1" t="str">
        <f>IF(IFERROR(INDEX($A$9:$X$304,$AS300,COLUMNS($AV$9:BI299)),"")=0,"",IFERROR(INDEX($A$9:$X$304,$AS300,COLUMNS($AV$9:BI299)),""))</f>
        <v/>
      </c>
      <c r="BJ300" s="1" t="str">
        <f>IF(IFERROR(INDEX($A$9:$X$304,$AS300,COLUMNS($AV$9:BJ299)),"")=0,"",IFERROR(INDEX($A$9:$X$304,$AS300,COLUMNS($AV$9:BJ299)),""))</f>
        <v>Elder Goddess</v>
      </c>
      <c r="BK300" s="1" t="str">
        <f>IF(IFERROR(INDEX($A$9:$X$304,$AS300,COLUMNS($AV$9:BK299)),"")=0,"",IFERROR(INDEX($A$9:$X$304,$AS300,COLUMNS($AV$9:BK299)),""))</f>
        <v/>
      </c>
      <c r="BL300" s="1" t="str">
        <f>IF(IFERROR(INDEX($A$9:$X$304,$AS300,COLUMNS($AV$9:BL299)),"")=0,"",IFERROR(INDEX($A$9:$X$304,$AS300,COLUMNS($AV$9:BL299)),""))</f>
        <v>Johnny Morrow</v>
      </c>
      <c r="BM300" s="1" t="str">
        <f>IF(IFERROR(INDEX($A$9:$X$304,$AS300,COLUMNS($AV$9:BM299)),"")=0,"",IFERROR(INDEX($A$9:$X$304,$AS300,COLUMNS($AV$9:BM299)),""))</f>
        <v>Pantheon: Helena vs Zaltessa</v>
      </c>
      <c r="BN300" s="3" t="b">
        <f>IF(IFERROR(INDEX($A$9:$X$304,$AS300,COLUMNS($AV$9:BN299)),"")=0,"",IFERROR(INDEX($A$9:$X$304,$AS300,COLUMNS($AV$9:BN299)),""))</f>
        <v>0</v>
      </c>
      <c r="BO300" s="3" t="b">
        <f>IF(IFERROR(INDEX($A$9:$X$304,$AS300,COLUMNS($AV$9:BO299)),"")=0,"",IFERROR(INDEX($A$9:$X$304,$AS300,COLUMNS($AV$9:BO299)),""))</f>
        <v>0</v>
      </c>
      <c r="BP300" s="3" t="b">
        <f>IF(IFERROR(INDEX($A$9:$X$304,$AS300,COLUMNS($AV$9:BP299)),"")=0,"",IFERROR(INDEX($A$9:$X$304,$AS300,COLUMNS($AV$9:BP299)),""))</f>
        <v>0</v>
      </c>
      <c r="BQ300" s="3" t="b">
        <f>IF(IFERROR(INDEX($A$9:$X$304,$AS300,COLUMNS($AV$9:BQ299)),"")=0,"",IFERROR(INDEX($A$9:$X$304,$AS300,COLUMNS($AV$9:BQ299)),""))</f>
        <v>0</v>
      </c>
      <c r="BR300" s="3" t="str">
        <f>IF(IFERROR(INDEX($A$9:$X$304,$AS300,COLUMNS($AV$9:BR299)),"")=0,"",IFERROR(INDEX($A$9:$X$304,$AS300,COLUMNS($AV$9:BR299)),""))</f>
        <v>https://www.epiccardgame.com/wp-content/uploads/2017/11/PNH-EN-09-zaltessa.jpg</v>
      </c>
      <c r="BS300" s="3" t="str">
        <f>IF(IFERROR(INDEX($A$9:$X$304,$AS300,COLUMNS($AV$9:BS299)),"")=0,"",IFERROR(INDEX($A$9:$X$304,$AS300,COLUMNS($AV$9:BS299)),""))</f>
        <v/>
      </c>
      <c r="BT300" s="3"/>
      <c r="BU300" s="15"/>
      <c r="BV300" t="s">
        <v>321</v>
      </c>
    </row>
    <row r="301" spans="1:74" ht="225.2" customHeight="1" x14ac:dyDescent="0.25">
      <c r="A301" t="s">
        <v>611</v>
      </c>
      <c r="B301">
        <v>1</v>
      </c>
      <c r="C301" t="s">
        <v>618</v>
      </c>
      <c r="E301" t="s">
        <v>620</v>
      </c>
      <c r="F301">
        <v>9</v>
      </c>
      <c r="G301">
        <v>9</v>
      </c>
      <c r="H301" t="s">
        <v>761</v>
      </c>
      <c r="O301" t="s">
        <v>1074</v>
      </c>
      <c r="P301" t="s">
        <v>1113</v>
      </c>
      <c r="Q301" t="s">
        <v>1160</v>
      </c>
      <c r="R301" t="s">
        <v>1177</v>
      </c>
      <c r="S301" t="b">
        <v>1</v>
      </c>
      <c r="T301" t="b">
        <v>0</v>
      </c>
      <c r="U301" t="b">
        <v>0</v>
      </c>
      <c r="V301" t="b">
        <v>0</v>
      </c>
      <c r="W301" s="2" t="s">
        <v>1476</v>
      </c>
      <c r="X301" s="2"/>
      <c r="Y301" s="24">
        <v>293</v>
      </c>
      <c r="Z301">
        <f t="shared" si="80"/>
        <v>293</v>
      </c>
      <c r="AA301">
        <f t="shared" si="81"/>
        <v>293</v>
      </c>
      <c r="AB301">
        <f t="shared" si="82"/>
        <v>293</v>
      </c>
      <c r="AC301">
        <f t="shared" si="83"/>
        <v>0</v>
      </c>
      <c r="AD301">
        <f t="shared" si="84"/>
        <v>293</v>
      </c>
      <c r="AE301">
        <f t="shared" si="85"/>
        <v>293</v>
      </c>
      <c r="AF301">
        <f t="shared" si="86"/>
        <v>293</v>
      </c>
      <c r="AG301">
        <f t="shared" si="87"/>
        <v>293</v>
      </c>
      <c r="AH301">
        <f t="shared" si="88"/>
        <v>0</v>
      </c>
      <c r="AI301">
        <f t="shared" si="89"/>
        <v>0</v>
      </c>
      <c r="AJ301">
        <f t="shared" si="90"/>
        <v>0</v>
      </c>
      <c r="AK301">
        <f t="shared" si="91"/>
        <v>0</v>
      </c>
      <c r="AL301">
        <f t="shared" si="92"/>
        <v>0</v>
      </c>
      <c r="AM301">
        <f t="shared" si="93"/>
        <v>0</v>
      </c>
      <c r="AN301">
        <f t="shared" si="94"/>
        <v>293</v>
      </c>
      <c r="AO301">
        <f t="shared" si="95"/>
        <v>293</v>
      </c>
      <c r="AP301">
        <f t="shared" si="96"/>
        <v>293</v>
      </c>
      <c r="AQ301">
        <f t="shared" si="97"/>
        <v>293</v>
      </c>
      <c r="AR301" s="6">
        <f t="shared" si="98"/>
        <v>293</v>
      </c>
      <c r="AS301">
        <f t="shared" si="99"/>
        <v>293</v>
      </c>
      <c r="AV301" s="1" t="str">
        <f>IF(IFERROR(INDEX($A$9:$W$304,$AS301,COLUMNS($AV$9:AV300)),"")=0,"",IFERROR(INDEX($A$9:$W$304,$AS301,COLUMNS($AV$9:AV300)),""))</f>
        <v>Zannos, Corpse Lord</v>
      </c>
      <c r="AW301" s="1">
        <f>IFERROR(INDEX($A$9:$W$304,$AS301,COLUMNS($AV$9:AW300)),"")</f>
        <v>1</v>
      </c>
      <c r="AX301" s="1" t="str">
        <f>IF(IFERROR(INDEX($A$9:$X$304,$AS301,COLUMNS($AV$9:AX300)),"")=0,"",IFERROR(INDEX($A$9:$X$304,$AS301,COLUMNS($AV$9:AX300)),""))</f>
        <v>EVIL</v>
      </c>
      <c r="AY301" s="1" t="str">
        <f>IF(IFERROR(INDEX($A$9:$X$304,$AS301,COLUMNS($AV$9:AY300)),"")=0,"",IFERROR(INDEX($A$9:$X$304,$AS301,COLUMNS($AV$9:AY300)),""))</f>
        <v/>
      </c>
      <c r="AZ301" s="1" t="str">
        <f>IF(IFERROR(INDEX($A$9:$X$304,$AS301,COLUMNS($AV$9:AZ300)),"")=0,"",IFERROR(INDEX($A$9:$X$304,$AS301,COLUMNS($AV$9:AZ300)),""))</f>
        <v>CHAMPION</v>
      </c>
      <c r="BA301" s="1">
        <f>IF(IFERROR(INDEX($A$9:$X$304,$AS301,COLUMNS($AV$9:BA300)),"")=0,"",IFERROR(INDEX($A$9:$X$304,$AS301,COLUMNS($AV$9:BA300)),""))</f>
        <v>9</v>
      </c>
      <c r="BB301" s="1">
        <f>IF(IFERROR(INDEX($A$9:$X$304,$AS301,COLUMNS($AV$9:BB300)),"")=0,"",IFERROR(INDEX($A$9:$X$304,$AS301,COLUMNS($AV$9:BB300)),""))</f>
        <v>9</v>
      </c>
      <c r="BC301" s="1" t="str">
        <f>IF(IFERROR(INDEX($A$9:$X$304,$AS301,COLUMNS($AV$9:BC300)),"")=0,"",IFERROR(INDEX($A$9:$X$304,$AS301,COLUMNS($AV$9:BC300)),""))</f>
        <v>Loyalty X → For each card revealed, each opponent loses 1 health, you gain 1 health, and you put a zombie token into play.</v>
      </c>
      <c r="BD301" s="1" t="str">
        <f>IF(IFERROR(INDEX($A$9:$X$304,$AS301,COLUMNS($AV$9:BD300)),"")=0,"",IFERROR(INDEX($A$9:$X$304,$AS301,COLUMNS($AV$9:BD300)),""))</f>
        <v/>
      </c>
      <c r="BE301" s="1" t="str">
        <f>IF(IFERROR(INDEX($A$9:$X$304,$AS301,COLUMNS($AV$9:BE300)),"")=0,"",IFERROR(INDEX($A$9:$X$304,$AS301,COLUMNS($AV$9:BE300)),""))</f>
        <v/>
      </c>
      <c r="BF301" s="1" t="str">
        <f>IF(IFERROR(INDEX($A$9:$X$304,$AS301,COLUMNS($AV$9:BF300)),"")=0,"",IFERROR(INDEX($A$9:$X$304,$AS301,COLUMNS($AV$9:BF300)),""))</f>
        <v/>
      </c>
      <c r="BG301" s="1" t="str">
        <f>IF(IFERROR(INDEX($A$9:$X$304,$AS301,COLUMNS($AV$9:BG300)),"")=0,"",IFERROR(INDEX($A$9:$X$304,$AS301,COLUMNS($AV$9:BG300)),""))</f>
        <v/>
      </c>
      <c r="BH301" s="1" t="str">
        <f>IF(IFERROR(INDEX($A$9:$X$304,$AS301,COLUMNS($AV$9:BH300)),"")=0,"",IFERROR(INDEX($A$9:$X$304,$AS301,COLUMNS($AV$9:BH300)),""))</f>
        <v/>
      </c>
      <c r="BI301" s="1" t="str">
        <f>IF(IFERROR(INDEX($A$9:$X$304,$AS301,COLUMNS($AV$9:BI300)),"")=0,"",IFERROR(INDEX($A$9:$X$304,$AS301,COLUMNS($AV$9:BI300)),""))</f>
        <v/>
      </c>
      <c r="BJ301" s="1" t="str">
        <f>IF(IFERROR(INDEX($A$9:$X$304,$AS301,COLUMNS($AV$9:BJ300)),"")=0,"",IFERROR(INDEX($A$9:$X$304,$AS301,COLUMNS($AV$9:BJ300)),""))</f>
        <v>HUMAN MAGE</v>
      </c>
      <c r="BK301" s="1" t="str">
        <f>IF(IFERROR(INDEX($A$9:$X$304,$AS301,COLUMNS($AV$9:BK300)),"")=0,"",IFERROR(INDEX($A$9:$X$304,$AS301,COLUMNS($AV$9:BK300)),""))</f>
        <v>Rare</v>
      </c>
      <c r="BL301" s="1" t="str">
        <f>IF(IFERROR(INDEX($A$9:$X$304,$AS301,COLUMNS($AV$9:BL300)),"")=0,"",IFERROR(INDEX($A$9:$X$304,$AS301,COLUMNS($AV$9:BL300)),""))</f>
        <v>Ørjan Svendsen</v>
      </c>
      <c r="BM301" s="1" t="str">
        <f>IF(IFERROR(INDEX($A$9:$X$304,$AS301,COLUMNS($AV$9:BM300)),"")=0,"",IFERROR(INDEX($A$9:$X$304,$AS301,COLUMNS($AV$9:BM300)),""))</f>
        <v>Uprising: Will of Zannos</v>
      </c>
      <c r="BN301" s="3" t="b">
        <f>IF(IFERROR(INDEX($A$9:$X$304,$AS301,COLUMNS($AV$9:BN300)),"")=0,"",IFERROR(INDEX($A$9:$X$304,$AS301,COLUMNS($AV$9:BN300)),""))</f>
        <v>1</v>
      </c>
      <c r="BO301" s="3" t="b">
        <f>IF(IFERROR(INDEX($A$9:$X$304,$AS301,COLUMNS($AV$9:BO300)),"")=0,"",IFERROR(INDEX($A$9:$X$304,$AS301,COLUMNS($AV$9:BO300)),""))</f>
        <v>0</v>
      </c>
      <c r="BP301" s="3" t="b">
        <f>IF(IFERROR(INDEX($A$9:$X$304,$AS301,COLUMNS($AV$9:BP300)),"")=0,"",IFERROR(INDEX($A$9:$X$304,$AS301,COLUMNS($AV$9:BP300)),""))</f>
        <v>0</v>
      </c>
      <c r="BQ301" s="3" t="b">
        <f>IF(IFERROR(INDEX($A$9:$X$304,$AS301,COLUMNS($AV$9:BQ300)),"")=0,"",IFERROR(INDEX($A$9:$X$304,$AS301,COLUMNS($AV$9:BQ300)),""))</f>
        <v>0</v>
      </c>
      <c r="BR301" s="3" t="str">
        <f>IF(IFERROR(INDEX($A$9:$X$304,$AS301,COLUMNS($AV$9:BR300)),"")=0,"",IFERROR(INDEX($A$9:$X$304,$AS301,COLUMNS($AV$9:BR300)),""))</f>
        <v>https://www.epiccardgame.com/wp-content/uploads/2017/11/UPZ-EN-zannos-corpse-lord.jpg</v>
      </c>
      <c r="BS301" s="3" t="str">
        <f>IF(IFERROR(INDEX($A$9:$X$304,$AS301,COLUMNS($AV$9:BS300)),"")=0,"",IFERROR(INDEX($A$9:$X$304,$AS301,COLUMNS($AV$9:BS300)),""))</f>
        <v/>
      </c>
      <c r="BT301" s="3"/>
      <c r="BU301" s="15"/>
      <c r="BV301" t="s">
        <v>322</v>
      </c>
    </row>
    <row r="302" spans="1:74" ht="225.2" customHeight="1" x14ac:dyDescent="0.25">
      <c r="A302" t="s">
        <v>612</v>
      </c>
      <c r="B302">
        <v>1</v>
      </c>
      <c r="C302" t="s">
        <v>618</v>
      </c>
      <c r="E302" t="s">
        <v>620</v>
      </c>
      <c r="F302">
        <v>3</v>
      </c>
      <c r="G302">
        <v>4</v>
      </c>
      <c r="H302" t="s">
        <v>21</v>
      </c>
      <c r="I302" t="s">
        <v>682</v>
      </c>
      <c r="J302" t="s">
        <v>1038</v>
      </c>
      <c r="O302" t="s">
        <v>1063</v>
      </c>
      <c r="P302" t="s">
        <v>1113</v>
      </c>
      <c r="Q302" t="s">
        <v>1139</v>
      </c>
      <c r="R302" t="s">
        <v>1178</v>
      </c>
      <c r="S302" t="b">
        <v>1</v>
      </c>
      <c r="T302" t="b">
        <v>0</v>
      </c>
      <c r="U302" t="b">
        <v>0</v>
      </c>
      <c r="V302" t="b">
        <v>0</v>
      </c>
      <c r="W302" s="2" t="s">
        <v>1477</v>
      </c>
      <c r="X302" s="2"/>
      <c r="Y302" s="24">
        <v>294</v>
      </c>
      <c r="Z302">
        <f t="shared" si="80"/>
        <v>294</v>
      </c>
      <c r="AA302">
        <f t="shared" si="81"/>
        <v>294</v>
      </c>
      <c r="AB302">
        <f t="shared" si="82"/>
        <v>294</v>
      </c>
      <c r="AC302">
        <f t="shared" si="83"/>
        <v>0</v>
      </c>
      <c r="AD302">
        <f t="shared" si="84"/>
        <v>294</v>
      </c>
      <c r="AE302">
        <f t="shared" si="85"/>
        <v>294</v>
      </c>
      <c r="AF302">
        <f t="shared" si="86"/>
        <v>294</v>
      </c>
      <c r="AG302">
        <f t="shared" si="87"/>
        <v>294</v>
      </c>
      <c r="AH302">
        <f t="shared" si="88"/>
        <v>294</v>
      </c>
      <c r="AI302">
        <f t="shared" si="89"/>
        <v>294</v>
      </c>
      <c r="AJ302">
        <f t="shared" si="90"/>
        <v>0</v>
      </c>
      <c r="AK302">
        <f t="shared" si="91"/>
        <v>0</v>
      </c>
      <c r="AL302">
        <f t="shared" si="92"/>
        <v>0</v>
      </c>
      <c r="AM302">
        <f t="shared" si="93"/>
        <v>0</v>
      </c>
      <c r="AN302">
        <f t="shared" si="94"/>
        <v>294</v>
      </c>
      <c r="AO302">
        <f t="shared" si="95"/>
        <v>294</v>
      </c>
      <c r="AP302">
        <f t="shared" si="96"/>
        <v>294</v>
      </c>
      <c r="AQ302">
        <f t="shared" si="97"/>
        <v>294</v>
      </c>
      <c r="AR302" s="6">
        <f t="shared" si="98"/>
        <v>294</v>
      </c>
      <c r="AS302">
        <f t="shared" si="99"/>
        <v>294</v>
      </c>
      <c r="AV302" s="1" t="str">
        <f>IF(IFERROR(INDEX($A$9:$W$304,$AS302,COLUMNS($AV$9:AV301)),"")=0,"",IFERROR(INDEX($A$9:$W$304,$AS302,COLUMNS($AV$9:AV301)),""))</f>
        <v>Zealous Necromancer</v>
      </c>
      <c r="AW302" s="1">
        <f>IFERROR(INDEX($A$9:$W$304,$AS302,COLUMNS($AV$9:AW301)),"")</f>
        <v>1</v>
      </c>
      <c r="AX302" s="1" t="str">
        <f>IF(IFERROR(INDEX($A$9:$X$304,$AS302,COLUMNS($AV$9:AX301)),"")=0,"",IFERROR(INDEX($A$9:$X$304,$AS302,COLUMNS($AV$9:AX301)),""))</f>
        <v>EVIL</v>
      </c>
      <c r="AY302" s="1" t="str">
        <f>IF(IFERROR(INDEX($A$9:$X$304,$AS302,COLUMNS($AV$9:AY301)),"")=0,"",IFERROR(INDEX($A$9:$X$304,$AS302,COLUMNS($AV$9:AY301)),""))</f>
        <v/>
      </c>
      <c r="AZ302" s="1" t="str">
        <f>IF(IFERROR(INDEX($A$9:$X$304,$AS302,COLUMNS($AV$9:AZ301)),"")=0,"",IFERROR(INDEX($A$9:$X$304,$AS302,COLUMNS($AV$9:AZ301)),""))</f>
        <v>CHAMPION</v>
      </c>
      <c r="BA302" s="1">
        <f>IF(IFERROR(INDEX($A$9:$X$304,$AS302,COLUMNS($AV$9:BA301)),"")=0,"",IFERROR(INDEX($A$9:$X$304,$AS302,COLUMNS($AV$9:BA301)),""))</f>
        <v>3</v>
      </c>
      <c r="BB302" s="1">
        <f>IF(IFERROR(INDEX($A$9:$X$304,$AS302,COLUMNS($AV$9:BB301)),"")=0,"",IFERROR(INDEX($A$9:$X$304,$AS302,COLUMNS($AV$9:BB301)),""))</f>
        <v>4</v>
      </c>
      <c r="BC302" s="1" t="str">
        <f>IF(IFERROR(INDEX($A$9:$X$304,$AS302,COLUMNS($AV$9:BC301)),"")=0,"",IFERROR(INDEX($A$9:$X$304,$AS302,COLUMNS($AV$9:BC301)),""))</f>
        <v>Ambush</v>
      </c>
      <c r="BD302" s="1" t="str">
        <f>IF(IFERROR(INDEX($A$9:$X$304,$AS302,COLUMNS($AV$9:BD301)),"")=0,"",IFERROR(INDEX($A$9:$X$304,$AS302,COLUMNS($AV$9:BD301)),""))</f>
        <v>Tribute → Draw a card.</v>
      </c>
      <c r="BE302" s="1" t="str">
        <f>IF(IFERROR(INDEX($A$9:$X$304,$AS302,COLUMNS($AV$9:BE301)),"")=0,"",IFERROR(INDEX($A$9:$X$304,$AS302,COLUMNS($AV$9:BE301)),""))</f>
        <v>When another non-zombie champion is broken → If this card is still in play, put a zombie token into play.</v>
      </c>
      <c r="BF302" s="1" t="str">
        <f>IF(IFERROR(INDEX($A$9:$X$304,$AS302,COLUMNS($AV$9:BF301)),"")=0,"",IFERROR(INDEX($A$9:$X$304,$AS302,COLUMNS($AV$9:BF301)),""))</f>
        <v/>
      </c>
      <c r="BG302" s="1" t="str">
        <f>IF(IFERROR(INDEX($A$9:$X$304,$AS302,COLUMNS($AV$9:BG301)),"")=0,"",IFERROR(INDEX($A$9:$X$304,$AS302,COLUMNS($AV$9:BG301)),""))</f>
        <v/>
      </c>
      <c r="BH302" s="1" t="str">
        <f>IF(IFERROR(INDEX($A$9:$X$304,$AS302,COLUMNS($AV$9:BH301)),"")=0,"",IFERROR(INDEX($A$9:$X$304,$AS302,COLUMNS($AV$9:BH301)),""))</f>
        <v/>
      </c>
      <c r="BI302" s="1" t="str">
        <f>IF(IFERROR(INDEX($A$9:$X$304,$AS302,COLUMNS($AV$9:BI301)),"")=0,"",IFERROR(INDEX($A$9:$X$304,$AS302,COLUMNS($AV$9:BI301)),""))</f>
        <v/>
      </c>
      <c r="BJ302" s="1" t="str">
        <f>IF(IFERROR(INDEX($A$9:$X$304,$AS302,COLUMNS($AV$9:BJ301)),"")=0,"",IFERROR(INDEX($A$9:$X$304,$AS302,COLUMNS($AV$9:BJ301)),""))</f>
        <v>HUMAN</v>
      </c>
      <c r="BK302" s="1" t="str">
        <f>IF(IFERROR(INDEX($A$9:$X$304,$AS302,COLUMNS($AV$9:BK301)),"")=0,"",IFERROR(INDEX($A$9:$X$304,$AS302,COLUMNS($AV$9:BK301)),""))</f>
        <v>Rare</v>
      </c>
      <c r="BL302" s="1" t="str">
        <f>IF(IFERROR(INDEX($A$9:$X$304,$AS302,COLUMNS($AV$9:BL301)),"")=0,"",IFERROR(INDEX($A$9:$X$304,$AS302,COLUMNS($AV$9:BL301)),""))</f>
        <v>Bramasta Aji</v>
      </c>
      <c r="BM302" s="1" t="str">
        <f>IF(IFERROR(INDEX($A$9:$X$304,$AS302,COLUMNS($AV$9:BM301)),"")=0,"",IFERROR(INDEX($A$9:$X$304,$AS302,COLUMNS($AV$9:BM301)),""))</f>
        <v>Tyrants: Draka's Rage</v>
      </c>
      <c r="BN302" s="3" t="b">
        <f>IF(IFERROR(INDEX($A$9:$X$304,$AS302,COLUMNS($AV$9:BN301)),"")=0,"",IFERROR(INDEX($A$9:$X$304,$AS302,COLUMNS($AV$9:BN301)),""))</f>
        <v>1</v>
      </c>
      <c r="BO302" s="3" t="b">
        <f>IF(IFERROR(INDEX($A$9:$X$304,$AS302,COLUMNS($AV$9:BO301)),"")=0,"",IFERROR(INDEX($A$9:$X$304,$AS302,COLUMNS($AV$9:BO301)),""))</f>
        <v>0</v>
      </c>
      <c r="BP302" s="3" t="b">
        <f>IF(IFERROR(INDEX($A$9:$X$304,$AS302,COLUMNS($AV$9:BP301)),"")=0,"",IFERROR(INDEX($A$9:$X$304,$AS302,COLUMNS($AV$9:BP301)),""))</f>
        <v>0</v>
      </c>
      <c r="BQ302" s="3" t="b">
        <f>IF(IFERROR(INDEX($A$9:$X$304,$AS302,COLUMNS($AV$9:BQ301)),"")=0,"",IFERROR(INDEX($A$9:$X$304,$AS302,COLUMNS($AV$9:BQ301)),""))</f>
        <v>0</v>
      </c>
      <c r="BR302" s="3" t="str">
        <f>IF(IFERROR(INDEX($A$9:$X$304,$AS302,COLUMNS($AV$9:BR301)),"")=0,"",IFERROR(INDEX($A$9:$X$304,$AS302,COLUMNS($AV$9:BR301)),""))</f>
        <v>http://www.epiccardgame.com/wp-content/uploads/2016/03/zealous_necromancer-214x300.jpg</v>
      </c>
      <c r="BS302" s="3" t="str">
        <f>IF(IFERROR(INDEX($A$9:$X$304,$AS302,COLUMNS($AV$9:BS301)),"")=0,"",IFERROR(INDEX($A$9:$X$304,$AS302,COLUMNS($AV$9:BS301)),""))</f>
        <v/>
      </c>
      <c r="BT302" s="3"/>
      <c r="BU302" s="15"/>
      <c r="BV302" t="s">
        <v>323</v>
      </c>
    </row>
    <row r="303" spans="1:74" ht="225.2" customHeight="1" x14ac:dyDescent="0.25">
      <c r="A303" t="s">
        <v>613</v>
      </c>
      <c r="B303">
        <v>1</v>
      </c>
      <c r="C303" t="s">
        <v>618</v>
      </c>
      <c r="E303" t="s">
        <v>619</v>
      </c>
      <c r="H303" t="s">
        <v>627</v>
      </c>
      <c r="I303" t="s">
        <v>966</v>
      </c>
      <c r="O303" t="s">
        <v>1068</v>
      </c>
      <c r="P303" t="s">
        <v>1112</v>
      </c>
      <c r="Q303" t="s">
        <v>1116</v>
      </c>
      <c r="R303" t="s">
        <v>1171</v>
      </c>
      <c r="S303" t="b">
        <v>1</v>
      </c>
      <c r="T303" t="b">
        <v>1</v>
      </c>
      <c r="U303" t="b">
        <v>0</v>
      </c>
      <c r="V303" t="b">
        <v>0</v>
      </c>
      <c r="W303" s="2" t="s">
        <v>1478</v>
      </c>
      <c r="X303" s="2"/>
      <c r="Y303" s="24">
        <v>295</v>
      </c>
      <c r="Z303">
        <f t="shared" si="80"/>
        <v>295</v>
      </c>
      <c r="AA303">
        <f t="shared" si="81"/>
        <v>295</v>
      </c>
      <c r="AB303">
        <f t="shared" si="82"/>
        <v>295</v>
      </c>
      <c r="AC303">
        <f t="shared" si="83"/>
        <v>0</v>
      </c>
      <c r="AD303">
        <f t="shared" si="84"/>
        <v>295</v>
      </c>
      <c r="AE303">
        <f t="shared" si="85"/>
        <v>0</v>
      </c>
      <c r="AF303">
        <f t="shared" si="86"/>
        <v>0</v>
      </c>
      <c r="AG303">
        <f t="shared" si="87"/>
        <v>295</v>
      </c>
      <c r="AH303">
        <f t="shared" si="88"/>
        <v>295</v>
      </c>
      <c r="AI303">
        <f t="shared" si="89"/>
        <v>0</v>
      </c>
      <c r="AJ303">
        <f t="shared" si="90"/>
        <v>0</v>
      </c>
      <c r="AK303">
        <f t="shared" si="91"/>
        <v>0</v>
      </c>
      <c r="AL303">
        <f t="shared" si="92"/>
        <v>0</v>
      </c>
      <c r="AM303">
        <f t="shared" si="93"/>
        <v>0</v>
      </c>
      <c r="AN303">
        <f t="shared" si="94"/>
        <v>295</v>
      </c>
      <c r="AO303">
        <f t="shared" si="95"/>
        <v>295</v>
      </c>
      <c r="AP303">
        <f t="shared" si="96"/>
        <v>295</v>
      </c>
      <c r="AQ303">
        <f t="shared" si="97"/>
        <v>295</v>
      </c>
      <c r="AR303" s="6">
        <f t="shared" si="98"/>
        <v>295</v>
      </c>
      <c r="AS303">
        <f t="shared" si="99"/>
        <v>295</v>
      </c>
      <c r="AV303" s="1" t="str">
        <f>IF(IFERROR(INDEX($A$9:$W$304,$AS303,COLUMNS($AV$9:AV302)),"")=0,"",IFERROR(INDEX($A$9:$W$304,$AS303,COLUMNS($AV$9:AV302)),""))</f>
        <v>Zombie Apocalypse</v>
      </c>
      <c r="AW303" s="1">
        <f>IFERROR(INDEX($A$9:$W$304,$AS303,COLUMNS($AV$9:AW302)),"")</f>
        <v>1</v>
      </c>
      <c r="AX303" s="1" t="str">
        <f>IF(IFERROR(INDEX($A$9:$X$304,$AS303,COLUMNS($AV$9:AX302)),"")=0,"",IFERROR(INDEX($A$9:$X$304,$AS303,COLUMNS($AV$9:AX302)),""))</f>
        <v>EVIL</v>
      </c>
      <c r="AY303" s="1" t="str">
        <f>IF(IFERROR(INDEX($A$9:$X$304,$AS303,COLUMNS($AV$9:AY302)),"")=0,"",IFERROR(INDEX($A$9:$X$304,$AS303,COLUMNS($AV$9:AY302)),""))</f>
        <v/>
      </c>
      <c r="AZ303" s="1" t="str">
        <f>IF(IFERROR(INDEX($A$9:$X$304,$AS303,COLUMNS($AV$9:AZ302)),"")=0,"",IFERROR(INDEX($A$9:$X$304,$AS303,COLUMNS($AV$9:AZ302)),""))</f>
        <v>EVENT</v>
      </c>
      <c r="BA303" s="1" t="str">
        <f>IF(IFERROR(INDEX($A$9:$X$304,$AS303,COLUMNS($AV$9:BA302)),"")=0,"",IFERROR(INDEX($A$9:$X$304,$AS303,COLUMNS($AV$9:BA302)),""))</f>
        <v/>
      </c>
      <c r="BB303" s="1" t="str">
        <f>IF(IFERROR(INDEX($A$9:$X$304,$AS303,COLUMNS($AV$9:BB302)),"")=0,"",IFERROR(INDEX($A$9:$X$304,$AS303,COLUMNS($AV$9:BB302)),""))</f>
        <v/>
      </c>
      <c r="BC303" s="1" t="str">
        <f>IF(IFERROR(INDEX($A$9:$X$304,$AS303,COLUMNS($AV$9:BC302)),"")=0,"",IFERROR(INDEX($A$9:$X$304,$AS303,COLUMNS($AV$9:BC302)),""))</f>
        <v>Draw two cards.</v>
      </c>
      <c r="BD303" s="1" t="str">
        <f>IF(IFERROR(INDEX($A$9:$X$304,$AS303,COLUMNS($AV$9:BD302)),"")=0,"",IFERROR(INDEX($A$9:$X$304,$AS303,COLUMNS($AV$9:BD302)),""))</f>
        <v>Break all champions, then each player puts a zombie token into play for each champion in their discard pile.</v>
      </c>
      <c r="BE303" s="1" t="str">
        <f>IF(IFERROR(INDEX($A$9:$X$304,$AS303,COLUMNS($AV$9:BE302)),"")=0,"",IFERROR(INDEX($A$9:$X$304,$AS303,COLUMNS($AV$9:BE302)),""))</f>
        <v/>
      </c>
      <c r="BF303" s="1" t="str">
        <f>IF(IFERROR(INDEX($A$9:$X$304,$AS303,COLUMNS($AV$9:BF302)),"")=0,"",IFERROR(INDEX($A$9:$X$304,$AS303,COLUMNS($AV$9:BF302)),""))</f>
        <v/>
      </c>
      <c r="BG303" s="1" t="str">
        <f>IF(IFERROR(INDEX($A$9:$X$304,$AS303,COLUMNS($AV$9:BG302)),"")=0,"",IFERROR(INDEX($A$9:$X$304,$AS303,COLUMNS($AV$9:BG302)),""))</f>
        <v/>
      </c>
      <c r="BH303" s="1" t="str">
        <f>IF(IFERROR(INDEX($A$9:$X$304,$AS303,COLUMNS($AV$9:BH302)),"")=0,"",IFERROR(INDEX($A$9:$X$304,$AS303,COLUMNS($AV$9:BH302)),""))</f>
        <v/>
      </c>
      <c r="BI303" s="1" t="str">
        <f>IF(IFERROR(INDEX($A$9:$X$304,$AS303,COLUMNS($AV$9:BI302)),"")=0,"",IFERROR(INDEX($A$9:$X$304,$AS303,COLUMNS($AV$9:BI302)),""))</f>
        <v/>
      </c>
      <c r="BJ303" s="1" t="str">
        <f>IF(IFERROR(INDEX($A$9:$X$304,$AS303,COLUMNS($AV$9:BJ302)),"")=0,"",IFERROR(INDEX($A$9:$X$304,$AS303,COLUMNS($AV$9:BJ302)),""))</f>
        <v>ZOMBIE</v>
      </c>
      <c r="BK303" s="1" t="str">
        <f>IF(IFERROR(INDEX($A$9:$X$304,$AS303,COLUMNS($AV$9:BK302)),"")=0,"",IFERROR(INDEX($A$9:$X$304,$AS303,COLUMNS($AV$9:BK302)),""))</f>
        <v>Common</v>
      </c>
      <c r="BL303" s="1" t="str">
        <f>IF(IFERROR(INDEX($A$9:$X$304,$AS303,COLUMNS($AV$9:BL302)),"")=0,"",IFERROR(INDEX($A$9:$X$304,$AS303,COLUMNS($AV$9:BL302)),""))</f>
        <v>Apsara</v>
      </c>
      <c r="BM303" s="1" t="str">
        <f>IF(IFERROR(INDEX($A$9:$X$304,$AS303,COLUMNS($AV$9:BM302)),"")=0,"",IFERROR(INDEX($A$9:$X$304,$AS303,COLUMNS($AV$9:BM302)),""))</f>
        <v>Base Set</v>
      </c>
      <c r="BN303" s="3" t="b">
        <f>IF(IFERROR(INDEX($A$9:$X$304,$AS303,COLUMNS($AV$9:BN302)),"")=0,"",IFERROR(INDEX($A$9:$X$304,$AS303,COLUMNS($AV$9:BN302)),""))</f>
        <v>1</v>
      </c>
      <c r="BO303" s="3" t="b">
        <f>IF(IFERROR(INDEX($A$9:$X$304,$AS303,COLUMNS($AV$9:BO302)),"")=0,"",IFERROR(INDEX($A$9:$X$304,$AS303,COLUMNS($AV$9:BO302)),""))</f>
        <v>1</v>
      </c>
      <c r="BP303" s="3" t="b">
        <f>IF(IFERROR(INDEX($A$9:$X$304,$AS303,COLUMNS($AV$9:BP302)),"")=0,"",IFERROR(INDEX($A$9:$X$304,$AS303,COLUMNS($AV$9:BP302)),""))</f>
        <v>0</v>
      </c>
      <c r="BQ303" s="3" t="b">
        <f>IF(IFERROR(INDEX($A$9:$X$304,$AS303,COLUMNS($AV$9:BQ302)),"")=0,"",IFERROR(INDEX($A$9:$X$304,$AS303,COLUMNS($AV$9:BQ302)),""))</f>
        <v>0</v>
      </c>
      <c r="BR303" s="3" t="str">
        <f>IF(IFERROR(INDEX($A$9:$X$304,$AS303,COLUMNS($AV$9:BR302)),"")=0,"",IFERROR(INDEX($A$9:$X$304,$AS303,COLUMNS($AV$9:BR302)),""))</f>
        <v>http://www.epiccardgame.com/wp-content/uploads/2015/09/zombie_apocalypse-215x300.jpg</v>
      </c>
      <c r="BS303" s="3" t="str">
        <f>IF(IFERROR(INDEX($A$9:$X$304,$AS303,COLUMNS($AV$9:BS302)),"")=0,"",IFERROR(INDEX($A$9:$X$304,$AS303,COLUMNS($AV$9:BS302)),""))</f>
        <v/>
      </c>
      <c r="BT303" s="3"/>
      <c r="BV303" t="s">
        <v>324</v>
      </c>
    </row>
    <row r="304" spans="1:74" ht="225.2" customHeight="1" x14ac:dyDescent="0.25">
      <c r="A304" t="s">
        <v>614</v>
      </c>
      <c r="B304">
        <v>0</v>
      </c>
      <c r="C304" t="s">
        <v>618</v>
      </c>
      <c r="E304" t="s">
        <v>622</v>
      </c>
      <c r="F304">
        <v>2</v>
      </c>
      <c r="G304">
        <v>2</v>
      </c>
      <c r="H304" t="s">
        <v>762</v>
      </c>
      <c r="O304" t="s">
        <v>1111</v>
      </c>
      <c r="Q304" t="s">
        <v>1124</v>
      </c>
      <c r="R304" t="s">
        <v>1171</v>
      </c>
      <c r="S304" t="b">
        <v>0</v>
      </c>
      <c r="T304" t="b">
        <v>0</v>
      </c>
      <c r="U304" t="b">
        <v>0</v>
      </c>
      <c r="V304" t="b">
        <v>0</v>
      </c>
      <c r="W304" s="2" t="s">
        <v>1479</v>
      </c>
      <c r="X304" s="2"/>
      <c r="Y304" s="24">
        <v>296</v>
      </c>
      <c r="Z304">
        <f t="shared" si="80"/>
        <v>296</v>
      </c>
      <c r="AA304">
        <f t="shared" si="81"/>
        <v>296</v>
      </c>
      <c r="AB304">
        <f t="shared" si="82"/>
        <v>296</v>
      </c>
      <c r="AC304">
        <f t="shared" si="83"/>
        <v>0</v>
      </c>
      <c r="AD304">
        <f t="shared" si="84"/>
        <v>296</v>
      </c>
      <c r="AE304">
        <f t="shared" si="85"/>
        <v>296</v>
      </c>
      <c r="AF304">
        <f t="shared" si="86"/>
        <v>296</v>
      </c>
      <c r="AG304">
        <f t="shared" si="87"/>
        <v>296</v>
      </c>
      <c r="AH304">
        <f t="shared" si="88"/>
        <v>0</v>
      </c>
      <c r="AI304">
        <f t="shared" si="89"/>
        <v>0</v>
      </c>
      <c r="AJ304">
        <f t="shared" si="90"/>
        <v>0</v>
      </c>
      <c r="AK304">
        <f t="shared" si="91"/>
        <v>0</v>
      </c>
      <c r="AL304">
        <f t="shared" si="92"/>
        <v>0</v>
      </c>
      <c r="AM304">
        <f t="shared" si="93"/>
        <v>0</v>
      </c>
      <c r="AN304">
        <f t="shared" si="94"/>
        <v>296</v>
      </c>
      <c r="AO304">
        <f t="shared" si="95"/>
        <v>0</v>
      </c>
      <c r="AP304">
        <f t="shared" si="96"/>
        <v>296</v>
      </c>
      <c r="AQ304">
        <f t="shared" si="97"/>
        <v>296</v>
      </c>
      <c r="AR304" s="6">
        <f t="shared" si="98"/>
        <v>296</v>
      </c>
      <c r="AS304">
        <f t="shared" si="99"/>
        <v>296</v>
      </c>
      <c r="AV304" s="1" t="str">
        <f>IF(IFERROR(INDEX($A$9:$W$304,$AS304,COLUMNS($AV$9:AV303)),"")=0,"",IFERROR(INDEX($A$9:$W$304,$AS304,COLUMNS($AV$9:AV303)),""))</f>
        <v>Zombie Token</v>
      </c>
      <c r="AW304" s="1">
        <f>IFERROR(INDEX($A$9:$W$304,$AS304,COLUMNS($AV$9:AW303)),"")</f>
        <v>0</v>
      </c>
      <c r="AX304" s="1" t="str">
        <f>IF(IFERROR(INDEX($A$9:$X$304,$AS304,COLUMNS($AV$9:AX303)),"")=0,"",IFERROR(INDEX($A$9:$X$304,$AS304,COLUMNS($AV$9:AX303)),""))</f>
        <v>EVIL</v>
      </c>
      <c r="AY304" s="1" t="str">
        <f>IF(IFERROR(INDEX($A$9:$X$304,$AS304,COLUMNS($AV$9:AY303)),"")=0,"",IFERROR(INDEX($A$9:$X$304,$AS304,COLUMNS($AV$9:AY303)),""))</f>
        <v/>
      </c>
      <c r="AZ304" s="1" t="str">
        <f>IF(IFERROR(INDEX($A$9:$X$304,$AS304,COLUMNS($AV$9:AZ303)),"")=0,"",IFERROR(INDEX($A$9:$X$304,$AS304,COLUMNS($AV$9:AZ303)),""))</f>
        <v>TOKEN CHAMPION</v>
      </c>
      <c r="BA304" s="1">
        <f>IF(IFERROR(INDEX($A$9:$X$304,$AS304,COLUMNS($AV$9:BA303)),"")=0,"",IFERROR(INDEX($A$9:$X$304,$AS304,COLUMNS($AV$9:BA303)),""))</f>
        <v>2</v>
      </c>
      <c r="BB304" s="1">
        <f>IF(IFERROR(INDEX($A$9:$X$304,$AS304,COLUMNS($AV$9:BB303)),"")=0,"",IFERROR(INDEX($A$9:$X$304,$AS304,COLUMNS($AV$9:BB303)),""))</f>
        <v>2</v>
      </c>
      <c r="BC304" s="1" t="str">
        <f>IF(IFERROR(INDEX($A$9:$X$304,$AS304,COLUMNS($AV$9:BC303)),"")=0,"",IFERROR(INDEX($A$9:$X$304,$AS304,COLUMNS($AV$9:BC303)),""))</f>
        <v>Maligus did promise them life after death.</v>
      </c>
      <c r="BD304" s="1" t="str">
        <f>IF(IFERROR(INDEX($A$9:$X$304,$AS304,COLUMNS($AV$9:BD303)),"")=0,"",IFERROR(INDEX($A$9:$X$304,$AS304,COLUMNS($AV$9:BD303)),""))</f>
        <v/>
      </c>
      <c r="BE304" s="1" t="str">
        <f>IF(IFERROR(INDEX($A$9:$X$304,$AS304,COLUMNS($AV$9:BE303)),"")=0,"",IFERROR(INDEX($A$9:$X$304,$AS304,COLUMNS($AV$9:BE303)),""))</f>
        <v/>
      </c>
      <c r="BF304" s="1" t="str">
        <f>IF(IFERROR(INDEX($A$9:$X$304,$AS304,COLUMNS($AV$9:BF303)),"")=0,"",IFERROR(INDEX($A$9:$X$304,$AS304,COLUMNS($AV$9:BF303)),""))</f>
        <v/>
      </c>
      <c r="BG304" s="1" t="str">
        <f>IF(IFERROR(INDEX($A$9:$X$304,$AS304,COLUMNS($AV$9:BG303)),"")=0,"",IFERROR(INDEX($A$9:$X$304,$AS304,COLUMNS($AV$9:BG303)),""))</f>
        <v/>
      </c>
      <c r="BH304" s="1" t="str">
        <f>IF(IFERROR(INDEX($A$9:$X$304,$AS304,COLUMNS($AV$9:BH303)),"")=0,"",IFERROR(INDEX($A$9:$X$304,$AS304,COLUMNS($AV$9:BH303)),""))</f>
        <v/>
      </c>
      <c r="BI304" s="1" t="str">
        <f>IF(IFERROR(INDEX($A$9:$X$304,$AS304,COLUMNS($AV$9:BI303)),"")=0,"",IFERROR(INDEX($A$9:$X$304,$AS304,COLUMNS($AV$9:BI303)),""))</f>
        <v/>
      </c>
      <c r="BJ304" s="1" t="str">
        <f>IF(IFERROR(INDEX($A$9:$X$304,$AS304,COLUMNS($AV$9:BJ303)),"")=0,"",IFERROR(INDEX($A$9:$X$304,$AS304,COLUMNS($AV$9:BJ303)),""))</f>
        <v>ZOMBIE TOKEN</v>
      </c>
      <c r="BK304" s="1" t="str">
        <f>IF(IFERROR(INDEX($A$9:$X$304,$AS304,COLUMNS($AV$9:BK303)),"")=0,"",IFERROR(INDEX($A$9:$X$304,$AS304,COLUMNS($AV$9:BK303)),""))</f>
        <v/>
      </c>
      <c r="BL304" s="1" t="str">
        <f>IF(IFERROR(INDEX($A$9:$X$304,$AS304,COLUMNS($AV$9:BL303)),"")=0,"",IFERROR(INDEX($A$9:$X$304,$AS304,COLUMNS($AV$9:BL303)),""))</f>
        <v>Souveraine</v>
      </c>
      <c r="BM304" s="1" t="str">
        <f>IF(IFERROR(INDEX($A$9:$X$304,$AS304,COLUMNS($AV$9:BM303)),"")=0,"",IFERROR(INDEX($A$9:$X$304,$AS304,COLUMNS($AV$9:BM303)),""))</f>
        <v>Base Set</v>
      </c>
      <c r="BN304" s="3" t="b">
        <f>IF(IFERROR(INDEX($A$9:$X$304,$AS304,COLUMNS($AV$9:BN303)),"")=0,"",IFERROR(INDEX($A$9:$X$304,$AS304,COLUMNS($AV$9:BN303)),""))</f>
        <v>0</v>
      </c>
      <c r="BO304" s="3" t="b">
        <f>IF(IFERROR(INDEX($A$9:$X$304,$AS304,COLUMNS($AV$9:BO303)),"")=0,"",IFERROR(INDEX($A$9:$X$304,$AS304,COLUMNS($AV$9:BO303)),""))</f>
        <v>0</v>
      </c>
      <c r="BP304" s="3" t="b">
        <f>IF(IFERROR(INDEX($A$9:$X$304,$AS304,COLUMNS($AV$9:BP303)),"")=0,"",IFERROR(INDEX($A$9:$X$304,$AS304,COLUMNS($AV$9:BP303)),""))</f>
        <v>0</v>
      </c>
      <c r="BQ304" s="3" t="b">
        <f>IF(IFERROR(INDEX($A$9:$X$304,$AS304,COLUMNS($AV$9:BQ303)),"")=0,"",IFERROR(INDEX($A$9:$X$304,$AS304,COLUMNS($AV$9:BQ303)),""))</f>
        <v>0</v>
      </c>
      <c r="BR304" s="3" t="str">
        <f>IF(IFERROR(INDEX($A$9:$X$304,$AS304,COLUMNS($AV$9:BR303)),"")=0,"",IFERROR(INDEX($A$9:$X$304,$AS304,COLUMNS($AV$9:BR303)),""))</f>
        <v>https://www.epiccardgame.com/wp-content/uploads/2017/11/PNA-EN-18-zombie-token-back.jpg</v>
      </c>
      <c r="BS304" s="3" t="str">
        <f>IF(IFERROR(INDEX($A$9:$X$304,$AS304,COLUMNS($AV$9:BS303)),"")=0,"",IFERROR(INDEX($A$9:$X$304,$AS304,COLUMNS($AV$9:BS303)),""))</f>
        <v/>
      </c>
      <c r="BT304" s="3"/>
      <c r="BV304" t="s">
        <v>325</v>
      </c>
    </row>
    <row r="305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</sheetData>
  <sheetProtection formatCells="0" formatColumns="0" formatRows="0" sort="0" autoFilter="0"/>
  <hyperlinks>
    <hyperlink ref="W9" r:id="rId1" xr:uid="{00000000-0004-0000-0000-000000000000}"/>
    <hyperlink ref="W10" r:id="rId2" xr:uid="{00000000-0004-0000-0000-000001000000}"/>
    <hyperlink ref="W11" r:id="rId3" xr:uid="{00000000-0004-0000-0000-000002000000}"/>
    <hyperlink ref="W12" r:id="rId4" xr:uid="{00000000-0004-0000-0000-000003000000}"/>
    <hyperlink ref="W13" r:id="rId5" xr:uid="{00000000-0004-0000-0000-000004000000}"/>
    <hyperlink ref="W14" r:id="rId6" xr:uid="{00000000-0004-0000-0000-000005000000}"/>
    <hyperlink ref="W15" r:id="rId7" xr:uid="{00000000-0004-0000-0000-000006000000}"/>
    <hyperlink ref="W16" r:id="rId8" xr:uid="{00000000-0004-0000-0000-000007000000}"/>
    <hyperlink ref="W17" r:id="rId9" xr:uid="{00000000-0004-0000-0000-000008000000}"/>
    <hyperlink ref="W18" r:id="rId10" xr:uid="{00000000-0004-0000-0000-000009000000}"/>
    <hyperlink ref="W19" r:id="rId11" xr:uid="{00000000-0004-0000-0000-00000A000000}"/>
    <hyperlink ref="W20" r:id="rId12" xr:uid="{00000000-0004-0000-0000-00000B000000}"/>
    <hyperlink ref="W21" r:id="rId13" xr:uid="{00000000-0004-0000-0000-00000C000000}"/>
    <hyperlink ref="W22" r:id="rId14" xr:uid="{00000000-0004-0000-0000-00000D000000}"/>
    <hyperlink ref="W23" r:id="rId15" xr:uid="{00000000-0004-0000-0000-00000E000000}"/>
    <hyperlink ref="W24" r:id="rId16" xr:uid="{00000000-0004-0000-0000-00000F000000}"/>
    <hyperlink ref="W25" r:id="rId17" xr:uid="{00000000-0004-0000-0000-000010000000}"/>
    <hyperlink ref="W26" r:id="rId18" xr:uid="{00000000-0004-0000-0000-000011000000}"/>
    <hyperlink ref="W27" r:id="rId19" xr:uid="{00000000-0004-0000-0000-000012000000}"/>
    <hyperlink ref="W28" r:id="rId20" xr:uid="{00000000-0004-0000-0000-000013000000}"/>
    <hyperlink ref="W29" r:id="rId21" xr:uid="{00000000-0004-0000-0000-000014000000}"/>
    <hyperlink ref="W30" r:id="rId22" xr:uid="{00000000-0004-0000-0000-000015000000}"/>
    <hyperlink ref="W31" r:id="rId23" xr:uid="{00000000-0004-0000-0000-000016000000}"/>
    <hyperlink ref="W32" r:id="rId24" xr:uid="{00000000-0004-0000-0000-000017000000}"/>
    <hyperlink ref="W33" r:id="rId25" xr:uid="{00000000-0004-0000-0000-000018000000}"/>
    <hyperlink ref="W34" r:id="rId26" xr:uid="{00000000-0004-0000-0000-000019000000}"/>
    <hyperlink ref="W35" r:id="rId27" xr:uid="{00000000-0004-0000-0000-00001A000000}"/>
    <hyperlink ref="W36" r:id="rId28" xr:uid="{00000000-0004-0000-0000-00001B000000}"/>
    <hyperlink ref="W37" r:id="rId29" xr:uid="{00000000-0004-0000-0000-00001C000000}"/>
    <hyperlink ref="W38" r:id="rId30" xr:uid="{00000000-0004-0000-0000-00001D000000}"/>
    <hyperlink ref="W39" r:id="rId31" xr:uid="{00000000-0004-0000-0000-00001E000000}"/>
    <hyperlink ref="W40" r:id="rId32" xr:uid="{00000000-0004-0000-0000-00001F000000}"/>
    <hyperlink ref="W41" r:id="rId33" xr:uid="{00000000-0004-0000-0000-000020000000}"/>
    <hyperlink ref="W42" r:id="rId34" xr:uid="{00000000-0004-0000-0000-000021000000}"/>
    <hyperlink ref="W43" r:id="rId35" xr:uid="{00000000-0004-0000-0000-000022000000}"/>
    <hyperlink ref="W44" r:id="rId36" xr:uid="{00000000-0004-0000-0000-000023000000}"/>
    <hyperlink ref="W45" r:id="rId37" xr:uid="{00000000-0004-0000-0000-000024000000}"/>
    <hyperlink ref="W46" r:id="rId38" xr:uid="{00000000-0004-0000-0000-000025000000}"/>
    <hyperlink ref="W47" r:id="rId39" xr:uid="{00000000-0004-0000-0000-000026000000}"/>
    <hyperlink ref="W48" r:id="rId40" xr:uid="{00000000-0004-0000-0000-000027000000}"/>
    <hyperlink ref="W49" r:id="rId41" xr:uid="{00000000-0004-0000-0000-000028000000}"/>
    <hyperlink ref="W50" r:id="rId42" xr:uid="{00000000-0004-0000-0000-000029000000}"/>
    <hyperlink ref="W51" r:id="rId43" xr:uid="{00000000-0004-0000-0000-00002A000000}"/>
    <hyperlink ref="W52" r:id="rId44" xr:uid="{00000000-0004-0000-0000-00002B000000}"/>
    <hyperlink ref="W53" r:id="rId45" xr:uid="{00000000-0004-0000-0000-00002C000000}"/>
    <hyperlink ref="W54" r:id="rId46" xr:uid="{00000000-0004-0000-0000-00002D000000}"/>
    <hyperlink ref="W55" r:id="rId47" xr:uid="{00000000-0004-0000-0000-00002E000000}"/>
    <hyperlink ref="W56" r:id="rId48" xr:uid="{00000000-0004-0000-0000-00002F000000}"/>
    <hyperlink ref="W57" r:id="rId49" xr:uid="{00000000-0004-0000-0000-000030000000}"/>
    <hyperlink ref="W58" r:id="rId50" xr:uid="{00000000-0004-0000-0000-000031000000}"/>
    <hyperlink ref="W59" r:id="rId51" xr:uid="{00000000-0004-0000-0000-000032000000}"/>
    <hyperlink ref="W60" r:id="rId52" xr:uid="{00000000-0004-0000-0000-000033000000}"/>
    <hyperlink ref="W61" r:id="rId53" xr:uid="{00000000-0004-0000-0000-000034000000}"/>
    <hyperlink ref="W62" r:id="rId54" xr:uid="{00000000-0004-0000-0000-000035000000}"/>
    <hyperlink ref="W63" r:id="rId55" xr:uid="{00000000-0004-0000-0000-000036000000}"/>
    <hyperlink ref="W64" r:id="rId56" xr:uid="{00000000-0004-0000-0000-000037000000}"/>
    <hyperlink ref="W65" r:id="rId57" xr:uid="{00000000-0004-0000-0000-000038000000}"/>
    <hyperlink ref="W66" r:id="rId58" xr:uid="{00000000-0004-0000-0000-000039000000}"/>
    <hyperlink ref="W67" r:id="rId59" xr:uid="{00000000-0004-0000-0000-00003A000000}"/>
    <hyperlink ref="W68" r:id="rId60" xr:uid="{00000000-0004-0000-0000-00003B000000}"/>
    <hyperlink ref="W69" r:id="rId61" xr:uid="{00000000-0004-0000-0000-00003C000000}"/>
    <hyperlink ref="W70" r:id="rId62" xr:uid="{00000000-0004-0000-0000-00003D000000}"/>
    <hyperlink ref="W71" r:id="rId63" xr:uid="{00000000-0004-0000-0000-00003E000000}"/>
    <hyperlink ref="W72" r:id="rId64" xr:uid="{00000000-0004-0000-0000-00003F000000}"/>
    <hyperlink ref="W73" r:id="rId65" xr:uid="{00000000-0004-0000-0000-000040000000}"/>
    <hyperlink ref="W74" r:id="rId66" xr:uid="{00000000-0004-0000-0000-000041000000}"/>
    <hyperlink ref="W75" r:id="rId67" xr:uid="{00000000-0004-0000-0000-000042000000}"/>
    <hyperlink ref="W76" r:id="rId68" xr:uid="{00000000-0004-0000-0000-000043000000}"/>
    <hyperlink ref="W77" r:id="rId69" xr:uid="{00000000-0004-0000-0000-000044000000}"/>
    <hyperlink ref="W78" r:id="rId70" xr:uid="{00000000-0004-0000-0000-000045000000}"/>
    <hyperlink ref="W79" r:id="rId71" xr:uid="{00000000-0004-0000-0000-000046000000}"/>
    <hyperlink ref="W80" r:id="rId72" xr:uid="{00000000-0004-0000-0000-000047000000}"/>
    <hyperlink ref="W81" r:id="rId73" xr:uid="{00000000-0004-0000-0000-000048000000}"/>
    <hyperlink ref="W82" r:id="rId74" xr:uid="{00000000-0004-0000-0000-000049000000}"/>
    <hyperlink ref="W83" r:id="rId75" xr:uid="{00000000-0004-0000-0000-00004A000000}"/>
    <hyperlink ref="W84" r:id="rId76" xr:uid="{00000000-0004-0000-0000-00004B000000}"/>
    <hyperlink ref="W85" r:id="rId77" xr:uid="{00000000-0004-0000-0000-00004C000000}"/>
    <hyperlink ref="W86" r:id="rId78" xr:uid="{00000000-0004-0000-0000-00004D000000}"/>
    <hyperlink ref="W87" r:id="rId79" xr:uid="{00000000-0004-0000-0000-00004E000000}"/>
    <hyperlink ref="W88" r:id="rId80" xr:uid="{00000000-0004-0000-0000-00004F000000}"/>
    <hyperlink ref="W89" r:id="rId81" xr:uid="{00000000-0004-0000-0000-000050000000}"/>
    <hyperlink ref="W90" r:id="rId82" xr:uid="{00000000-0004-0000-0000-000051000000}"/>
    <hyperlink ref="W91" r:id="rId83" xr:uid="{00000000-0004-0000-0000-000052000000}"/>
    <hyperlink ref="W92" r:id="rId84" xr:uid="{00000000-0004-0000-0000-000053000000}"/>
    <hyperlink ref="W93" r:id="rId85" xr:uid="{00000000-0004-0000-0000-000054000000}"/>
    <hyperlink ref="W94" r:id="rId86" xr:uid="{00000000-0004-0000-0000-000055000000}"/>
    <hyperlink ref="W95" r:id="rId87" xr:uid="{00000000-0004-0000-0000-000056000000}"/>
    <hyperlink ref="W96" r:id="rId88" xr:uid="{00000000-0004-0000-0000-000057000000}"/>
    <hyperlink ref="W97" r:id="rId89" xr:uid="{00000000-0004-0000-0000-000058000000}"/>
    <hyperlink ref="W98" r:id="rId90" xr:uid="{00000000-0004-0000-0000-000059000000}"/>
    <hyperlink ref="W99" r:id="rId91" xr:uid="{00000000-0004-0000-0000-00005A000000}"/>
    <hyperlink ref="W100" r:id="rId92" xr:uid="{00000000-0004-0000-0000-00005B000000}"/>
    <hyperlink ref="W101" r:id="rId93" xr:uid="{00000000-0004-0000-0000-00005C000000}"/>
    <hyperlink ref="W102" r:id="rId94" xr:uid="{00000000-0004-0000-0000-00005D000000}"/>
    <hyperlink ref="W103" r:id="rId95" xr:uid="{00000000-0004-0000-0000-00005E000000}"/>
    <hyperlink ref="W104" r:id="rId96" xr:uid="{00000000-0004-0000-0000-00005F000000}"/>
    <hyperlink ref="W105" r:id="rId97" xr:uid="{00000000-0004-0000-0000-000060000000}"/>
    <hyperlink ref="W106" r:id="rId98" xr:uid="{00000000-0004-0000-0000-000061000000}"/>
    <hyperlink ref="W107" r:id="rId99" xr:uid="{00000000-0004-0000-0000-000062000000}"/>
    <hyperlink ref="W108" r:id="rId100" xr:uid="{00000000-0004-0000-0000-000063000000}"/>
    <hyperlink ref="W109" r:id="rId101" xr:uid="{00000000-0004-0000-0000-000064000000}"/>
    <hyperlink ref="W110" r:id="rId102" xr:uid="{00000000-0004-0000-0000-000065000000}"/>
    <hyperlink ref="W111" r:id="rId103" xr:uid="{00000000-0004-0000-0000-000066000000}"/>
    <hyperlink ref="W112" r:id="rId104" xr:uid="{00000000-0004-0000-0000-000067000000}"/>
    <hyperlink ref="W113" r:id="rId105" xr:uid="{00000000-0004-0000-0000-000068000000}"/>
    <hyperlink ref="W114" r:id="rId106" xr:uid="{00000000-0004-0000-0000-000069000000}"/>
    <hyperlink ref="W115" r:id="rId107" xr:uid="{00000000-0004-0000-0000-00006A000000}"/>
    <hyperlink ref="W116" r:id="rId108" xr:uid="{00000000-0004-0000-0000-00006B000000}"/>
    <hyperlink ref="W117" r:id="rId109" xr:uid="{00000000-0004-0000-0000-00006C000000}"/>
    <hyperlink ref="W118" r:id="rId110" xr:uid="{00000000-0004-0000-0000-00006D000000}"/>
    <hyperlink ref="W119" r:id="rId111" xr:uid="{00000000-0004-0000-0000-00006E000000}"/>
    <hyperlink ref="W120" r:id="rId112" xr:uid="{00000000-0004-0000-0000-00006F000000}"/>
    <hyperlink ref="W121" r:id="rId113" xr:uid="{00000000-0004-0000-0000-000070000000}"/>
    <hyperlink ref="W122" r:id="rId114" xr:uid="{00000000-0004-0000-0000-000071000000}"/>
    <hyperlink ref="W123" r:id="rId115" xr:uid="{00000000-0004-0000-0000-000072000000}"/>
    <hyperlink ref="W124" r:id="rId116" xr:uid="{00000000-0004-0000-0000-000073000000}"/>
    <hyperlink ref="W125" r:id="rId117" xr:uid="{00000000-0004-0000-0000-000074000000}"/>
    <hyperlink ref="W126" r:id="rId118" xr:uid="{00000000-0004-0000-0000-000075000000}"/>
    <hyperlink ref="W127" r:id="rId119" xr:uid="{00000000-0004-0000-0000-000076000000}"/>
    <hyperlink ref="W128" r:id="rId120" xr:uid="{00000000-0004-0000-0000-000077000000}"/>
    <hyperlink ref="W129" r:id="rId121" xr:uid="{00000000-0004-0000-0000-000078000000}"/>
    <hyperlink ref="W130" r:id="rId122" xr:uid="{00000000-0004-0000-0000-000079000000}"/>
    <hyperlink ref="W131" r:id="rId123" xr:uid="{00000000-0004-0000-0000-00007A000000}"/>
    <hyperlink ref="W132" r:id="rId124" xr:uid="{00000000-0004-0000-0000-00007B000000}"/>
    <hyperlink ref="W133" r:id="rId125" xr:uid="{00000000-0004-0000-0000-00007C000000}"/>
    <hyperlink ref="W134" r:id="rId126" xr:uid="{00000000-0004-0000-0000-00007D000000}"/>
    <hyperlink ref="W135" r:id="rId127" xr:uid="{00000000-0004-0000-0000-00007E000000}"/>
    <hyperlink ref="W136" r:id="rId128" xr:uid="{00000000-0004-0000-0000-00007F000000}"/>
    <hyperlink ref="W137" r:id="rId129" xr:uid="{00000000-0004-0000-0000-000080000000}"/>
    <hyperlink ref="W138" r:id="rId130" xr:uid="{00000000-0004-0000-0000-000081000000}"/>
    <hyperlink ref="W139" r:id="rId131" xr:uid="{00000000-0004-0000-0000-000082000000}"/>
    <hyperlink ref="W140" r:id="rId132" xr:uid="{00000000-0004-0000-0000-000083000000}"/>
    <hyperlink ref="W141" r:id="rId133" xr:uid="{00000000-0004-0000-0000-000084000000}"/>
    <hyperlink ref="W142" r:id="rId134" xr:uid="{00000000-0004-0000-0000-000085000000}"/>
    <hyperlink ref="W143" r:id="rId135" xr:uid="{00000000-0004-0000-0000-000086000000}"/>
    <hyperlink ref="W144" r:id="rId136" xr:uid="{00000000-0004-0000-0000-000087000000}"/>
    <hyperlink ref="W145" r:id="rId137" xr:uid="{00000000-0004-0000-0000-000088000000}"/>
    <hyperlink ref="W146" r:id="rId138" xr:uid="{00000000-0004-0000-0000-000089000000}"/>
    <hyperlink ref="W147" r:id="rId139" xr:uid="{00000000-0004-0000-0000-00008A000000}"/>
    <hyperlink ref="W148" r:id="rId140" xr:uid="{00000000-0004-0000-0000-00008B000000}"/>
    <hyperlink ref="W149" r:id="rId141" xr:uid="{00000000-0004-0000-0000-00008C000000}"/>
    <hyperlink ref="W150" r:id="rId142" xr:uid="{00000000-0004-0000-0000-00008D000000}"/>
    <hyperlink ref="W151" r:id="rId143" xr:uid="{00000000-0004-0000-0000-00008E000000}"/>
    <hyperlink ref="W152" r:id="rId144" xr:uid="{00000000-0004-0000-0000-00008F000000}"/>
    <hyperlink ref="W153" r:id="rId145" xr:uid="{00000000-0004-0000-0000-000090000000}"/>
    <hyperlink ref="W154" r:id="rId146" xr:uid="{00000000-0004-0000-0000-000091000000}"/>
    <hyperlink ref="W155" r:id="rId147" xr:uid="{00000000-0004-0000-0000-000092000000}"/>
    <hyperlink ref="W156" r:id="rId148" xr:uid="{00000000-0004-0000-0000-000093000000}"/>
    <hyperlink ref="W157" r:id="rId149" xr:uid="{00000000-0004-0000-0000-000094000000}"/>
    <hyperlink ref="W158" r:id="rId150" xr:uid="{00000000-0004-0000-0000-000095000000}"/>
    <hyperlink ref="W159" r:id="rId151" xr:uid="{00000000-0004-0000-0000-000096000000}"/>
    <hyperlink ref="W160" r:id="rId152" xr:uid="{00000000-0004-0000-0000-000097000000}"/>
    <hyperlink ref="W161" r:id="rId153" xr:uid="{00000000-0004-0000-0000-000098000000}"/>
    <hyperlink ref="W162" r:id="rId154" xr:uid="{00000000-0004-0000-0000-000099000000}"/>
    <hyperlink ref="W163" r:id="rId155" xr:uid="{00000000-0004-0000-0000-00009A000000}"/>
    <hyperlink ref="W164" r:id="rId156" xr:uid="{00000000-0004-0000-0000-00009B000000}"/>
    <hyperlink ref="W165" r:id="rId157" xr:uid="{00000000-0004-0000-0000-00009C000000}"/>
    <hyperlink ref="W166" r:id="rId158" xr:uid="{00000000-0004-0000-0000-00009D000000}"/>
    <hyperlink ref="W167" r:id="rId159" xr:uid="{00000000-0004-0000-0000-00009E000000}"/>
    <hyperlink ref="W168" r:id="rId160" xr:uid="{00000000-0004-0000-0000-00009F000000}"/>
    <hyperlink ref="W169" r:id="rId161" xr:uid="{00000000-0004-0000-0000-0000A0000000}"/>
    <hyperlink ref="W170" r:id="rId162" xr:uid="{00000000-0004-0000-0000-0000A1000000}"/>
    <hyperlink ref="W171" r:id="rId163" xr:uid="{00000000-0004-0000-0000-0000A2000000}"/>
    <hyperlink ref="W172" r:id="rId164" xr:uid="{00000000-0004-0000-0000-0000A3000000}"/>
    <hyperlink ref="W173" r:id="rId165" xr:uid="{00000000-0004-0000-0000-0000A4000000}"/>
    <hyperlink ref="W174" r:id="rId166" xr:uid="{00000000-0004-0000-0000-0000A5000000}"/>
    <hyperlink ref="W175" r:id="rId167" xr:uid="{00000000-0004-0000-0000-0000A6000000}"/>
    <hyperlink ref="W176" r:id="rId168" xr:uid="{00000000-0004-0000-0000-0000A7000000}"/>
    <hyperlink ref="W177" r:id="rId169" xr:uid="{00000000-0004-0000-0000-0000A8000000}"/>
    <hyperlink ref="W178" r:id="rId170" xr:uid="{00000000-0004-0000-0000-0000A9000000}"/>
    <hyperlink ref="W179" r:id="rId171" xr:uid="{00000000-0004-0000-0000-0000AA000000}"/>
    <hyperlink ref="W180" r:id="rId172" xr:uid="{00000000-0004-0000-0000-0000AB000000}"/>
    <hyperlink ref="W181" r:id="rId173" xr:uid="{00000000-0004-0000-0000-0000AC000000}"/>
    <hyperlink ref="W182" r:id="rId174" xr:uid="{00000000-0004-0000-0000-0000AD000000}"/>
    <hyperlink ref="W183" r:id="rId175" xr:uid="{00000000-0004-0000-0000-0000AE000000}"/>
    <hyperlink ref="W184" r:id="rId176" xr:uid="{00000000-0004-0000-0000-0000AF000000}"/>
    <hyperlink ref="W185" r:id="rId177" xr:uid="{00000000-0004-0000-0000-0000B0000000}"/>
    <hyperlink ref="W186" r:id="rId178" xr:uid="{00000000-0004-0000-0000-0000B1000000}"/>
    <hyperlink ref="W187" r:id="rId179" xr:uid="{00000000-0004-0000-0000-0000B2000000}"/>
    <hyperlink ref="W188" r:id="rId180" xr:uid="{00000000-0004-0000-0000-0000B3000000}"/>
    <hyperlink ref="W189" r:id="rId181" xr:uid="{00000000-0004-0000-0000-0000B4000000}"/>
    <hyperlink ref="W190" r:id="rId182" xr:uid="{00000000-0004-0000-0000-0000B5000000}"/>
    <hyperlink ref="W191" r:id="rId183" xr:uid="{00000000-0004-0000-0000-0000B6000000}"/>
    <hyperlink ref="W192" r:id="rId184" xr:uid="{00000000-0004-0000-0000-0000B7000000}"/>
    <hyperlink ref="W193" r:id="rId185" xr:uid="{00000000-0004-0000-0000-0000B8000000}"/>
    <hyperlink ref="W194" r:id="rId186" xr:uid="{00000000-0004-0000-0000-0000B9000000}"/>
    <hyperlink ref="W195" r:id="rId187" xr:uid="{00000000-0004-0000-0000-0000BA000000}"/>
    <hyperlink ref="W196" r:id="rId188" xr:uid="{00000000-0004-0000-0000-0000BB000000}"/>
    <hyperlink ref="W197" r:id="rId189" xr:uid="{00000000-0004-0000-0000-0000BC000000}"/>
    <hyperlink ref="W198" r:id="rId190" xr:uid="{00000000-0004-0000-0000-0000BD000000}"/>
    <hyperlink ref="W199" r:id="rId191" xr:uid="{00000000-0004-0000-0000-0000BE000000}"/>
    <hyperlink ref="W200" r:id="rId192" xr:uid="{00000000-0004-0000-0000-0000BF000000}"/>
    <hyperlink ref="W201" r:id="rId193" xr:uid="{00000000-0004-0000-0000-0000C0000000}"/>
    <hyperlink ref="W202" r:id="rId194" xr:uid="{00000000-0004-0000-0000-0000C1000000}"/>
    <hyperlink ref="W203" r:id="rId195" xr:uid="{00000000-0004-0000-0000-0000C2000000}"/>
    <hyperlink ref="W204" r:id="rId196" xr:uid="{00000000-0004-0000-0000-0000C3000000}"/>
    <hyperlink ref="W205" r:id="rId197" xr:uid="{00000000-0004-0000-0000-0000C4000000}"/>
    <hyperlink ref="W206" r:id="rId198" xr:uid="{00000000-0004-0000-0000-0000C5000000}"/>
    <hyperlink ref="W207" r:id="rId199" xr:uid="{00000000-0004-0000-0000-0000C6000000}"/>
    <hyperlink ref="W208" r:id="rId200" xr:uid="{00000000-0004-0000-0000-0000C7000000}"/>
    <hyperlink ref="W209" r:id="rId201" xr:uid="{00000000-0004-0000-0000-0000C8000000}"/>
    <hyperlink ref="W210" r:id="rId202" xr:uid="{00000000-0004-0000-0000-0000C9000000}"/>
    <hyperlink ref="W211" r:id="rId203" xr:uid="{00000000-0004-0000-0000-0000CA000000}"/>
    <hyperlink ref="W212" r:id="rId204" xr:uid="{00000000-0004-0000-0000-0000CB000000}"/>
    <hyperlink ref="W213" r:id="rId205" xr:uid="{00000000-0004-0000-0000-0000CC000000}"/>
    <hyperlink ref="W214" r:id="rId206" xr:uid="{00000000-0004-0000-0000-0000CD000000}"/>
    <hyperlink ref="W215" r:id="rId207" xr:uid="{00000000-0004-0000-0000-0000CE000000}"/>
    <hyperlink ref="W216" r:id="rId208" xr:uid="{00000000-0004-0000-0000-0000CF000000}"/>
    <hyperlink ref="W217" r:id="rId209" xr:uid="{00000000-0004-0000-0000-0000D0000000}"/>
    <hyperlink ref="W218" r:id="rId210" xr:uid="{00000000-0004-0000-0000-0000D1000000}"/>
    <hyperlink ref="W219" r:id="rId211" xr:uid="{00000000-0004-0000-0000-0000D2000000}"/>
    <hyperlink ref="W220" r:id="rId212" xr:uid="{00000000-0004-0000-0000-0000D3000000}"/>
    <hyperlink ref="W221" r:id="rId213" xr:uid="{00000000-0004-0000-0000-0000D4000000}"/>
    <hyperlink ref="W222" r:id="rId214" xr:uid="{00000000-0004-0000-0000-0000D5000000}"/>
    <hyperlink ref="W223" r:id="rId215" xr:uid="{00000000-0004-0000-0000-0000D6000000}"/>
    <hyperlink ref="W224" r:id="rId216" xr:uid="{00000000-0004-0000-0000-0000D7000000}"/>
    <hyperlink ref="W225" r:id="rId217" xr:uid="{00000000-0004-0000-0000-0000D8000000}"/>
    <hyperlink ref="W226" r:id="rId218" xr:uid="{00000000-0004-0000-0000-0000D9000000}"/>
    <hyperlink ref="W227" r:id="rId219" xr:uid="{00000000-0004-0000-0000-0000DA000000}"/>
    <hyperlink ref="W228" r:id="rId220" xr:uid="{00000000-0004-0000-0000-0000DB000000}"/>
    <hyperlink ref="W229" r:id="rId221" xr:uid="{00000000-0004-0000-0000-0000DC000000}"/>
    <hyperlink ref="W230" r:id="rId222" xr:uid="{00000000-0004-0000-0000-0000DD000000}"/>
    <hyperlink ref="W231" r:id="rId223" xr:uid="{00000000-0004-0000-0000-0000DE000000}"/>
    <hyperlink ref="W232" r:id="rId224" xr:uid="{00000000-0004-0000-0000-0000DF000000}"/>
    <hyperlink ref="W233" r:id="rId225" xr:uid="{00000000-0004-0000-0000-0000E0000000}"/>
    <hyperlink ref="W234" r:id="rId226" xr:uid="{00000000-0004-0000-0000-0000E1000000}"/>
    <hyperlink ref="W235" r:id="rId227" xr:uid="{00000000-0004-0000-0000-0000E2000000}"/>
    <hyperlink ref="W236" r:id="rId228" xr:uid="{00000000-0004-0000-0000-0000E3000000}"/>
    <hyperlink ref="W237" r:id="rId229" xr:uid="{00000000-0004-0000-0000-0000E4000000}"/>
    <hyperlink ref="W238" r:id="rId230" xr:uid="{00000000-0004-0000-0000-0000E5000000}"/>
    <hyperlink ref="W239" r:id="rId231" xr:uid="{00000000-0004-0000-0000-0000E6000000}"/>
    <hyperlink ref="W240" r:id="rId232" xr:uid="{00000000-0004-0000-0000-0000E7000000}"/>
    <hyperlink ref="W241" r:id="rId233" xr:uid="{00000000-0004-0000-0000-0000E8000000}"/>
    <hyperlink ref="W242" r:id="rId234" xr:uid="{00000000-0004-0000-0000-0000E9000000}"/>
    <hyperlink ref="W243" r:id="rId235" xr:uid="{00000000-0004-0000-0000-0000EA000000}"/>
    <hyperlink ref="W244" r:id="rId236" xr:uid="{00000000-0004-0000-0000-0000EB000000}"/>
    <hyperlink ref="W245" r:id="rId237" xr:uid="{00000000-0004-0000-0000-0000EC000000}"/>
    <hyperlink ref="W246" r:id="rId238" xr:uid="{00000000-0004-0000-0000-0000ED000000}"/>
    <hyperlink ref="W247" r:id="rId239" xr:uid="{00000000-0004-0000-0000-0000EE000000}"/>
    <hyperlink ref="W248" r:id="rId240" xr:uid="{00000000-0004-0000-0000-0000EF000000}"/>
    <hyperlink ref="W249" r:id="rId241" xr:uid="{00000000-0004-0000-0000-0000F0000000}"/>
    <hyperlink ref="W250" r:id="rId242" xr:uid="{00000000-0004-0000-0000-0000F1000000}"/>
    <hyperlink ref="W251" r:id="rId243" xr:uid="{00000000-0004-0000-0000-0000F2000000}"/>
    <hyperlink ref="W252" r:id="rId244" xr:uid="{00000000-0004-0000-0000-0000F3000000}"/>
    <hyperlink ref="W253" r:id="rId245" xr:uid="{00000000-0004-0000-0000-0000F4000000}"/>
    <hyperlink ref="W254" r:id="rId246" xr:uid="{00000000-0004-0000-0000-0000F5000000}"/>
    <hyperlink ref="W255" r:id="rId247" xr:uid="{00000000-0004-0000-0000-0000F6000000}"/>
    <hyperlink ref="W256" r:id="rId248" xr:uid="{00000000-0004-0000-0000-0000F7000000}"/>
    <hyperlink ref="W257" r:id="rId249" xr:uid="{00000000-0004-0000-0000-0000F8000000}"/>
    <hyperlink ref="W258" r:id="rId250" xr:uid="{00000000-0004-0000-0000-0000F9000000}"/>
    <hyperlink ref="W259" r:id="rId251" xr:uid="{00000000-0004-0000-0000-0000FA000000}"/>
    <hyperlink ref="W260" r:id="rId252" xr:uid="{00000000-0004-0000-0000-0000FB000000}"/>
    <hyperlink ref="W261" r:id="rId253" xr:uid="{00000000-0004-0000-0000-0000FC000000}"/>
    <hyperlink ref="W262" r:id="rId254" xr:uid="{00000000-0004-0000-0000-0000FD000000}"/>
    <hyperlink ref="W263" r:id="rId255" xr:uid="{00000000-0004-0000-0000-0000FE000000}"/>
    <hyperlink ref="W264" r:id="rId256" xr:uid="{00000000-0004-0000-0000-0000FF000000}"/>
    <hyperlink ref="W265" r:id="rId257" xr:uid="{00000000-0004-0000-0000-000000010000}"/>
    <hyperlink ref="W266" r:id="rId258" xr:uid="{00000000-0004-0000-0000-000001010000}"/>
    <hyperlink ref="W267" r:id="rId259" xr:uid="{00000000-0004-0000-0000-000002010000}"/>
    <hyperlink ref="W268" r:id="rId260" xr:uid="{00000000-0004-0000-0000-000003010000}"/>
    <hyperlink ref="W269" r:id="rId261" xr:uid="{00000000-0004-0000-0000-000004010000}"/>
    <hyperlink ref="W270" r:id="rId262" xr:uid="{00000000-0004-0000-0000-000005010000}"/>
    <hyperlink ref="W271" r:id="rId263" xr:uid="{00000000-0004-0000-0000-000006010000}"/>
    <hyperlink ref="W272" r:id="rId264" xr:uid="{00000000-0004-0000-0000-000007010000}"/>
    <hyperlink ref="W273" r:id="rId265" xr:uid="{00000000-0004-0000-0000-000008010000}"/>
    <hyperlink ref="W274" r:id="rId266" xr:uid="{00000000-0004-0000-0000-000009010000}"/>
    <hyperlink ref="W275" r:id="rId267" xr:uid="{00000000-0004-0000-0000-00000A010000}"/>
    <hyperlink ref="W276" r:id="rId268" xr:uid="{00000000-0004-0000-0000-00000B010000}"/>
    <hyperlink ref="W277" r:id="rId269" xr:uid="{00000000-0004-0000-0000-00000C010000}"/>
    <hyperlink ref="W278" r:id="rId270" xr:uid="{00000000-0004-0000-0000-00000D010000}"/>
    <hyperlink ref="W279" r:id="rId271" xr:uid="{00000000-0004-0000-0000-00000E010000}"/>
    <hyperlink ref="W280" r:id="rId272" xr:uid="{00000000-0004-0000-0000-00000F010000}"/>
    <hyperlink ref="W281" r:id="rId273" xr:uid="{00000000-0004-0000-0000-000010010000}"/>
    <hyperlink ref="W282" r:id="rId274" xr:uid="{00000000-0004-0000-0000-000011010000}"/>
    <hyperlink ref="W283" r:id="rId275" xr:uid="{00000000-0004-0000-0000-000012010000}"/>
    <hyperlink ref="W284" r:id="rId276" xr:uid="{00000000-0004-0000-0000-000013010000}"/>
    <hyperlink ref="W285" r:id="rId277" xr:uid="{00000000-0004-0000-0000-000014010000}"/>
    <hyperlink ref="W286" r:id="rId278" xr:uid="{00000000-0004-0000-0000-000015010000}"/>
    <hyperlink ref="W287" r:id="rId279" xr:uid="{00000000-0004-0000-0000-000016010000}"/>
    <hyperlink ref="W288" r:id="rId280" xr:uid="{00000000-0004-0000-0000-000017010000}"/>
    <hyperlink ref="W289" r:id="rId281" xr:uid="{00000000-0004-0000-0000-000018010000}"/>
    <hyperlink ref="W290" r:id="rId282" xr:uid="{00000000-0004-0000-0000-000019010000}"/>
    <hyperlink ref="W291" r:id="rId283" xr:uid="{00000000-0004-0000-0000-00001A010000}"/>
    <hyperlink ref="W292" r:id="rId284" xr:uid="{00000000-0004-0000-0000-00001B010000}"/>
    <hyperlink ref="W293" r:id="rId285" xr:uid="{00000000-0004-0000-0000-00001C010000}"/>
    <hyperlink ref="W294" r:id="rId286" xr:uid="{00000000-0004-0000-0000-00001D010000}"/>
    <hyperlink ref="W295" r:id="rId287" xr:uid="{00000000-0004-0000-0000-00001E010000}"/>
    <hyperlink ref="W296" r:id="rId288" xr:uid="{00000000-0004-0000-0000-00001F010000}"/>
    <hyperlink ref="W297" r:id="rId289" xr:uid="{00000000-0004-0000-0000-000020010000}"/>
    <hyperlink ref="W298" r:id="rId290" xr:uid="{00000000-0004-0000-0000-000021010000}"/>
    <hyperlink ref="W299" r:id="rId291" xr:uid="{00000000-0004-0000-0000-000022010000}"/>
    <hyperlink ref="W300" r:id="rId292" xr:uid="{00000000-0004-0000-0000-000023010000}"/>
    <hyperlink ref="W301" r:id="rId293" xr:uid="{00000000-0004-0000-0000-000024010000}"/>
    <hyperlink ref="W302" r:id="rId294" xr:uid="{00000000-0004-0000-0000-000025010000}"/>
    <hyperlink ref="W303" r:id="rId295" xr:uid="{00000000-0004-0000-0000-000026010000}"/>
    <hyperlink ref="W304" r:id="rId296" xr:uid="{00000000-0004-0000-0000-000027010000}"/>
  </hyperlinks>
  <pageMargins left="0.7" right="0.7" top="0.75" bottom="0.75" header="0.3" footer="0.3"/>
  <pageSetup orientation="portrait" r:id="rId297"/>
  <ignoredErrors>
    <ignoredError sqref="AV9:BK9 AV11:BM304 AW10:BM10" calculatedColumn="1"/>
  </ignoredErrors>
  <drawing r:id="rId298"/>
  <legacyDrawing r:id="rId299"/>
  <controls>
    <mc:AlternateContent xmlns:mc="http://schemas.openxmlformats.org/markup-compatibility/2006">
      <mc:Choice Requires="x14">
        <control shapeId="1053" r:id="rId300" name="SelectBox">
          <controlPr defaultSize="0" autoLine="0" linkedCell="BU6" listFillRange="Match_List" r:id="rId301">
            <anchor moveWithCells="1">
              <from>
                <xdr:col>49</xdr:col>
                <xdr:colOff>742950</xdr:colOff>
                <xdr:row>1</xdr:row>
                <xdr:rowOff>152400</xdr:rowOff>
              </from>
              <to>
                <xdr:col>51</xdr:col>
                <xdr:colOff>152400</xdr:colOff>
                <xdr:row>2</xdr:row>
                <xdr:rowOff>247650</xdr:rowOff>
              </to>
            </anchor>
          </controlPr>
        </control>
      </mc:Choice>
      <mc:Fallback>
        <control shapeId="1053" r:id="rId300" name="SelectBox"/>
      </mc:Fallback>
    </mc:AlternateContent>
    <mc:AlternateContent xmlns:mc="http://schemas.openxmlformats.org/markup-compatibility/2006">
      <mc:Choice Requires="x14">
        <control shapeId="1054" r:id="rId302" name="EvilCheckBox">
          <controlPr defaultSize="0" autoLine="0" r:id="rId303">
            <anchor>
              <from>
                <xdr:col>48</xdr:col>
                <xdr:colOff>76200</xdr:colOff>
                <xdr:row>3</xdr:row>
                <xdr:rowOff>76200</xdr:rowOff>
              </from>
              <to>
                <xdr:col>49</xdr:col>
                <xdr:colOff>266700</xdr:colOff>
                <xdr:row>5</xdr:row>
                <xdr:rowOff>76200</xdr:rowOff>
              </to>
            </anchor>
          </controlPr>
        </control>
      </mc:Choice>
      <mc:Fallback>
        <control shapeId="1054" r:id="rId302" name="EvilCheckBox"/>
      </mc:Fallback>
    </mc:AlternateContent>
    <mc:AlternateContent xmlns:mc="http://schemas.openxmlformats.org/markup-compatibility/2006">
      <mc:Choice Requires="x14">
        <control shapeId="1055" r:id="rId304" name="GoodCheckBox">
          <controlPr defaultSize="0" autoLine="0" r:id="rId305">
            <anchor>
              <from>
                <xdr:col>49</xdr:col>
                <xdr:colOff>485775</xdr:colOff>
                <xdr:row>3</xdr:row>
                <xdr:rowOff>85725</xdr:rowOff>
              </from>
              <to>
                <xdr:col>50</xdr:col>
                <xdr:colOff>104775</xdr:colOff>
                <xdr:row>5</xdr:row>
                <xdr:rowOff>104775</xdr:rowOff>
              </to>
            </anchor>
          </controlPr>
        </control>
      </mc:Choice>
      <mc:Fallback>
        <control shapeId="1055" r:id="rId304" name="GoodCheckBox"/>
      </mc:Fallback>
    </mc:AlternateContent>
    <mc:AlternateContent xmlns:mc="http://schemas.openxmlformats.org/markup-compatibility/2006">
      <mc:Choice Requires="x14">
        <control shapeId="1056" r:id="rId306" name="RefreshButton">
          <controlPr defaultSize="0" autoLine="0" r:id="rId307">
            <anchor moveWithCells="1">
              <from>
                <xdr:col>61</xdr:col>
                <xdr:colOff>66675</xdr:colOff>
                <xdr:row>2</xdr:row>
                <xdr:rowOff>161925</xdr:rowOff>
              </from>
              <to>
                <xdr:col>62</xdr:col>
                <xdr:colOff>238125</xdr:colOff>
                <xdr:row>2</xdr:row>
                <xdr:rowOff>571500</xdr:rowOff>
              </to>
            </anchor>
          </controlPr>
        </control>
      </mc:Choice>
      <mc:Fallback>
        <control shapeId="1056" r:id="rId306" name="RefreshButton"/>
      </mc:Fallback>
    </mc:AlternateContent>
    <mc:AlternateContent xmlns:mc="http://schemas.openxmlformats.org/markup-compatibility/2006">
      <mc:Choice Requires="x14">
        <control shapeId="1057" r:id="rId308" name="DeleteButton">
          <controlPr defaultSize="0" autoLine="0" r:id="rId309">
            <anchor moveWithCells="1">
              <from>
                <xdr:col>61</xdr:col>
                <xdr:colOff>66675</xdr:colOff>
                <xdr:row>2</xdr:row>
                <xdr:rowOff>838200</xdr:rowOff>
              </from>
              <to>
                <xdr:col>62</xdr:col>
                <xdr:colOff>247650</xdr:colOff>
                <xdr:row>3</xdr:row>
                <xdr:rowOff>95250</xdr:rowOff>
              </to>
            </anchor>
          </controlPr>
        </control>
      </mc:Choice>
      <mc:Fallback>
        <control shapeId="1057" r:id="rId308" name="DeleteButton"/>
      </mc:Fallback>
    </mc:AlternateContent>
    <mc:AlternateContent xmlns:mc="http://schemas.openxmlformats.org/markup-compatibility/2006">
      <mc:Choice Requires="x14">
        <control shapeId="1058" r:id="rId310" name="SageCheckBox">
          <controlPr defaultSize="0" autoLine="0" r:id="rId311">
            <anchor>
              <from>
                <xdr:col>50</xdr:col>
                <xdr:colOff>323850</xdr:colOff>
                <xdr:row>3</xdr:row>
                <xdr:rowOff>85725</xdr:rowOff>
              </from>
              <to>
                <xdr:col>50</xdr:col>
                <xdr:colOff>933450</xdr:colOff>
                <xdr:row>5</xdr:row>
                <xdr:rowOff>85725</xdr:rowOff>
              </to>
            </anchor>
          </controlPr>
        </control>
      </mc:Choice>
      <mc:Fallback>
        <control shapeId="1058" r:id="rId310" name="SageCheckBox"/>
      </mc:Fallback>
    </mc:AlternateContent>
    <mc:AlternateContent xmlns:mc="http://schemas.openxmlformats.org/markup-compatibility/2006">
      <mc:Choice Requires="x14">
        <control shapeId="1059" r:id="rId312" name="WildCheckBox">
          <controlPr defaultSize="0" autoLine="0" r:id="rId313">
            <anchor>
              <from>
                <xdr:col>51</xdr:col>
                <xdr:colOff>9525</xdr:colOff>
                <xdr:row>3</xdr:row>
                <xdr:rowOff>66675</xdr:rowOff>
              </from>
              <to>
                <xdr:col>51</xdr:col>
                <xdr:colOff>714375</xdr:colOff>
                <xdr:row>5</xdr:row>
                <xdr:rowOff>104775</xdr:rowOff>
              </to>
            </anchor>
          </controlPr>
        </control>
      </mc:Choice>
      <mc:Fallback>
        <control shapeId="1059" r:id="rId312" name="WildCheckBox"/>
      </mc:Fallback>
    </mc:AlternateContent>
    <mc:AlternateContent xmlns:mc="http://schemas.openxmlformats.org/markup-compatibility/2006">
      <mc:Choice Requires="x14">
        <control shapeId="1041" r:id="rId314" name="Label 17">
          <controlPr defaultSize="0" autoFill="0" autoLine="0" autoPict="0">
            <anchor moveWithCells="1">
              <from>
                <xdr:col>46</xdr:col>
                <xdr:colOff>1419225</xdr:colOff>
                <xdr:row>2</xdr:row>
                <xdr:rowOff>409575</xdr:rowOff>
              </from>
              <to>
                <xdr:col>46</xdr:col>
                <xdr:colOff>1447800</xdr:colOff>
                <xdr:row>2</xdr:row>
                <xdr:rowOff>628650</xdr:rowOff>
              </to>
            </anchor>
          </controlPr>
        </control>
      </mc:Choice>
    </mc:AlternateContent>
  </controls>
  <tableParts count="1">
    <tablePart r:id="rId3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A8E4-A355-4B09-8EEC-51078A1639F6}">
  <sheetPr codeName="Sheet2"/>
  <dimension ref="A1:R76"/>
  <sheetViews>
    <sheetView topLeftCell="A43" workbookViewId="0">
      <selection activeCell="J58" sqref="J58"/>
    </sheetView>
  </sheetViews>
  <sheetFormatPr defaultRowHeight="15" x14ac:dyDescent="0.25"/>
  <cols>
    <col min="1" max="1" width="12.85546875" bestFit="1" customWidth="1"/>
    <col min="2" max="2" width="4.85546875" bestFit="1" customWidth="1"/>
    <col min="3" max="3" width="12.85546875" bestFit="1" customWidth="1"/>
    <col min="4" max="4" width="15.28515625" bestFit="1" customWidth="1"/>
  </cols>
  <sheetData>
    <row r="1" spans="1:18" x14ac:dyDescent="0.25">
      <c r="A1" t="s">
        <v>1487</v>
      </c>
    </row>
    <row r="2" spans="1:18" x14ac:dyDescent="0.25">
      <c r="A2" s="4" t="s">
        <v>1</v>
      </c>
      <c r="B2" s="4" t="s">
        <v>2</v>
      </c>
      <c r="C2" s="4" t="s">
        <v>1483</v>
      </c>
      <c r="D2" s="4" t="s">
        <v>1484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8</v>
      </c>
      <c r="J2" s="1" t="s">
        <v>10</v>
      </c>
      <c r="K2" s="1" t="s">
        <v>12</v>
      </c>
      <c r="L2" s="1" t="s">
        <v>13</v>
      </c>
      <c r="M2" s="1" t="s">
        <v>14</v>
      </c>
      <c r="N2" s="1" t="s">
        <v>15</v>
      </c>
      <c r="O2" s="1" t="s">
        <v>16</v>
      </c>
      <c r="P2" s="1" t="s">
        <v>17</v>
      </c>
      <c r="Q2" s="1" t="s">
        <v>18</v>
      </c>
      <c r="R2" s="1" t="s">
        <v>19</v>
      </c>
    </row>
    <row r="3" spans="1:18" x14ac:dyDescent="0.25">
      <c r="A3" s="8"/>
      <c r="B3" s="9"/>
      <c r="C3" s="9" t="s">
        <v>617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10"/>
    </row>
    <row r="4" spans="1:18" x14ac:dyDescent="0.25">
      <c r="A4" s="8"/>
      <c r="B4" s="9"/>
      <c r="C4" s="9" t="s">
        <v>618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10"/>
    </row>
    <row r="5" spans="1:18" x14ac:dyDescent="0.25">
      <c r="A5" s="8"/>
      <c r="B5" s="9"/>
      <c r="C5" s="9" t="s">
        <v>615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10"/>
    </row>
    <row r="6" spans="1:18" x14ac:dyDescent="0.25">
      <c r="A6" s="11"/>
      <c r="B6" s="12"/>
      <c r="C6" s="12" t="s">
        <v>616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</row>
    <row r="8" spans="1:18" x14ac:dyDescent="0.25">
      <c r="A8" t="s">
        <v>618</v>
      </c>
    </row>
    <row r="9" spans="1:18" x14ac:dyDescent="0.25">
      <c r="A9" s="4" t="s">
        <v>1</v>
      </c>
      <c r="B9" s="4" t="s">
        <v>2</v>
      </c>
      <c r="C9" s="4" t="s">
        <v>1483</v>
      </c>
      <c r="D9" s="4" t="s">
        <v>1484</v>
      </c>
      <c r="E9" s="1" t="s">
        <v>3</v>
      </c>
      <c r="F9" s="1" t="s">
        <v>4</v>
      </c>
      <c r="G9" s="1" t="s">
        <v>5</v>
      </c>
      <c r="H9" s="1" t="s">
        <v>6</v>
      </c>
      <c r="I9" s="1" t="s">
        <v>8</v>
      </c>
      <c r="J9" s="1" t="s">
        <v>10</v>
      </c>
      <c r="K9" s="1" t="s">
        <v>12</v>
      </c>
      <c r="L9" s="1" t="s">
        <v>13</v>
      </c>
      <c r="M9" s="1" t="s">
        <v>14</v>
      </c>
      <c r="N9" s="1" t="s">
        <v>15</v>
      </c>
      <c r="O9" s="1" t="s">
        <v>16</v>
      </c>
      <c r="P9" s="1" t="s">
        <v>17</v>
      </c>
      <c r="Q9" s="1" t="s">
        <v>18</v>
      </c>
      <c r="R9" s="1" t="s">
        <v>19</v>
      </c>
    </row>
    <row r="10" spans="1:18" x14ac:dyDescent="0.25">
      <c r="A10" s="8"/>
      <c r="B10" s="9"/>
      <c r="C10" s="9" t="s">
        <v>618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10"/>
    </row>
    <row r="11" spans="1:18" x14ac:dyDescent="0.25">
      <c r="A11" s="8"/>
      <c r="B11" s="9"/>
      <c r="C11" s="9" t="s">
        <v>618</v>
      </c>
      <c r="D11" s="9" t="s">
        <v>617</v>
      </c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10"/>
    </row>
    <row r="12" spans="1:18" x14ac:dyDescent="0.25">
      <c r="A12" s="8"/>
      <c r="B12" s="9"/>
      <c r="C12" s="9" t="s">
        <v>618</v>
      </c>
      <c r="D12" s="9" t="s">
        <v>616</v>
      </c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10"/>
    </row>
    <row r="13" spans="1:18" x14ac:dyDescent="0.25">
      <c r="A13" s="8"/>
      <c r="B13" s="9"/>
      <c r="C13" s="9" t="s">
        <v>618</v>
      </c>
      <c r="D13" s="9" t="s">
        <v>615</v>
      </c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10"/>
    </row>
    <row r="14" spans="1:18" x14ac:dyDescent="0.25">
      <c r="A14" s="8"/>
      <c r="B14" s="9"/>
      <c r="C14" s="9" t="s">
        <v>617</v>
      </c>
      <c r="D14" s="9" t="s">
        <v>618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10"/>
    </row>
    <row r="15" spans="1:18" x14ac:dyDescent="0.25">
      <c r="A15" s="8"/>
      <c r="B15" s="9"/>
      <c r="C15" s="9" t="s">
        <v>616</v>
      </c>
      <c r="D15" s="9" t="s">
        <v>618</v>
      </c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10"/>
    </row>
    <row r="16" spans="1:18" x14ac:dyDescent="0.25">
      <c r="A16" s="11"/>
      <c r="B16" s="12"/>
      <c r="C16" s="12" t="s">
        <v>615</v>
      </c>
      <c r="D16" s="12" t="s">
        <v>618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3"/>
    </row>
    <row r="18" spans="1:18" x14ac:dyDescent="0.25">
      <c r="A18" t="s">
        <v>617</v>
      </c>
    </row>
    <row r="19" spans="1:18" x14ac:dyDescent="0.25">
      <c r="A19" s="4" t="s">
        <v>1</v>
      </c>
      <c r="B19" s="4" t="s">
        <v>2</v>
      </c>
      <c r="C19" s="4" t="s">
        <v>1483</v>
      </c>
      <c r="D19" s="4" t="s">
        <v>1484</v>
      </c>
      <c r="E19" s="1" t="s">
        <v>3</v>
      </c>
      <c r="F19" s="1" t="s">
        <v>4</v>
      </c>
      <c r="G19" s="1" t="s">
        <v>5</v>
      </c>
      <c r="H19" s="1" t="s">
        <v>6</v>
      </c>
      <c r="I19" s="1" t="s">
        <v>8</v>
      </c>
      <c r="J19" s="1" t="s">
        <v>10</v>
      </c>
      <c r="K19" s="1" t="s">
        <v>12</v>
      </c>
      <c r="L19" s="1" t="s">
        <v>13</v>
      </c>
      <c r="M19" s="1" t="s">
        <v>14</v>
      </c>
      <c r="N19" s="1" t="s">
        <v>15</v>
      </c>
      <c r="O19" s="1" t="s">
        <v>16</v>
      </c>
      <c r="P19" s="1" t="s">
        <v>17</v>
      </c>
      <c r="Q19" s="1" t="s">
        <v>18</v>
      </c>
      <c r="R19" s="1" t="s">
        <v>19</v>
      </c>
    </row>
    <row r="20" spans="1:18" x14ac:dyDescent="0.25">
      <c r="A20" s="8"/>
      <c r="B20" s="9"/>
      <c r="C20" s="9" t="s">
        <v>617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10"/>
    </row>
    <row r="21" spans="1:18" x14ac:dyDescent="0.25">
      <c r="A21" s="8"/>
      <c r="B21" s="9"/>
      <c r="C21" s="9" t="s">
        <v>617</v>
      </c>
      <c r="D21" s="9" t="s">
        <v>618</v>
      </c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0"/>
    </row>
    <row r="22" spans="1:18" x14ac:dyDescent="0.25">
      <c r="A22" s="8"/>
      <c r="B22" s="9"/>
      <c r="C22" s="9" t="s">
        <v>617</v>
      </c>
      <c r="D22" s="9" t="s">
        <v>616</v>
      </c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10"/>
    </row>
    <row r="23" spans="1:18" x14ac:dyDescent="0.25">
      <c r="A23" s="8"/>
      <c r="B23" s="9"/>
      <c r="C23" s="9" t="s">
        <v>617</v>
      </c>
      <c r="D23" s="9" t="s">
        <v>615</v>
      </c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10"/>
    </row>
    <row r="24" spans="1:18" x14ac:dyDescent="0.25">
      <c r="A24" s="8"/>
      <c r="B24" s="9"/>
      <c r="C24" s="9" t="s">
        <v>618</v>
      </c>
      <c r="D24" s="9" t="s">
        <v>617</v>
      </c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10"/>
    </row>
    <row r="25" spans="1:18" x14ac:dyDescent="0.25">
      <c r="A25" s="8"/>
      <c r="B25" s="9"/>
      <c r="C25" s="9" t="s">
        <v>616</v>
      </c>
      <c r="D25" s="9" t="s">
        <v>617</v>
      </c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10"/>
    </row>
    <row r="26" spans="1:18" x14ac:dyDescent="0.25">
      <c r="A26" s="11"/>
      <c r="B26" s="12"/>
      <c r="C26" s="12" t="s">
        <v>615</v>
      </c>
      <c r="D26" s="12" t="s">
        <v>617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3"/>
    </row>
    <row r="28" spans="1:18" x14ac:dyDescent="0.25">
      <c r="A28" t="s">
        <v>616</v>
      </c>
    </row>
    <row r="29" spans="1:18" x14ac:dyDescent="0.25">
      <c r="A29" s="4" t="s">
        <v>1</v>
      </c>
      <c r="B29" s="4" t="s">
        <v>2</v>
      </c>
      <c r="C29" s="4" t="s">
        <v>1483</v>
      </c>
      <c r="D29" s="4" t="s">
        <v>1484</v>
      </c>
      <c r="E29" s="1" t="s">
        <v>3</v>
      </c>
      <c r="F29" s="1" t="s">
        <v>4</v>
      </c>
      <c r="G29" s="1" t="s">
        <v>5</v>
      </c>
      <c r="H29" s="1" t="s">
        <v>6</v>
      </c>
      <c r="I29" s="1" t="s">
        <v>8</v>
      </c>
      <c r="J29" s="1" t="s">
        <v>10</v>
      </c>
      <c r="K29" s="1" t="s">
        <v>12</v>
      </c>
      <c r="L29" s="1" t="s">
        <v>13</v>
      </c>
      <c r="M29" s="1" t="s">
        <v>14</v>
      </c>
      <c r="N29" s="1" t="s">
        <v>15</v>
      </c>
      <c r="O29" s="1" t="s">
        <v>16</v>
      </c>
      <c r="P29" s="1" t="s">
        <v>17</v>
      </c>
      <c r="Q29" s="1" t="s">
        <v>18</v>
      </c>
      <c r="R29" s="1" t="s">
        <v>19</v>
      </c>
    </row>
    <row r="30" spans="1:18" x14ac:dyDescent="0.25">
      <c r="A30" s="8"/>
      <c r="B30" s="9"/>
      <c r="C30" s="9" t="s">
        <v>616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10"/>
    </row>
    <row r="31" spans="1:18" x14ac:dyDescent="0.25">
      <c r="A31" s="8"/>
      <c r="B31" s="9"/>
      <c r="C31" s="9" t="s">
        <v>616</v>
      </c>
      <c r="D31" s="9" t="s">
        <v>618</v>
      </c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10"/>
    </row>
    <row r="32" spans="1:18" x14ac:dyDescent="0.25">
      <c r="A32" s="8"/>
      <c r="B32" s="9"/>
      <c r="C32" s="9" t="s">
        <v>616</v>
      </c>
      <c r="D32" s="9" t="s">
        <v>617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10"/>
    </row>
    <row r="33" spans="1:18" x14ac:dyDescent="0.25">
      <c r="A33" s="8"/>
      <c r="B33" s="9"/>
      <c r="C33" s="9" t="s">
        <v>616</v>
      </c>
      <c r="D33" s="9" t="s">
        <v>615</v>
      </c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10"/>
    </row>
    <row r="34" spans="1:18" x14ac:dyDescent="0.25">
      <c r="A34" s="8"/>
      <c r="B34" s="9"/>
      <c r="C34" s="9" t="s">
        <v>618</v>
      </c>
      <c r="D34" s="9" t="s">
        <v>616</v>
      </c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10"/>
    </row>
    <row r="35" spans="1:18" x14ac:dyDescent="0.25">
      <c r="A35" s="8"/>
      <c r="B35" s="9"/>
      <c r="C35" s="9" t="s">
        <v>617</v>
      </c>
      <c r="D35" s="9" t="s">
        <v>616</v>
      </c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10"/>
    </row>
    <row r="36" spans="1:18" x14ac:dyDescent="0.25">
      <c r="A36" s="11"/>
      <c r="B36" s="12"/>
      <c r="C36" s="12" t="s">
        <v>615</v>
      </c>
      <c r="D36" s="12" t="s">
        <v>616</v>
      </c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3"/>
    </row>
    <row r="38" spans="1:18" x14ac:dyDescent="0.25">
      <c r="A38" t="s">
        <v>615</v>
      </c>
    </row>
    <row r="39" spans="1:18" x14ac:dyDescent="0.25">
      <c r="A39" s="4" t="s">
        <v>1</v>
      </c>
      <c r="B39" s="4" t="s">
        <v>2</v>
      </c>
      <c r="C39" s="4" t="s">
        <v>1483</v>
      </c>
      <c r="D39" s="4" t="s">
        <v>1484</v>
      </c>
      <c r="E39" s="1" t="s">
        <v>3</v>
      </c>
      <c r="F39" s="1" t="s">
        <v>4</v>
      </c>
      <c r="G39" s="1" t="s">
        <v>5</v>
      </c>
      <c r="H39" s="1" t="s">
        <v>6</v>
      </c>
      <c r="I39" s="1" t="s">
        <v>8</v>
      </c>
      <c r="J39" s="1" t="s">
        <v>10</v>
      </c>
      <c r="K39" s="1" t="s">
        <v>12</v>
      </c>
      <c r="L39" s="1" t="s">
        <v>13</v>
      </c>
      <c r="M39" s="1" t="s">
        <v>14</v>
      </c>
      <c r="N39" s="1" t="s">
        <v>15</v>
      </c>
      <c r="O39" s="1" t="s">
        <v>16</v>
      </c>
      <c r="P39" s="1" t="s">
        <v>17</v>
      </c>
      <c r="Q39" s="1" t="s">
        <v>18</v>
      </c>
      <c r="R39" s="1" t="s">
        <v>19</v>
      </c>
    </row>
    <row r="40" spans="1:18" x14ac:dyDescent="0.25">
      <c r="A40" s="8"/>
      <c r="B40" s="9"/>
      <c r="C40" s="9" t="s">
        <v>615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10"/>
    </row>
    <row r="41" spans="1:18" x14ac:dyDescent="0.25">
      <c r="A41" s="8"/>
      <c r="B41" s="9"/>
      <c r="C41" s="9" t="s">
        <v>615</v>
      </c>
      <c r="D41" s="9" t="s">
        <v>618</v>
      </c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10"/>
    </row>
    <row r="42" spans="1:18" x14ac:dyDescent="0.25">
      <c r="A42" s="8"/>
      <c r="B42" s="9"/>
      <c r="C42" s="9" t="s">
        <v>615</v>
      </c>
      <c r="D42" s="9" t="s">
        <v>617</v>
      </c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10"/>
    </row>
    <row r="43" spans="1:18" x14ac:dyDescent="0.25">
      <c r="A43" s="8"/>
      <c r="B43" s="9"/>
      <c r="C43" s="9" t="s">
        <v>615</v>
      </c>
      <c r="D43" s="9" t="s">
        <v>616</v>
      </c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10"/>
    </row>
    <row r="44" spans="1:18" x14ac:dyDescent="0.25">
      <c r="A44" s="8"/>
      <c r="B44" s="9"/>
      <c r="C44" s="9" t="s">
        <v>618</v>
      </c>
      <c r="D44" s="9" t="s">
        <v>615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10"/>
    </row>
    <row r="45" spans="1:18" x14ac:dyDescent="0.25">
      <c r="A45" s="8"/>
      <c r="B45" s="9"/>
      <c r="C45" s="9" t="s">
        <v>617</v>
      </c>
      <c r="D45" s="9" t="s">
        <v>615</v>
      </c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10"/>
    </row>
    <row r="46" spans="1:18" x14ac:dyDescent="0.25">
      <c r="A46" s="11"/>
      <c r="B46" s="12"/>
      <c r="C46" s="12" t="s">
        <v>616</v>
      </c>
      <c r="D46" s="12" t="s">
        <v>615</v>
      </c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3"/>
    </row>
    <row r="48" spans="1:18" x14ac:dyDescent="0.25">
      <c r="A48" t="s">
        <v>1488</v>
      </c>
    </row>
    <row r="49" spans="1:18" x14ac:dyDescent="0.25">
      <c r="A49" s="4" t="s">
        <v>1</v>
      </c>
      <c r="B49" s="4" t="s">
        <v>2</v>
      </c>
      <c r="C49" s="4" t="s">
        <v>1483</v>
      </c>
      <c r="D49" s="4" t="s">
        <v>1484</v>
      </c>
      <c r="E49" s="1" t="s">
        <v>3</v>
      </c>
      <c r="F49" s="1" t="s">
        <v>4</v>
      </c>
      <c r="G49" s="1" t="s">
        <v>5</v>
      </c>
      <c r="H49" s="1" t="s">
        <v>6</v>
      </c>
      <c r="I49" s="1" t="s">
        <v>8</v>
      </c>
      <c r="J49" s="1" t="s">
        <v>10</v>
      </c>
      <c r="K49" s="1" t="s">
        <v>12</v>
      </c>
      <c r="L49" s="1" t="s">
        <v>13</v>
      </c>
      <c r="M49" s="1" t="s">
        <v>14</v>
      </c>
      <c r="N49" s="1" t="s">
        <v>15</v>
      </c>
      <c r="O49" s="1" t="s">
        <v>16</v>
      </c>
      <c r="P49" s="1" t="s">
        <v>17</v>
      </c>
      <c r="Q49" s="1" t="s">
        <v>18</v>
      </c>
      <c r="R49" s="1" t="s">
        <v>19</v>
      </c>
    </row>
    <row r="50" spans="1:18" x14ac:dyDescent="0.25">
      <c r="C50" s="9" t="s">
        <v>618</v>
      </c>
      <c r="D50" s="9" t="s">
        <v>617</v>
      </c>
    </row>
    <row r="51" spans="1:18" x14ac:dyDescent="0.25">
      <c r="C51" s="14" t="s">
        <v>617</v>
      </c>
      <c r="D51" s="14" t="s">
        <v>618</v>
      </c>
    </row>
    <row r="52" spans="1:18" x14ac:dyDescent="0.25">
      <c r="C52" s="9"/>
      <c r="D52" s="9"/>
    </row>
    <row r="53" spans="1:18" x14ac:dyDescent="0.25">
      <c r="A53" t="s">
        <v>1489</v>
      </c>
      <c r="C53" s="9"/>
      <c r="D53" s="9"/>
    </row>
    <row r="54" spans="1:18" x14ac:dyDescent="0.25">
      <c r="A54" s="4" t="s">
        <v>1</v>
      </c>
      <c r="B54" s="4" t="s">
        <v>2</v>
      </c>
      <c r="C54" s="4" t="s">
        <v>1483</v>
      </c>
      <c r="D54" s="4" t="s">
        <v>1484</v>
      </c>
      <c r="E54" s="1" t="s">
        <v>3</v>
      </c>
      <c r="F54" s="1" t="s">
        <v>4</v>
      </c>
      <c r="G54" s="1" t="s">
        <v>5</v>
      </c>
      <c r="H54" s="1" t="s">
        <v>6</v>
      </c>
      <c r="I54" s="1" t="s">
        <v>8</v>
      </c>
      <c r="J54" s="1" t="s">
        <v>10</v>
      </c>
      <c r="K54" s="1" t="s">
        <v>12</v>
      </c>
      <c r="L54" s="1" t="s">
        <v>13</v>
      </c>
      <c r="M54" s="1" t="s">
        <v>14</v>
      </c>
      <c r="N54" s="1" t="s">
        <v>15</v>
      </c>
      <c r="O54" s="1" t="s">
        <v>16</v>
      </c>
      <c r="P54" s="1" t="s">
        <v>17</v>
      </c>
      <c r="Q54" s="1" t="s">
        <v>18</v>
      </c>
      <c r="R54" s="1" t="s">
        <v>19</v>
      </c>
    </row>
    <row r="55" spans="1:18" x14ac:dyDescent="0.25">
      <c r="C55" s="9" t="s">
        <v>618</v>
      </c>
      <c r="D55" s="9" t="s">
        <v>616</v>
      </c>
    </row>
    <row r="56" spans="1:18" x14ac:dyDescent="0.25">
      <c r="C56" s="14" t="s">
        <v>616</v>
      </c>
      <c r="D56" s="14" t="s">
        <v>618</v>
      </c>
    </row>
    <row r="58" spans="1:18" x14ac:dyDescent="0.25">
      <c r="A58" t="s">
        <v>1490</v>
      </c>
    </row>
    <row r="59" spans="1:18" x14ac:dyDescent="0.25">
      <c r="A59" s="4" t="s">
        <v>1</v>
      </c>
      <c r="B59" s="4" t="s">
        <v>2</v>
      </c>
      <c r="C59" s="4" t="s">
        <v>1483</v>
      </c>
      <c r="D59" s="4" t="s">
        <v>1484</v>
      </c>
      <c r="E59" s="1" t="s">
        <v>3</v>
      </c>
      <c r="F59" s="1" t="s">
        <v>4</v>
      </c>
      <c r="G59" s="1" t="s">
        <v>5</v>
      </c>
      <c r="H59" s="1" t="s">
        <v>6</v>
      </c>
      <c r="I59" s="1" t="s">
        <v>8</v>
      </c>
      <c r="J59" s="1" t="s">
        <v>10</v>
      </c>
      <c r="K59" s="1" t="s">
        <v>12</v>
      </c>
      <c r="L59" s="1" t="s">
        <v>13</v>
      </c>
      <c r="M59" s="1" t="s">
        <v>14</v>
      </c>
      <c r="N59" s="1" t="s">
        <v>15</v>
      </c>
      <c r="O59" s="1" t="s">
        <v>16</v>
      </c>
      <c r="P59" s="1" t="s">
        <v>17</v>
      </c>
      <c r="Q59" s="1" t="s">
        <v>18</v>
      </c>
      <c r="R59" s="1" t="s">
        <v>19</v>
      </c>
    </row>
    <row r="60" spans="1:18" x14ac:dyDescent="0.25">
      <c r="C60" s="9" t="s">
        <v>618</v>
      </c>
      <c r="D60" s="9" t="s">
        <v>615</v>
      </c>
    </row>
    <row r="61" spans="1:18" x14ac:dyDescent="0.25">
      <c r="C61" s="14" t="s">
        <v>615</v>
      </c>
      <c r="D61" s="14" t="s">
        <v>618</v>
      </c>
    </row>
    <row r="63" spans="1:18" x14ac:dyDescent="0.25">
      <c r="A63" t="s">
        <v>1491</v>
      </c>
    </row>
    <row r="64" spans="1:18" x14ac:dyDescent="0.25">
      <c r="A64" s="4" t="s">
        <v>1</v>
      </c>
      <c r="B64" s="4" t="s">
        <v>2</v>
      </c>
      <c r="C64" s="4" t="s">
        <v>1483</v>
      </c>
      <c r="D64" s="4" t="s">
        <v>1484</v>
      </c>
      <c r="E64" s="1" t="s">
        <v>3</v>
      </c>
      <c r="F64" s="1" t="s">
        <v>4</v>
      </c>
      <c r="G64" s="1" t="s">
        <v>5</v>
      </c>
      <c r="H64" s="1" t="s">
        <v>6</v>
      </c>
      <c r="I64" s="1" t="s">
        <v>8</v>
      </c>
      <c r="J64" s="1" t="s">
        <v>10</v>
      </c>
      <c r="K64" s="1" t="s">
        <v>12</v>
      </c>
      <c r="L64" s="1" t="s">
        <v>13</v>
      </c>
      <c r="M64" s="1" t="s">
        <v>14</v>
      </c>
      <c r="N64" s="1" t="s">
        <v>15</v>
      </c>
      <c r="O64" s="1" t="s">
        <v>16</v>
      </c>
      <c r="P64" s="1" t="s">
        <v>17</v>
      </c>
      <c r="Q64" s="1" t="s">
        <v>18</v>
      </c>
      <c r="R64" s="1" t="s">
        <v>19</v>
      </c>
    </row>
    <row r="65" spans="1:18" x14ac:dyDescent="0.25">
      <c r="C65" s="9" t="s">
        <v>617</v>
      </c>
      <c r="D65" s="9" t="s">
        <v>616</v>
      </c>
    </row>
    <row r="66" spans="1:18" x14ac:dyDescent="0.25">
      <c r="C66" s="14" t="s">
        <v>616</v>
      </c>
      <c r="D66" s="14" t="s">
        <v>617</v>
      </c>
    </row>
    <row r="68" spans="1:18" x14ac:dyDescent="0.25">
      <c r="A68" t="s">
        <v>1492</v>
      </c>
    </row>
    <row r="69" spans="1:18" x14ac:dyDescent="0.25">
      <c r="A69" s="4" t="s">
        <v>1</v>
      </c>
      <c r="B69" s="4" t="s">
        <v>2</v>
      </c>
      <c r="C69" s="4" t="s">
        <v>1483</v>
      </c>
      <c r="D69" s="4" t="s">
        <v>1484</v>
      </c>
      <c r="E69" s="1" t="s">
        <v>3</v>
      </c>
      <c r="F69" s="1" t="s">
        <v>4</v>
      </c>
      <c r="G69" s="1" t="s">
        <v>5</v>
      </c>
      <c r="H69" s="1" t="s">
        <v>6</v>
      </c>
      <c r="I69" s="1" t="s">
        <v>8</v>
      </c>
      <c r="J69" s="1" t="s">
        <v>10</v>
      </c>
      <c r="K69" s="1" t="s">
        <v>12</v>
      </c>
      <c r="L69" s="1" t="s">
        <v>13</v>
      </c>
      <c r="M69" s="1" t="s">
        <v>14</v>
      </c>
      <c r="N69" s="1" t="s">
        <v>15</v>
      </c>
      <c r="O69" s="1" t="s">
        <v>16</v>
      </c>
      <c r="P69" s="1" t="s">
        <v>17</v>
      </c>
      <c r="Q69" s="1" t="s">
        <v>18</v>
      </c>
      <c r="R69" s="1" t="s">
        <v>19</v>
      </c>
    </row>
    <row r="70" spans="1:18" x14ac:dyDescent="0.25">
      <c r="C70" s="9" t="s">
        <v>617</v>
      </c>
      <c r="D70" s="9" t="s">
        <v>615</v>
      </c>
    </row>
    <row r="71" spans="1:18" x14ac:dyDescent="0.25">
      <c r="C71" s="14" t="s">
        <v>615</v>
      </c>
      <c r="D71" s="14" t="s">
        <v>617</v>
      </c>
    </row>
    <row r="73" spans="1:18" x14ac:dyDescent="0.25">
      <c r="A73" t="s">
        <v>1493</v>
      </c>
    </row>
    <row r="74" spans="1:18" x14ac:dyDescent="0.25">
      <c r="A74" s="4" t="s">
        <v>1</v>
      </c>
      <c r="B74" s="4" t="s">
        <v>2</v>
      </c>
      <c r="C74" s="4" t="s">
        <v>1483</v>
      </c>
      <c r="D74" s="4" t="s">
        <v>1484</v>
      </c>
      <c r="E74" s="1" t="s">
        <v>3</v>
      </c>
      <c r="F74" s="1" t="s">
        <v>4</v>
      </c>
      <c r="G74" s="1" t="s">
        <v>5</v>
      </c>
      <c r="H74" s="1" t="s">
        <v>6</v>
      </c>
      <c r="I74" s="1" t="s">
        <v>8</v>
      </c>
      <c r="J74" s="1" t="s">
        <v>10</v>
      </c>
      <c r="K74" s="1" t="s">
        <v>12</v>
      </c>
      <c r="L74" s="1" t="s">
        <v>13</v>
      </c>
      <c r="M74" s="1" t="s">
        <v>14</v>
      </c>
      <c r="N74" s="1" t="s">
        <v>15</v>
      </c>
      <c r="O74" s="1" t="s">
        <v>16</v>
      </c>
      <c r="P74" s="1" t="s">
        <v>17</v>
      </c>
      <c r="Q74" s="1" t="s">
        <v>18</v>
      </c>
      <c r="R74" s="1" t="s">
        <v>19</v>
      </c>
    </row>
    <row r="75" spans="1:18" x14ac:dyDescent="0.25">
      <c r="C75" t="s">
        <v>616</v>
      </c>
      <c r="D75" t="s">
        <v>615</v>
      </c>
    </row>
    <row r="76" spans="1:18" x14ac:dyDescent="0.25">
      <c r="C76" t="s">
        <v>615</v>
      </c>
      <c r="D76" t="s">
        <v>616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EpicCardExplorer</vt:lpstr>
      <vt:lpstr>AlignmentFilterHelpers</vt:lpstr>
      <vt:lpstr>ListCount</vt:lpstr>
      <vt:lpstr>Match_List</vt:lpstr>
      <vt:lpstr>VisibleRows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</dc:creator>
  <cp:lastModifiedBy>Jessica</cp:lastModifiedBy>
  <dcterms:created xsi:type="dcterms:W3CDTF">2018-08-20T03:53:48Z</dcterms:created>
  <dcterms:modified xsi:type="dcterms:W3CDTF">2018-08-29T06:00:09Z</dcterms:modified>
</cp:coreProperties>
</file>